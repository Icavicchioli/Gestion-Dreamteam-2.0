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lujo de caja" sheetId="1" r:id="rId4"/>
  </sheets>
  <definedNames>
    <definedName hidden="1" localSheetId="0" name="Z_97E5A6E8_1452_495C_ADA9_7DBD435A0EEF_.wvu.FilterData">'Flujo de caja'!$A$2:$R$43</definedName>
  </definedNames>
  <calcPr/>
  <customWorkbookViews>
    <customWorkbookView activeSheetId="0" maximized="1" windowHeight="0" windowWidth="0" guid="{97E5A6E8-1452-495C-ADA9-7DBD435A0EEF}" name="FlujoCaja filter view"/>
  </customWorkbookViews>
  <extLst>
    <ext uri="GoogleSheetsCustomDataVersion2">
      <go:sheetsCustomData xmlns:go="http://customooxmlschemas.google.com/" r:id="rId5" roundtripDataChecksum="DJE/wdt9XTFJOKfYKhoe1bh4plfogaYO0ycrjB49r+o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C53">
      <text>
        <t xml:space="preserve">======
ID#AAACGrqfy9o
ignacio cavicchioli    (2026-10-12 21:39:19)
esta es la inversión inicial total necesaria, sería el máx negativo del flujo acumulado</t>
      </text>
    </comment>
  </commentList>
  <extLst>
    <ext uri="GoogleSheetsCustomDataVersion2">
      <go:sheetsCustomData xmlns:go="http://customooxmlschemas.google.com/" r:id="rId1" roundtripDataSignature="AMtx7mjs6rdw5tAO70zIk4O1Bzuk9fZCFQ=="/>
    </ext>
  </extLst>
</comments>
</file>

<file path=xl/sharedStrings.xml><?xml version="1.0" encoding="utf-8"?>
<sst xmlns="http://schemas.openxmlformats.org/spreadsheetml/2006/main" count="243" uniqueCount="179">
  <si>
    <t>Flujo de caja a 4 años (USD)</t>
  </si>
  <si>
    <t>Concepto</t>
  </si>
  <si>
    <t>Unidad</t>
  </si>
  <si>
    <t>Mes 1</t>
  </si>
  <si>
    <t>Mes 2</t>
  </si>
  <si>
    <t>Mes 3</t>
  </si>
  <si>
    <t>Mes 4</t>
  </si>
  <si>
    <t>Mes 5</t>
  </si>
  <si>
    <t>Mes 6</t>
  </si>
  <si>
    <t>Mes 7</t>
  </si>
  <si>
    <t>Mes 8</t>
  </si>
  <si>
    <t>Mes 9</t>
  </si>
  <si>
    <t>Mes 10</t>
  </si>
  <si>
    <t>Mes 11</t>
  </si>
  <si>
    <t>Mes 12</t>
  </si>
  <si>
    <t>Año 1</t>
  </si>
  <si>
    <t>Año 2</t>
  </si>
  <si>
    <t>Año 3</t>
  </si>
  <si>
    <t>Año 4</t>
  </si>
  <si>
    <t>Ingresos</t>
  </si>
  <si>
    <t>Aporte de capital estimado</t>
  </si>
  <si>
    <t>USD</t>
  </si>
  <si>
    <t>Cobros por kits</t>
  </si>
  <si>
    <t>Cobros por parches de recambio</t>
  </si>
  <si>
    <t>Otros ingresos</t>
  </si>
  <si>
    <t>Total ingresos y financiamiento</t>
  </si>
  <si>
    <t>Egresos</t>
  </si>
  <si>
    <t>Infraestructura</t>
  </si>
  <si>
    <t>Alquiler</t>
  </si>
  <si>
    <t>Luz</t>
  </si>
  <si>
    <t>Agua</t>
  </si>
  <si>
    <t>Diseño y Prototipo</t>
  </si>
  <si>
    <t>Componentes de prototipos</t>
  </si>
  <si>
    <t>Carcasas de prototipos</t>
  </si>
  <si>
    <t>Insumos de pruebas</t>
  </si>
  <si>
    <t>Produccion</t>
  </si>
  <si>
    <t>Fabricación de kits</t>
  </si>
  <si>
    <t>Importación, flete y recepción</t>
  </si>
  <si>
    <t>Almacenamiento de kits</t>
  </si>
  <si>
    <t>Fabricación y entrega de recambios</t>
  </si>
  <si>
    <t>Comercialización y cobros</t>
  </si>
  <si>
    <t>Desarrollo y soporte</t>
  </si>
  <si>
    <t>Diseño conceptual e interfaces</t>
  </si>
  <si>
    <t>Diseño de PCB</t>
  </si>
  <si>
    <t>Firmware</t>
  </si>
  <si>
    <t>Parche y calibración</t>
  </si>
  <si>
    <t>Aplicación y modelos</t>
  </si>
  <si>
    <t>Integración y pruebas</t>
  </si>
  <si>
    <t>Documentación de producción</t>
  </si>
  <si>
    <t>Coordinación y revisión</t>
  </si>
  <si>
    <t>Soporte y mantenimiento</t>
  </si>
  <si>
    <t>Administración y lanzamiento</t>
  </si>
  <si>
    <t>Administración mensual</t>
  </si>
  <si>
    <t>Difusión y lanzamiento</t>
  </si>
  <si>
    <t>Total egresos</t>
  </si>
  <si>
    <t>Flujo neto con financiamiento</t>
  </si>
  <si>
    <t>Saldo de caja acumulado</t>
  </si>
  <si>
    <t>Flujo del proyecto sin financiamiento</t>
  </si>
  <si>
    <t>Acumulado sin financiamiento</t>
  </si>
  <si>
    <t>Resumen de los 4 años</t>
  </si>
  <si>
    <t>Cobros por ventas</t>
  </si>
  <si>
    <t>VAN (USD)</t>
  </si>
  <si>
    <t>Egresos totales</t>
  </si>
  <si>
    <t>TIR anual</t>
  </si>
  <si>
    <t>Resultado sin financiamiento</t>
  </si>
  <si>
    <t>Descuento anual</t>
  </si>
  <si>
    <t>Capital mínimo necesario</t>
  </si>
  <si>
    <t>Aporte previsto</t>
  </si>
  <si>
    <t>Caja al cierre</t>
  </si>
  <si>
    <t>Presupuesto del PDF</t>
  </si>
  <si>
    <t>Control: desarrollo + lote vs. PDF</t>
  </si>
  <si>
    <t>Actividad comercial y existencias</t>
  </si>
  <si>
    <t>Kits vendidos</t>
  </si>
  <si>
    <t>Clientes: mes / promedio anual</t>
  </si>
  <si>
    <t>Parches de recambio vendidos</t>
  </si>
  <si>
    <t>Kits disponibles al cierre</t>
  </si>
  <si>
    <t>Supuestos editables y fuentes</t>
  </si>
  <si>
    <t>Lote inicial (kits)</t>
  </si>
  <si>
    <t>PDF, sección 3.4.4, cuadros 7 y 9.</t>
  </si>
  <si>
    <t>Costo fabricación por kit</t>
  </si>
  <si>
    <t>PDF, cuadro 7. Incluye coeficiente 1,50 y trabajo por unidad.</t>
  </si>
  <si>
    <t>Logística e importación por kit</t>
  </si>
  <si>
    <t>PDF, cuadro 7. Todos los adicionales excepto almacenamiento (USD 3).</t>
  </si>
  <si>
    <t>Almacenamiento total del lote</t>
  </si>
  <si>
    <t>PDF, cuadro 7. Tres meses a USD 100.</t>
  </si>
  <si>
    <t>Fabricación por parche de recambio</t>
  </si>
  <si>
    <t>PDF, sección 3.4.4. Logística de reposición aparte.</t>
  </si>
  <si>
    <t>Entrega e insumos extra por recambio</t>
  </si>
  <si>
    <t>Estimación adicional por unidad, con entregas agrupadas.</t>
  </si>
  <si>
    <t>Salario bruto mensual (ARS)</t>
  </si>
  <si>
    <t>PDF, cuadro 8 y bases salariales.</t>
  </si>
  <si>
    <t>Horas asignables por mes</t>
  </si>
  <si>
    <t>PDF, sección 3.4.4.</t>
  </si>
  <si>
    <t>Factor de costo laboral</t>
  </si>
  <si>
    <t>Cambio presupuestario (ARS/USD)</t>
  </si>
  <si>
    <t>PDF, tipo de cambio de planificación; USD constantes.</t>
  </si>
  <si>
    <t>Previsión de desarrollo</t>
  </si>
  <si>
    <t>PDF, sección 3.4.4. Se aplica una sola vez.</t>
  </si>
  <si>
    <t>Costo horario (USD)</t>
  </si>
  <si>
    <t>Costo salarial con cargas, antes de la previsión de desarrollo.</t>
  </si>
  <si>
    <t>Precio cobrado por kit (USD)</t>
  </si>
  <si>
    <t>Estimación comercial editable; no es un precio validado.</t>
  </si>
  <si>
    <t>Precio cobrado por recambio (USD)</t>
  </si>
  <si>
    <t>Recambios por cliente al mes</t>
  </si>
  <si>
    <t>Estimación: 4 recambios/mes desde el mes posterior a la compra del kit.</t>
  </si>
  <si>
    <t>Retención mensual de clientes</t>
  </si>
  <si>
    <t>Estimación: permanece el 95% de los compradores de recambios del mes anterior.</t>
  </si>
  <si>
    <t>Alquiler mensual</t>
  </si>
  <si>
    <t>Importe de la plantilla mantenido como estimación.</t>
  </si>
  <si>
    <t>Electricidad mensual</t>
  </si>
  <si>
    <t>Agua mensual</t>
  </si>
  <si>
    <t>Componentes para prototipos</t>
  </si>
  <si>
    <t>Estimación adicional al lote comercial; se paga en el mes 2.</t>
  </si>
  <si>
    <t>Carcasas para prototipos</t>
  </si>
  <si>
    <t>Estimación adicional al lote comercial; se paga en el mes 3.</t>
  </si>
  <si>
    <t>Insumos para pruebas</t>
  </si>
  <si>
    <t>Costo variable comercial sobre ventas</t>
  </si>
  <si>
    <t>Estimación para cobros y comercialización; no es una alícuota fiscal.</t>
  </si>
  <si>
    <t>Horas mensuales de soporte</t>
  </si>
  <si>
    <t>Estimación desde el mes 7, al costo horario del proyecto.</t>
  </si>
  <si>
    <t>Estimación de gestión y servicios administrativos.</t>
  </si>
  <si>
    <t>Difusión mensual desde lanzamiento</t>
  </si>
  <si>
    <t>Estimación desde el mes 7.</t>
  </si>
  <si>
    <t>Caja adicional de seguridad</t>
  </si>
  <si>
    <t>Editable. El aporte cubre el déficit máximo más este importe.</t>
  </si>
  <si>
    <t>Presupuesto inicial del PDF</t>
  </si>
  <si>
    <t>PDF, cuadro 9. Desarrollo y lote inicial, sin operación posterior.</t>
  </si>
  <si>
    <t>Criterios del escenario</t>
  </si>
  <si>
    <t>Meses relativos: desarrollo 1–6; fabricación y traslado 4–6; ventas 7–12.</t>
  </si>
  <si>
    <t>USD constantes. Ventas y compras al contado; sin deuda ni intereses. El aporte es una necesidad estimada, no financiamiento confirmado.</t>
  </si>
  <si>
    <t>Los precios representan cobros netos de IVA de venta. Flujo preliminar antes de Ganancias y tributos locales; no se proyecta recupero fiscal.</t>
  </si>
  <si>
    <t>La provisión fiscal de importación del PDF se desembolsa completa en el mes 6. No se aplica otra vez el coeficiente 1,50.</t>
  </si>
  <si>
    <t>Se presupuesta consumir toda la previsión del PDF. El armado por unidad ya está en fabricación; el desarrollo se paga por actividad.</t>
  </si>
  <si>
    <t>No se compran máquinas: equipos y laboratorio disponibles. Alquiler y servicios se mantienen según la plantilla.</t>
  </si>
  <si>
    <t>El kit incluye el primer parche. Los recambios se venden desde el mes siguiente; se redondean las unidades, no los clientes esperados.</t>
  </si>
  <si>
    <t>Año 1: lote de 100 kits. Años 2–4: producción según ventas anuales; se conserva el costo unitario del PDF.</t>
  </si>
  <si>
    <t>Los precios, la demanda y el inicio comercial son supuestos para evaluar el escenario, sujetos a validación técnica y habilitación.</t>
  </si>
  <si>
    <t>No se incluyen ensayos clínicos ni certificación comercial. Esos presupuestos deben añadirse al definir ese alcance.</t>
  </si>
  <si>
    <t>Los gastos nuevos de prototipos, operación y comercialización se suman al presupuesto del PDF y se muestran por separado.</t>
  </si>
  <si>
    <t>Azul: importes o supuestos editables. Negro: fórmulas. Capital mínimo: mayor déficit acumulado antes del aporte.</t>
  </si>
  <si>
    <t>Plan mensual editable</t>
  </si>
  <si>
    <t>Kits vendidos (unidades)</t>
  </si>
  <si>
    <t>Pago de fabricación (%)</t>
  </si>
  <si>
    <t>Pago de logística (%)</t>
  </si>
  <si>
    <t>Pago de almacenamiento (%)</t>
  </si>
  <si>
    <t>Kits recibidos (unidades)</t>
  </si>
  <si>
    <t>Actividad y horas base</t>
  </si>
  <si>
    <t>h</t>
  </si>
  <si>
    <t>Control: kits finales (no negativo)</t>
  </si>
  <si>
    <t>Control: horas del PDF (diferencia)</t>
  </si>
  <si>
    <t>Supuestos de los años 2, 3 y 4</t>
  </si>
  <si>
    <t>Ventas anuales de kits</t>
  </si>
  <si>
    <t>Difusión mensual (USD)</t>
  </si>
  <si>
    <t>Administración mensual (USD)</t>
  </si>
  <si>
    <t>Cálculo anual de recambios</t>
  </si>
  <si>
    <t>Meses por año</t>
  </si>
  <si>
    <t>Meses acumulados por cliente inicial</t>
  </si>
  <si>
    <t>Factor de altas durante el año</t>
  </si>
  <si>
    <t>Clientes activos en el primer mes</t>
  </si>
  <si>
    <t>Clientes activos en el último mes</t>
  </si>
  <si>
    <t>Control: inventario final</t>
  </si>
  <si>
    <t>Flujo neto anual sin financiamiento</t>
  </si>
  <si>
    <t>Años 2–4: ventas uniformes durante el año, cobros y pagos al contado. Volúmenes y gastos son estimaciones editables.</t>
  </si>
  <si>
    <t>Precios y costos unitarios constantes en USD. La ingeniería inicial no se repite; el soporte aumenta con las ventas.</t>
  </si>
  <si>
    <t>Recambios: se mantiene la retención mensual del 95% y la compra desde el mes posterior a la venta del kit.</t>
  </si>
  <si>
    <t>El capital calculado cubre los saldos de los períodos mostrados. El detalle anual no permite medir faltantes dentro de cada año.</t>
  </si>
  <si>
    <t>La fila de clientes muestra clientes del mes en el año 1 y el promedio mensual en los años 2–4.</t>
  </si>
  <si>
    <t>VAN y TIR del proyecto</t>
  </si>
  <si>
    <t>Tasa de descuento anual (estimada)</t>
  </si>
  <si>
    <t>20% anual en USD: supuesto de evaluación editable, no tasa de mercado.</t>
  </si>
  <si>
    <t>Origen temporal de cálculo</t>
  </si>
  <si>
    <t>Fecha convencional para calcular períodos; no fija el inicio real del proyecto.</t>
  </si>
  <si>
    <t>Los flujos se ubican al cierre de cada período. Se excluye el aporte de capital y no se incorpora valor de venta final.</t>
  </si>
  <si>
    <t>VAN y TIR antes de Ganancias y tributos locales. Los costos de certificación y ensayos clínicos siguen fuera del alcance.</t>
  </si>
  <si>
    <t>Usá los botones + / − del margen izquierdo para mostrar u ocultar las categorías. La tabla tiene filtros en sus encabezados.</t>
  </si>
  <si>
    <t>Las fechas equivalentes usan meses de 365/12 días. La TIR es anual; cada columna anual conserva su distancia temporal.</t>
  </si>
  <si>
    <t>Mes desde inicio</t>
  </si>
  <si>
    <t>Fecha equivalente</t>
  </si>
  <si>
    <t>Flujo (USD)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</si>
</sst>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8">
    <numFmt numFmtId="164" formatCode="[$$]#,##0.00"/>
    <numFmt numFmtId="165" formatCode="#,##0.00;(#,##0.00);&quot;-&quot;"/>
    <numFmt numFmtId="166" formatCode="[&gt;=0.005]#,##0.00;[&lt;=-0.005](#,##0.00);&quot;-&quot;"/>
    <numFmt numFmtId="167" formatCode="#,##0.00;(#,##0.00)"/>
    <numFmt numFmtId="168" formatCode="0.0%"/>
    <numFmt numFmtId="169" formatCode="0.0"/>
    <numFmt numFmtId="170" formatCode="dd-mmm-yyyy"/>
    <numFmt numFmtId="171" formatCode="dd-mmm-yy"/>
  </numFmts>
  <fonts count="9">
    <font>
      <sz val="10.0"/>
      <color rgb="FF000000"/>
      <name val="Arial"/>
      <scheme val="minor"/>
    </font>
    <font>
      <sz val="10.0"/>
      <color rgb="FF000000"/>
      <name val="Arial"/>
    </font>
    <font>
      <sz val="10.0"/>
      <color theme="1"/>
      <name val="Arial"/>
    </font>
    <font>
      <sz val="10.0"/>
      <color rgb="FFFFFFFF"/>
      <name val="Arial"/>
    </font>
    <font>
      <b/>
      <sz val="10.0"/>
      <color rgb="FFFFFFFF"/>
      <name val="Arial"/>
    </font>
    <font>
      <color theme="1"/>
      <name val="Arial"/>
    </font>
    <font>
      <b/>
      <sz val="10.0"/>
      <color theme="1"/>
      <name val="Arial"/>
    </font>
    <font>
      <b/>
      <sz val="10.0"/>
      <color rgb="FF000000"/>
      <name val="Arial"/>
    </font>
    <font>
      <sz val="10.0"/>
      <color rgb="FF0000FF"/>
      <name val="Arial"/>
    </font>
  </fonts>
  <fills count="7">
    <fill>
      <patternFill patternType="none"/>
    </fill>
    <fill>
      <patternFill patternType="lightGray"/>
    </fill>
    <fill>
      <patternFill patternType="solid">
        <fgColor rgb="FFD2E3F2"/>
        <bgColor rgb="FFD2E3F2"/>
      </patternFill>
    </fill>
    <fill>
      <patternFill patternType="solid">
        <fgColor rgb="FFCFE2F3"/>
        <bgColor rgb="FFCFE2F3"/>
      </patternFill>
    </fill>
    <fill>
      <patternFill patternType="solid">
        <fgColor rgb="FFFCE5CD"/>
        <bgColor rgb="FFFCE5CD"/>
      </patternFill>
    </fill>
    <fill>
      <patternFill patternType="solid">
        <fgColor rgb="FFE7EDF4"/>
        <bgColor rgb="FFE7EDF4"/>
      </patternFill>
    </fill>
    <fill>
      <patternFill patternType="solid">
        <fgColor rgb="FFB6D7A8"/>
        <bgColor rgb="FFB6D7A8"/>
      </patternFill>
    </fill>
  </fills>
  <borders count="1">
    <border/>
  </borders>
  <cellStyleXfs count="1">
    <xf borderId="0" fillId="0" fontId="0" numFmtId="0" applyAlignment="1" applyFont="1"/>
  </cellStyleXfs>
  <cellXfs count="5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164" xfId="0" applyFont="1" applyNumberFormat="1"/>
    <xf borderId="0" fillId="0" fontId="1" numFmtId="0" xfId="0" applyAlignment="1" applyFont="1">
      <alignment horizontal="left" readingOrder="0" shrinkToFit="0" vertical="bottom" wrapText="0"/>
    </xf>
    <xf borderId="0" fillId="0" fontId="3" numFmtId="164" xfId="0" applyAlignment="1" applyFont="1" applyNumberFormat="1">
      <alignment horizontal="left" readingOrder="0" shrinkToFit="0" vertical="center" wrapText="0"/>
    </xf>
    <xf borderId="0" fillId="2" fontId="4" numFmtId="49" xfId="0" applyAlignment="1" applyFill="1" applyFont="1" applyNumberFormat="1">
      <alignment horizontal="left" readingOrder="0" shrinkToFit="0" vertical="center" wrapText="0"/>
    </xf>
    <xf borderId="0" fillId="2" fontId="4" numFmtId="164" xfId="0" applyAlignment="1" applyFill="1" applyFont="1" applyNumberFormat="1">
      <alignment horizontal="left" readingOrder="0" shrinkToFit="0" vertical="center" wrapText="0"/>
    </xf>
    <xf borderId="0" fillId="3" fontId="2" numFmtId="0" xfId="0" applyAlignment="1" applyFill="1" applyFont="1">
      <alignment shrinkToFit="0" vertical="center" wrapText="0"/>
    </xf>
    <xf borderId="0" fillId="3" fontId="2" numFmtId="165" xfId="0" applyAlignment="1" applyFill="1" applyFont="1" applyNumberFormat="1">
      <alignment shrinkToFit="0" vertical="center" wrapText="0"/>
    </xf>
    <xf borderId="0" fillId="3" fontId="5" numFmtId="0" xfId="0" applyFill="1" applyFont="1"/>
    <xf borderId="0" fillId="0" fontId="6" numFmtId="0" xfId="0" applyAlignment="1" applyFont="1">
      <alignment shrinkToFit="0" vertical="center" wrapText="0"/>
    </xf>
    <xf borderId="0" fillId="0" fontId="1" numFmtId="0" xfId="0" applyAlignment="1" applyFont="1">
      <alignment shrinkToFit="0" vertical="bottom" wrapText="0"/>
    </xf>
    <xf borderId="0" fillId="0" fontId="2" numFmtId="165" xfId="0" applyAlignment="1" applyFont="1" applyNumberFormat="1">
      <alignment readingOrder="0" shrinkToFit="0" vertical="center" wrapText="0"/>
    </xf>
    <xf borderId="0" fillId="0" fontId="2" numFmtId="165" xfId="0" applyAlignment="1" applyFont="1" applyNumberFormat="1">
      <alignment shrinkToFit="0" vertical="center" wrapText="0"/>
    </xf>
    <xf borderId="0" fillId="3" fontId="6" numFmtId="0" xfId="0" applyAlignment="1" applyFill="1" applyFont="1">
      <alignment shrinkToFit="0" vertical="center" wrapText="0"/>
    </xf>
    <xf borderId="0" fillId="4" fontId="2" numFmtId="0" xfId="0" applyAlignment="1" applyFill="1" applyFont="1">
      <alignment shrinkToFit="0" vertical="center" wrapText="0"/>
    </xf>
    <xf borderId="0" fillId="4" fontId="2" numFmtId="165" xfId="0" applyAlignment="1" applyFill="1" applyFont="1" applyNumberFormat="1">
      <alignment shrinkToFit="0" vertical="center" wrapText="0"/>
    </xf>
    <xf borderId="0" fillId="4" fontId="5" numFmtId="0" xfId="0" applyFill="1" applyFont="1"/>
    <xf borderId="0" fillId="5" fontId="6" numFmtId="0" xfId="0" applyAlignment="1" applyFill="1" applyFont="1">
      <alignment shrinkToFit="0" vertical="center" wrapText="0"/>
    </xf>
    <xf borderId="0" fillId="5" fontId="7" numFmtId="0" xfId="0" applyAlignment="1" applyFill="1" applyFont="1">
      <alignment shrinkToFit="0" vertical="bottom" wrapText="0"/>
    </xf>
    <xf borderId="0" fillId="5" fontId="6" numFmtId="165" xfId="0" applyAlignment="1" applyFill="1" applyFont="1" applyNumberFormat="1">
      <alignment shrinkToFit="0" vertical="center" wrapText="0"/>
    </xf>
    <xf borderId="0" fillId="0" fontId="1" numFmtId="165" xfId="0" applyAlignment="1" applyFont="1" applyNumberFormat="1">
      <alignment shrinkToFit="0" vertical="bottom" wrapText="0"/>
    </xf>
    <xf borderId="0" fillId="4" fontId="6" numFmtId="0" xfId="0" applyAlignment="1" applyFill="1" applyFont="1">
      <alignment shrinkToFit="0" vertical="center" wrapText="0"/>
    </xf>
    <xf borderId="0" fillId="0" fontId="7" numFmtId="0" xfId="0" applyAlignment="1" applyFont="1">
      <alignment shrinkToFit="0" vertical="bottom" wrapText="0"/>
    </xf>
    <xf borderId="0" fillId="0" fontId="6" numFmtId="165" xfId="0" applyAlignment="1" applyFont="1" applyNumberFormat="1">
      <alignment shrinkToFit="0" vertical="center" wrapText="0"/>
    </xf>
    <xf borderId="0" fillId="6" fontId="2" numFmtId="0" xfId="0" applyAlignment="1" applyFill="1" applyFont="1">
      <alignment shrinkToFit="0" vertical="center" wrapText="0"/>
    </xf>
    <xf borderId="0" fillId="6" fontId="2" numFmtId="166" xfId="0" applyAlignment="1" applyFill="1" applyFont="1" applyNumberFormat="1">
      <alignment shrinkToFit="0" vertical="center" wrapText="0"/>
    </xf>
    <xf borderId="0" fillId="6" fontId="5" numFmtId="0" xfId="0" applyFill="1" applyFont="1"/>
    <xf borderId="0" fillId="0" fontId="2" numFmtId="165" xfId="0" applyFont="1" applyNumberFormat="1"/>
    <xf borderId="0" fillId="0" fontId="7" numFmtId="0" xfId="0" applyAlignment="1" applyFont="1">
      <alignment shrinkToFit="0" vertical="bottom" wrapText="0"/>
    </xf>
    <xf borderId="0" fillId="0" fontId="6" numFmtId="165" xfId="0" applyFont="1" applyNumberFormat="1"/>
    <xf borderId="0" fillId="2" fontId="7" numFmtId="0" xfId="0" applyAlignment="1" applyFill="1" applyFont="1">
      <alignment shrinkToFit="0" vertical="bottom" wrapText="0"/>
    </xf>
    <xf borderId="0" fillId="2" fontId="6" numFmtId="165" xfId="0" applyFill="1" applyFont="1" applyNumberFormat="1"/>
    <xf borderId="0" fillId="0" fontId="6" numFmtId="167" xfId="0" applyFont="1" applyNumberFormat="1"/>
    <xf borderId="0" fillId="0" fontId="6" numFmtId="168" xfId="0" applyFont="1" applyNumberFormat="1"/>
    <xf borderId="0" fillId="0" fontId="2" numFmtId="2" xfId="0" applyFont="1" applyNumberFormat="1"/>
    <xf borderId="0" fillId="2" fontId="6" numFmtId="164" xfId="0" applyFill="1" applyFont="1" applyNumberFormat="1"/>
    <xf borderId="0" fillId="0" fontId="2" numFmtId="1" xfId="0" applyFont="1" applyNumberFormat="1"/>
    <xf borderId="0" fillId="0" fontId="2" numFmtId="169" xfId="0" applyFont="1" applyNumberFormat="1"/>
    <xf borderId="0" fillId="0" fontId="8" numFmtId="1" xfId="0" applyAlignment="1" applyFont="1" applyNumberFormat="1">
      <alignment readingOrder="0"/>
    </xf>
    <xf borderId="0" fillId="0" fontId="8" numFmtId="165" xfId="0" applyFont="1" applyNumberFormat="1"/>
    <xf borderId="0" fillId="0" fontId="8" numFmtId="1" xfId="0" applyFont="1" applyNumberFormat="1"/>
    <xf borderId="0" fillId="0" fontId="1" numFmtId="165" xfId="0" applyFont="1" applyNumberFormat="1"/>
    <xf borderId="0" fillId="0" fontId="8" numFmtId="165" xfId="0" applyAlignment="1" applyFont="1" applyNumberFormat="1">
      <alignment readingOrder="0"/>
    </xf>
    <xf borderId="0" fillId="0" fontId="8" numFmtId="168" xfId="0" applyFont="1" applyNumberFormat="1"/>
    <xf borderId="0" fillId="0" fontId="8" numFmtId="164" xfId="0" applyFont="1" applyNumberFormat="1"/>
    <xf borderId="0" fillId="0" fontId="8" numFmtId="0" xfId="0" applyAlignment="1" applyFont="1">
      <alignment shrinkToFit="0" vertical="bottom" wrapText="0"/>
    </xf>
    <xf borderId="0" fillId="0" fontId="5" numFmtId="164" xfId="0" applyFont="1" applyNumberFormat="1"/>
    <xf borderId="0" fillId="0" fontId="8" numFmtId="3" xfId="0" applyAlignment="1" applyFont="1" applyNumberFormat="1">
      <alignment shrinkToFit="0" vertical="bottom" wrapText="0"/>
    </xf>
    <xf borderId="0" fillId="0" fontId="1" numFmtId="2" xfId="0" applyAlignment="1" applyFont="1" applyNumberFormat="1">
      <alignment shrinkToFit="0" vertical="bottom" wrapText="0"/>
    </xf>
    <xf borderId="0" fillId="0" fontId="1" numFmtId="1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2" fontId="1" numFmtId="0" xfId="0" applyAlignment="1" applyFill="1" applyFont="1">
      <alignment shrinkToFit="0" vertical="bottom" wrapText="0"/>
    </xf>
    <xf borderId="0" fillId="2" fontId="2" numFmtId="164" xfId="0" applyFill="1" applyFont="1" applyNumberFormat="1"/>
    <xf borderId="0" fillId="0" fontId="2" numFmtId="170" xfId="0" applyFont="1" applyNumberFormat="1"/>
    <xf borderId="0" fillId="0" fontId="2" numFmtId="171" xfId="0" applyFont="1" applyNumberFormat="1"/>
    <xf borderId="0" fillId="0" fontId="1" numFmtId="171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>
        <color rgb="FF9C0006"/>
      </font>
      <fill>
        <patternFill patternType="solid">
          <fgColor rgb="FFFFC7CE"/>
          <bgColor rgb="FFFFC7CE"/>
        </patternFill>
      </fill>
      <border/>
    </dxf>
  </dxfs>
  <tableStyles count="1">
    <tableStyle count="4" pivot="0" name="Flujo de caja-style">
      <tableStyleElement dxfId="1" type="headerRow"/>
      <tableStyleElement dxfId="2" type="firstRowStripe"/>
      <tableStyleElement dxfId="2" type="secondRowStripe"/>
      <tableStyleElement dxfId="3" size="0" type="wholeTabl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2:R43" displayName="FlujoCaja" name="FlujoCaja" id="1">
  <tableColumns count="18">
    <tableColumn name="Concepto" id="1"/>
    <tableColumn name="Unidad" id="2"/>
    <tableColumn name="Mes 1" id="3"/>
    <tableColumn name="Mes 2" id="4"/>
    <tableColumn name="Mes 3" id="5"/>
    <tableColumn name="Mes 4" id="6"/>
    <tableColumn name="Mes 5" id="7"/>
    <tableColumn name="Mes 6" id="8"/>
    <tableColumn name="Mes 7" id="9"/>
    <tableColumn name="Mes 8" id="10"/>
    <tableColumn name="Mes 9" id="11"/>
    <tableColumn name="Mes 10" id="12"/>
    <tableColumn name="Mes 11" id="13"/>
    <tableColumn name="Mes 12" id="14"/>
    <tableColumn name="Año 1" id="15"/>
    <tableColumn name="Año 2" id="16"/>
    <tableColumn name="Año 3" id="17"/>
    <tableColumn name="Año 4" id="18"/>
  </tableColumns>
  <tableStyleInfo name="Flujo de caja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/>
    <pageSetUpPr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 outlineLevelRow="1"/>
  <cols>
    <col customWidth="1" min="1" max="1" width="44.0"/>
    <col customWidth="1" min="2" max="2" width="7.0"/>
    <col customWidth="1" min="3" max="14" width="14.0"/>
    <col customWidth="1" min="15" max="19" width="16.0"/>
  </cols>
  <sheetData>
    <row r="1" ht="21.0" customHeight="1">
      <c r="A1" s="1" t="s">
        <v>0</v>
      </c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ht="21.0" customHeight="1">
      <c r="A2" s="3" t="s">
        <v>1</v>
      </c>
      <c r="B2" s="3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11</v>
      </c>
      <c r="L2" s="4" t="s">
        <v>12</v>
      </c>
      <c r="M2" s="4" t="s">
        <v>13</v>
      </c>
      <c r="N2" s="4" t="s">
        <v>14</v>
      </c>
      <c r="O2" s="5" t="s">
        <v>15</v>
      </c>
      <c r="P2" s="6" t="s">
        <v>16</v>
      </c>
      <c r="Q2" s="6" t="s">
        <v>17</v>
      </c>
      <c r="R2" s="6" t="s">
        <v>18</v>
      </c>
    </row>
    <row r="3" ht="21.0" customHeight="1">
      <c r="A3" s="7" t="s">
        <v>19</v>
      </c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  <c r="T3" s="9"/>
      <c r="U3" s="9"/>
      <c r="V3" s="9"/>
      <c r="W3" s="9"/>
      <c r="X3" s="9"/>
      <c r="Y3" s="9"/>
      <c r="Z3" s="9"/>
      <c r="AA3" s="9"/>
    </row>
    <row r="4" ht="21.0" customHeight="1" outlineLevel="1">
      <c r="A4" s="10" t="s">
        <v>20</v>
      </c>
      <c r="B4" s="11" t="s">
        <v>21</v>
      </c>
      <c r="C4" s="12">
        <v>0.0</v>
      </c>
      <c r="D4" s="13">
        <f t="shared" ref="D4:N4" si="1">0</f>
        <v>0</v>
      </c>
      <c r="E4" s="13">
        <f t="shared" si="1"/>
        <v>0</v>
      </c>
      <c r="F4" s="13">
        <f t="shared" si="1"/>
        <v>0</v>
      </c>
      <c r="G4" s="13">
        <f t="shared" si="1"/>
        <v>0</v>
      </c>
      <c r="H4" s="13">
        <f t="shared" si="1"/>
        <v>0</v>
      </c>
      <c r="I4" s="13">
        <f t="shared" si="1"/>
        <v>0</v>
      </c>
      <c r="J4" s="13">
        <f t="shared" si="1"/>
        <v>0</v>
      </c>
      <c r="K4" s="13">
        <f t="shared" si="1"/>
        <v>0</v>
      </c>
      <c r="L4" s="13">
        <f t="shared" si="1"/>
        <v>0</v>
      </c>
      <c r="M4" s="13">
        <f t="shared" si="1"/>
        <v>0</v>
      </c>
      <c r="N4" s="13">
        <f t="shared" si="1"/>
        <v>0</v>
      </c>
      <c r="O4" s="13"/>
      <c r="P4" s="13">
        <v>0.0</v>
      </c>
      <c r="Q4" s="13">
        <v>0.0</v>
      </c>
      <c r="R4" s="13">
        <v>0.0</v>
      </c>
    </row>
    <row r="5" ht="21.0" customHeight="1" outlineLevel="1">
      <c r="A5" s="10" t="s">
        <v>22</v>
      </c>
      <c r="B5" s="11" t="s">
        <v>21</v>
      </c>
      <c r="C5" s="13">
        <f t="shared" ref="C5:N5" si="2">C59*$C$77</f>
        <v>0</v>
      </c>
      <c r="D5" s="13">
        <f t="shared" si="2"/>
        <v>0</v>
      </c>
      <c r="E5" s="13">
        <f t="shared" si="2"/>
        <v>0</v>
      </c>
      <c r="F5" s="13">
        <f t="shared" si="2"/>
        <v>0</v>
      </c>
      <c r="G5" s="13">
        <f t="shared" si="2"/>
        <v>0</v>
      </c>
      <c r="H5" s="13">
        <f t="shared" si="2"/>
        <v>0</v>
      </c>
      <c r="I5" s="13">
        <f t="shared" si="2"/>
        <v>4000</v>
      </c>
      <c r="J5" s="13">
        <f t="shared" si="2"/>
        <v>6000</v>
      </c>
      <c r="K5" s="13">
        <f t="shared" si="2"/>
        <v>6000</v>
      </c>
      <c r="L5" s="13">
        <f t="shared" si="2"/>
        <v>8000</v>
      </c>
      <c r="M5" s="13">
        <f t="shared" si="2"/>
        <v>8000</v>
      </c>
      <c r="N5" s="13">
        <f t="shared" si="2"/>
        <v>8000</v>
      </c>
      <c r="O5" s="13"/>
      <c r="P5" s="13">
        <f t="shared" ref="P5:R5" si="3">P59*$C$77</f>
        <v>80000</v>
      </c>
      <c r="Q5" s="13">
        <f t="shared" si="3"/>
        <v>120000</v>
      </c>
      <c r="R5" s="13">
        <f t="shared" si="3"/>
        <v>160000</v>
      </c>
    </row>
    <row r="6" ht="21.0" customHeight="1" outlineLevel="1">
      <c r="A6" s="10" t="s">
        <v>23</v>
      </c>
      <c r="B6" s="11" t="s">
        <v>21</v>
      </c>
      <c r="C6" s="13">
        <f t="shared" ref="C6:N6" si="4">C61*$C$78</f>
        <v>0</v>
      </c>
      <c r="D6" s="13">
        <f t="shared" si="4"/>
        <v>0</v>
      </c>
      <c r="E6" s="13">
        <f t="shared" si="4"/>
        <v>0</v>
      </c>
      <c r="F6" s="13">
        <f t="shared" si="4"/>
        <v>0</v>
      </c>
      <c r="G6" s="13">
        <f t="shared" si="4"/>
        <v>0</v>
      </c>
      <c r="H6" s="13">
        <f t="shared" si="4"/>
        <v>0</v>
      </c>
      <c r="I6" s="13">
        <f t="shared" si="4"/>
        <v>0</v>
      </c>
      <c r="J6" s="13">
        <f t="shared" si="4"/>
        <v>1000</v>
      </c>
      <c r="K6" s="13">
        <f t="shared" si="4"/>
        <v>2450</v>
      </c>
      <c r="L6" s="13">
        <f t="shared" si="4"/>
        <v>3825</v>
      </c>
      <c r="M6" s="13">
        <f t="shared" si="4"/>
        <v>5625</v>
      </c>
      <c r="N6" s="13">
        <f t="shared" si="4"/>
        <v>7350</v>
      </c>
      <c r="O6" s="13"/>
      <c r="P6" s="13">
        <f t="shared" ref="P6:R6" si="5">P61*$C$78</f>
        <v>176175</v>
      </c>
      <c r="Q6" s="13">
        <f t="shared" si="5"/>
        <v>325850</v>
      </c>
      <c r="R6" s="13">
        <f t="shared" si="5"/>
        <v>498650</v>
      </c>
    </row>
    <row r="7" ht="21.0" customHeight="1" outlineLevel="1">
      <c r="A7" s="10" t="s">
        <v>24</v>
      </c>
      <c r="B7" s="11" t="s">
        <v>21</v>
      </c>
      <c r="C7" s="13">
        <v>0.0</v>
      </c>
      <c r="D7" s="13">
        <v>0.0</v>
      </c>
      <c r="E7" s="13">
        <v>0.0</v>
      </c>
      <c r="F7" s="13">
        <v>0.0</v>
      </c>
      <c r="G7" s="13">
        <v>0.0</v>
      </c>
      <c r="H7" s="13">
        <v>0.0</v>
      </c>
      <c r="I7" s="13">
        <v>0.0</v>
      </c>
      <c r="J7" s="13">
        <v>0.0</v>
      </c>
      <c r="K7" s="13">
        <v>0.0</v>
      </c>
      <c r="L7" s="13">
        <v>0.0</v>
      </c>
      <c r="M7" s="13">
        <v>0.0</v>
      </c>
      <c r="N7" s="13">
        <v>0.0</v>
      </c>
      <c r="O7" s="13"/>
      <c r="P7" s="13">
        <v>0.0</v>
      </c>
      <c r="Q7" s="13">
        <v>0.0</v>
      </c>
      <c r="R7" s="13">
        <v>0.0</v>
      </c>
    </row>
    <row r="8" ht="21.0" customHeight="1">
      <c r="A8" s="11"/>
      <c r="B8" s="11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</row>
    <row r="9" ht="21.0" customHeight="1">
      <c r="A9" s="14" t="s">
        <v>25</v>
      </c>
      <c r="B9" s="7" t="s">
        <v>21</v>
      </c>
      <c r="C9" s="8">
        <f t="shared" ref="C9:N9" si="6">SUM(C4:C7)</f>
        <v>0</v>
      </c>
      <c r="D9" s="8">
        <f t="shared" si="6"/>
        <v>0</v>
      </c>
      <c r="E9" s="8">
        <f t="shared" si="6"/>
        <v>0</v>
      </c>
      <c r="F9" s="8">
        <f t="shared" si="6"/>
        <v>0</v>
      </c>
      <c r="G9" s="8">
        <f t="shared" si="6"/>
        <v>0</v>
      </c>
      <c r="H9" s="8">
        <f t="shared" si="6"/>
        <v>0</v>
      </c>
      <c r="I9" s="8">
        <f t="shared" si="6"/>
        <v>4000</v>
      </c>
      <c r="J9" s="8">
        <f t="shared" si="6"/>
        <v>7000</v>
      </c>
      <c r="K9" s="8">
        <f t="shared" si="6"/>
        <v>8450</v>
      </c>
      <c r="L9" s="8">
        <f t="shared" si="6"/>
        <v>11825</v>
      </c>
      <c r="M9" s="8">
        <f t="shared" si="6"/>
        <v>13625</v>
      </c>
      <c r="N9" s="8">
        <f t="shared" si="6"/>
        <v>15350</v>
      </c>
      <c r="O9" s="8"/>
      <c r="P9" s="8">
        <f t="shared" ref="P9:R9" si="7">SUM(P4:P7)</f>
        <v>256175</v>
      </c>
      <c r="Q9" s="8">
        <f t="shared" si="7"/>
        <v>445850</v>
      </c>
      <c r="R9" s="8">
        <f t="shared" si="7"/>
        <v>658650</v>
      </c>
      <c r="S9" s="9"/>
      <c r="T9" s="9"/>
      <c r="U9" s="9"/>
      <c r="V9" s="9"/>
      <c r="W9" s="9"/>
      <c r="X9" s="9"/>
      <c r="Y9" s="9"/>
      <c r="Z9" s="9"/>
      <c r="AA9" s="9"/>
    </row>
    <row r="10" ht="21.0" customHeight="1">
      <c r="A10" s="11"/>
      <c r="B10" s="11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</row>
    <row r="11" ht="21.0" customHeight="1">
      <c r="A11" s="15" t="s">
        <v>26</v>
      </c>
      <c r="B11" s="1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7"/>
      <c r="T11" s="17"/>
      <c r="U11" s="17"/>
      <c r="V11" s="17"/>
      <c r="W11" s="17"/>
      <c r="X11" s="17"/>
      <c r="Y11" s="17"/>
      <c r="Z11" s="17"/>
      <c r="AA11" s="17"/>
    </row>
    <row r="12" ht="21.0" customHeight="1">
      <c r="A12" s="18" t="s">
        <v>27</v>
      </c>
      <c r="B12" s="19" t="s">
        <v>21</v>
      </c>
      <c r="C12" s="20">
        <f t="shared" ref="C12:N12" si="8">SUM(C13:C15)</f>
        <v>700</v>
      </c>
      <c r="D12" s="20">
        <f t="shared" si="8"/>
        <v>700</v>
      </c>
      <c r="E12" s="20">
        <f t="shared" si="8"/>
        <v>700</v>
      </c>
      <c r="F12" s="20">
        <f t="shared" si="8"/>
        <v>700</v>
      </c>
      <c r="G12" s="20">
        <f t="shared" si="8"/>
        <v>700</v>
      </c>
      <c r="H12" s="20">
        <f t="shared" si="8"/>
        <v>700</v>
      </c>
      <c r="I12" s="20">
        <f t="shared" si="8"/>
        <v>700</v>
      </c>
      <c r="J12" s="20">
        <f t="shared" si="8"/>
        <v>700</v>
      </c>
      <c r="K12" s="20">
        <f t="shared" si="8"/>
        <v>700</v>
      </c>
      <c r="L12" s="20">
        <f t="shared" si="8"/>
        <v>700</v>
      </c>
      <c r="M12" s="20">
        <f t="shared" si="8"/>
        <v>700</v>
      </c>
      <c r="N12" s="20">
        <f t="shared" si="8"/>
        <v>700</v>
      </c>
      <c r="O12" s="20"/>
      <c r="P12" s="20">
        <f t="shared" ref="P12:R12" si="9">SUM(P13:P15)</f>
        <v>8400</v>
      </c>
      <c r="Q12" s="20">
        <f t="shared" si="9"/>
        <v>8400</v>
      </c>
      <c r="R12" s="20">
        <f t="shared" si="9"/>
        <v>8400</v>
      </c>
    </row>
    <row r="13" ht="21.0" customHeight="1" outlineLevel="1">
      <c r="A13" s="10" t="s">
        <v>28</v>
      </c>
      <c r="B13" s="11" t="s">
        <v>21</v>
      </c>
      <c r="C13" s="13">
        <f t="shared" ref="C13:N13" si="10">$C$81</f>
        <v>500</v>
      </c>
      <c r="D13" s="13">
        <f t="shared" si="10"/>
        <v>500</v>
      </c>
      <c r="E13" s="13">
        <f t="shared" si="10"/>
        <v>500</v>
      </c>
      <c r="F13" s="13">
        <f t="shared" si="10"/>
        <v>500</v>
      </c>
      <c r="G13" s="13">
        <f t="shared" si="10"/>
        <v>500</v>
      </c>
      <c r="H13" s="13">
        <f t="shared" si="10"/>
        <v>500</v>
      </c>
      <c r="I13" s="13">
        <f t="shared" si="10"/>
        <v>500</v>
      </c>
      <c r="J13" s="13">
        <f t="shared" si="10"/>
        <v>500</v>
      </c>
      <c r="K13" s="13">
        <f t="shared" si="10"/>
        <v>500</v>
      </c>
      <c r="L13" s="13">
        <f t="shared" si="10"/>
        <v>500</v>
      </c>
      <c r="M13" s="13">
        <f t="shared" si="10"/>
        <v>500</v>
      </c>
      <c r="N13" s="13">
        <f t="shared" si="10"/>
        <v>500</v>
      </c>
      <c r="O13" s="13"/>
      <c r="P13" s="13">
        <f t="shared" ref="P13:R13" si="11">$C$81*P137</f>
        <v>6000</v>
      </c>
      <c r="Q13" s="13">
        <f t="shared" si="11"/>
        <v>6000</v>
      </c>
      <c r="R13" s="13">
        <f t="shared" si="11"/>
        <v>6000</v>
      </c>
    </row>
    <row r="14" ht="21.0" customHeight="1" outlineLevel="1">
      <c r="A14" s="10" t="s">
        <v>29</v>
      </c>
      <c r="B14" s="11" t="s">
        <v>21</v>
      </c>
      <c r="C14" s="13">
        <f t="shared" ref="C14:N14" si="12">$C$82</f>
        <v>100</v>
      </c>
      <c r="D14" s="13">
        <f t="shared" si="12"/>
        <v>100</v>
      </c>
      <c r="E14" s="13">
        <f t="shared" si="12"/>
        <v>100</v>
      </c>
      <c r="F14" s="13">
        <f t="shared" si="12"/>
        <v>100</v>
      </c>
      <c r="G14" s="13">
        <f t="shared" si="12"/>
        <v>100</v>
      </c>
      <c r="H14" s="13">
        <f t="shared" si="12"/>
        <v>100</v>
      </c>
      <c r="I14" s="13">
        <f t="shared" si="12"/>
        <v>100</v>
      </c>
      <c r="J14" s="13">
        <f t="shared" si="12"/>
        <v>100</v>
      </c>
      <c r="K14" s="13">
        <f t="shared" si="12"/>
        <v>100</v>
      </c>
      <c r="L14" s="13">
        <f t="shared" si="12"/>
        <v>100</v>
      </c>
      <c r="M14" s="13">
        <f t="shared" si="12"/>
        <v>100</v>
      </c>
      <c r="N14" s="13">
        <f t="shared" si="12"/>
        <v>100</v>
      </c>
      <c r="O14" s="13"/>
      <c r="P14" s="13">
        <f t="shared" ref="P14:R14" si="13">$C$82*P137</f>
        <v>1200</v>
      </c>
      <c r="Q14" s="13">
        <f t="shared" si="13"/>
        <v>1200</v>
      </c>
      <c r="R14" s="13">
        <f t="shared" si="13"/>
        <v>1200</v>
      </c>
    </row>
    <row r="15" ht="21.0" customHeight="1" outlineLevel="1">
      <c r="A15" s="10" t="s">
        <v>30</v>
      </c>
      <c r="B15" s="11" t="s">
        <v>21</v>
      </c>
      <c r="C15" s="13">
        <f t="shared" ref="C15:N15" si="14">$C$83</f>
        <v>100</v>
      </c>
      <c r="D15" s="13">
        <f t="shared" si="14"/>
        <v>100</v>
      </c>
      <c r="E15" s="13">
        <f t="shared" si="14"/>
        <v>100</v>
      </c>
      <c r="F15" s="13">
        <f t="shared" si="14"/>
        <v>100</v>
      </c>
      <c r="G15" s="13">
        <f t="shared" si="14"/>
        <v>100</v>
      </c>
      <c r="H15" s="13">
        <f t="shared" si="14"/>
        <v>100</v>
      </c>
      <c r="I15" s="13">
        <f t="shared" si="14"/>
        <v>100</v>
      </c>
      <c r="J15" s="13">
        <f t="shared" si="14"/>
        <v>100</v>
      </c>
      <c r="K15" s="13">
        <f t="shared" si="14"/>
        <v>100</v>
      </c>
      <c r="L15" s="13">
        <f t="shared" si="14"/>
        <v>100</v>
      </c>
      <c r="M15" s="13">
        <f t="shared" si="14"/>
        <v>100</v>
      </c>
      <c r="N15" s="13">
        <f t="shared" si="14"/>
        <v>100</v>
      </c>
      <c r="O15" s="13"/>
      <c r="P15" s="13">
        <f t="shared" ref="P15:R15" si="15">$C$83*P137</f>
        <v>1200</v>
      </c>
      <c r="Q15" s="13">
        <f t="shared" si="15"/>
        <v>1200</v>
      </c>
      <c r="R15" s="13">
        <f t="shared" si="15"/>
        <v>1200</v>
      </c>
    </row>
    <row r="16" ht="21.0" customHeight="1">
      <c r="A16" s="10"/>
      <c r="B16" s="11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</row>
    <row r="17" ht="21.0" customHeight="1">
      <c r="A17" s="18" t="s">
        <v>31</v>
      </c>
      <c r="B17" s="19" t="s">
        <v>21</v>
      </c>
      <c r="C17" s="20">
        <f t="shared" ref="C17:N17" si="16">SUM(C18:C20)</f>
        <v>0</v>
      </c>
      <c r="D17" s="20">
        <f t="shared" si="16"/>
        <v>2000</v>
      </c>
      <c r="E17" s="20">
        <f t="shared" si="16"/>
        <v>1000</v>
      </c>
      <c r="F17" s="20">
        <f t="shared" si="16"/>
        <v>0</v>
      </c>
      <c r="G17" s="20">
        <f t="shared" si="16"/>
        <v>0</v>
      </c>
      <c r="H17" s="20">
        <f t="shared" si="16"/>
        <v>0</v>
      </c>
      <c r="I17" s="20">
        <f t="shared" si="16"/>
        <v>0</v>
      </c>
      <c r="J17" s="20">
        <f t="shared" si="16"/>
        <v>0</v>
      </c>
      <c r="K17" s="20">
        <f t="shared" si="16"/>
        <v>0</v>
      </c>
      <c r="L17" s="20">
        <f t="shared" si="16"/>
        <v>0</v>
      </c>
      <c r="M17" s="20">
        <f t="shared" si="16"/>
        <v>0</v>
      </c>
      <c r="N17" s="20">
        <f t="shared" si="16"/>
        <v>0</v>
      </c>
      <c r="O17" s="20"/>
      <c r="P17" s="20">
        <f t="shared" ref="P17:R17" si="17">SUM(P18:P20)</f>
        <v>0</v>
      </c>
      <c r="Q17" s="20">
        <f t="shared" si="17"/>
        <v>0</v>
      </c>
      <c r="R17" s="20">
        <f t="shared" si="17"/>
        <v>0</v>
      </c>
    </row>
    <row r="18" ht="21.0" customHeight="1" outlineLevel="1">
      <c r="A18" s="10" t="s">
        <v>32</v>
      </c>
      <c r="B18" s="11" t="s">
        <v>21</v>
      </c>
      <c r="C18" s="13">
        <f t="shared" ref="C18:C20" si="19">0</f>
        <v>0</v>
      </c>
      <c r="D18" s="13">
        <f>$C$84</f>
        <v>2000</v>
      </c>
      <c r="E18" s="13">
        <f t="shared" ref="E18:N18" si="18">0</f>
        <v>0</v>
      </c>
      <c r="F18" s="13">
        <f t="shared" si="18"/>
        <v>0</v>
      </c>
      <c r="G18" s="13">
        <f t="shared" si="18"/>
        <v>0</v>
      </c>
      <c r="H18" s="13">
        <f t="shared" si="18"/>
        <v>0</v>
      </c>
      <c r="I18" s="13">
        <f t="shared" si="18"/>
        <v>0</v>
      </c>
      <c r="J18" s="13">
        <f t="shared" si="18"/>
        <v>0</v>
      </c>
      <c r="K18" s="13">
        <f t="shared" si="18"/>
        <v>0</v>
      </c>
      <c r="L18" s="13">
        <f t="shared" si="18"/>
        <v>0</v>
      </c>
      <c r="M18" s="13">
        <f t="shared" si="18"/>
        <v>0</v>
      </c>
      <c r="N18" s="13">
        <f t="shared" si="18"/>
        <v>0</v>
      </c>
      <c r="O18" s="13"/>
      <c r="P18" s="13">
        <v>0.0</v>
      </c>
      <c r="Q18" s="13">
        <v>0.0</v>
      </c>
      <c r="R18" s="13">
        <v>0.0</v>
      </c>
    </row>
    <row r="19" ht="21.0" customHeight="1" outlineLevel="1">
      <c r="A19" s="10" t="s">
        <v>33</v>
      </c>
      <c r="B19" s="11" t="s">
        <v>21</v>
      </c>
      <c r="C19" s="13">
        <f t="shared" si="19"/>
        <v>0</v>
      </c>
      <c r="D19" s="13">
        <f t="shared" ref="D19:D20" si="21">0</f>
        <v>0</v>
      </c>
      <c r="E19" s="13">
        <f>$C$85</f>
        <v>500</v>
      </c>
      <c r="F19" s="13">
        <f t="shared" ref="F19:N19" si="20">0</f>
        <v>0</v>
      </c>
      <c r="G19" s="13">
        <f t="shared" si="20"/>
        <v>0</v>
      </c>
      <c r="H19" s="13">
        <f t="shared" si="20"/>
        <v>0</v>
      </c>
      <c r="I19" s="13">
        <f t="shared" si="20"/>
        <v>0</v>
      </c>
      <c r="J19" s="13">
        <f t="shared" si="20"/>
        <v>0</v>
      </c>
      <c r="K19" s="13">
        <f t="shared" si="20"/>
        <v>0</v>
      </c>
      <c r="L19" s="13">
        <f t="shared" si="20"/>
        <v>0</v>
      </c>
      <c r="M19" s="13">
        <f t="shared" si="20"/>
        <v>0</v>
      </c>
      <c r="N19" s="13">
        <f t="shared" si="20"/>
        <v>0</v>
      </c>
      <c r="O19" s="13"/>
      <c r="P19" s="13">
        <v>0.0</v>
      </c>
      <c r="Q19" s="13">
        <v>0.0</v>
      </c>
      <c r="R19" s="13">
        <v>0.0</v>
      </c>
    </row>
    <row r="20" ht="21.0" customHeight="1" outlineLevel="1">
      <c r="A20" s="10" t="s">
        <v>34</v>
      </c>
      <c r="B20" s="11" t="s">
        <v>21</v>
      </c>
      <c r="C20" s="13">
        <f t="shared" si="19"/>
        <v>0</v>
      </c>
      <c r="D20" s="13">
        <f t="shared" si="21"/>
        <v>0</v>
      </c>
      <c r="E20" s="13">
        <f>$C$86</f>
        <v>500</v>
      </c>
      <c r="F20" s="13">
        <f t="shared" ref="F20:N20" si="22">0</f>
        <v>0</v>
      </c>
      <c r="G20" s="13">
        <f t="shared" si="22"/>
        <v>0</v>
      </c>
      <c r="H20" s="13">
        <f t="shared" si="22"/>
        <v>0</v>
      </c>
      <c r="I20" s="13">
        <f t="shared" si="22"/>
        <v>0</v>
      </c>
      <c r="J20" s="13">
        <f t="shared" si="22"/>
        <v>0</v>
      </c>
      <c r="K20" s="13">
        <f t="shared" si="22"/>
        <v>0</v>
      </c>
      <c r="L20" s="13">
        <f t="shared" si="22"/>
        <v>0</v>
      </c>
      <c r="M20" s="13">
        <f t="shared" si="22"/>
        <v>0</v>
      </c>
      <c r="N20" s="13">
        <f t="shared" si="22"/>
        <v>0</v>
      </c>
      <c r="O20" s="13"/>
      <c r="P20" s="13">
        <v>0.0</v>
      </c>
      <c r="Q20" s="13">
        <v>0.0</v>
      </c>
      <c r="R20" s="13">
        <v>0.0</v>
      </c>
    </row>
    <row r="21" ht="21.0" customHeight="1">
      <c r="A21" s="10"/>
      <c r="B21" s="11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</row>
    <row r="22" ht="21.0" customHeight="1">
      <c r="A22" s="18" t="s">
        <v>35</v>
      </c>
      <c r="B22" s="19" t="s">
        <v>21</v>
      </c>
      <c r="C22" s="20">
        <f t="shared" ref="C22:N22" si="23">SUM(C23:C27)</f>
        <v>0</v>
      </c>
      <c r="D22" s="20">
        <f t="shared" si="23"/>
        <v>0</v>
      </c>
      <c r="E22" s="20">
        <f t="shared" si="23"/>
        <v>0</v>
      </c>
      <c r="F22" s="20">
        <f t="shared" si="23"/>
        <v>7341</v>
      </c>
      <c r="G22" s="20">
        <f t="shared" si="23"/>
        <v>7341</v>
      </c>
      <c r="H22" s="20">
        <f t="shared" si="23"/>
        <v>8577</v>
      </c>
      <c r="I22" s="20">
        <f t="shared" si="23"/>
        <v>220</v>
      </c>
      <c r="J22" s="20">
        <f t="shared" si="23"/>
        <v>1110</v>
      </c>
      <c r="K22" s="20">
        <f t="shared" si="23"/>
        <v>2213.5</v>
      </c>
      <c r="L22" s="20">
        <f t="shared" si="23"/>
        <v>3414.75</v>
      </c>
      <c r="M22" s="20">
        <f t="shared" si="23"/>
        <v>4908.75</v>
      </c>
      <c r="N22" s="20">
        <f t="shared" si="23"/>
        <v>6340.5</v>
      </c>
      <c r="O22" s="20"/>
      <c r="P22" s="20">
        <f t="shared" ref="P22:R22" si="24">SUM(P23:P27)</f>
        <v>195543.25</v>
      </c>
      <c r="Q22" s="20">
        <f t="shared" si="24"/>
        <v>344432.5</v>
      </c>
      <c r="R22" s="20">
        <f t="shared" si="24"/>
        <v>512515.5</v>
      </c>
    </row>
    <row r="23" ht="21.0" customHeight="1" outlineLevel="1">
      <c r="A23" s="10" t="s">
        <v>36</v>
      </c>
      <c r="B23" s="11" t="s">
        <v>21</v>
      </c>
      <c r="C23" s="13">
        <f t="shared" ref="C23:N23" si="25">$C$65*$C$66*C111</f>
        <v>0</v>
      </c>
      <c r="D23" s="13">
        <f t="shared" si="25"/>
        <v>0</v>
      </c>
      <c r="E23" s="13">
        <f t="shared" si="25"/>
        <v>0</v>
      </c>
      <c r="F23" s="13">
        <f t="shared" si="25"/>
        <v>7341</v>
      </c>
      <c r="G23" s="13">
        <f t="shared" si="25"/>
        <v>7341</v>
      </c>
      <c r="H23" s="13">
        <f t="shared" si="25"/>
        <v>0</v>
      </c>
      <c r="I23" s="13">
        <f t="shared" si="25"/>
        <v>0</v>
      </c>
      <c r="J23" s="13">
        <f t="shared" si="25"/>
        <v>0</v>
      </c>
      <c r="K23" s="13">
        <f t="shared" si="25"/>
        <v>0</v>
      </c>
      <c r="L23" s="13">
        <f t="shared" si="25"/>
        <v>0</v>
      </c>
      <c r="M23" s="13">
        <f t="shared" si="25"/>
        <v>0</v>
      </c>
      <c r="N23" s="13">
        <f t="shared" si="25"/>
        <v>0</v>
      </c>
      <c r="O23" s="13"/>
      <c r="P23" s="13">
        <f t="shared" ref="P23:R23" si="26">P131*$C$66</f>
        <v>29364</v>
      </c>
      <c r="Q23" s="13">
        <f t="shared" si="26"/>
        <v>44046</v>
      </c>
      <c r="R23" s="13">
        <f t="shared" si="26"/>
        <v>58728</v>
      </c>
    </row>
    <row r="24" ht="21.0" customHeight="1" outlineLevel="1">
      <c r="A24" s="10" t="s">
        <v>37</v>
      </c>
      <c r="B24" s="11" t="s">
        <v>21</v>
      </c>
      <c r="C24" s="13">
        <f t="shared" ref="C24:N24" si="27">$C$65*$C$67*C112</f>
        <v>0</v>
      </c>
      <c r="D24" s="13">
        <f t="shared" si="27"/>
        <v>0</v>
      </c>
      <c r="E24" s="13">
        <f t="shared" si="27"/>
        <v>0</v>
      </c>
      <c r="F24" s="13">
        <f t="shared" si="27"/>
        <v>0</v>
      </c>
      <c r="G24" s="13">
        <f t="shared" si="27"/>
        <v>0</v>
      </c>
      <c r="H24" s="13">
        <f t="shared" si="27"/>
        <v>8477</v>
      </c>
      <c r="I24" s="13">
        <f t="shared" si="27"/>
        <v>0</v>
      </c>
      <c r="J24" s="13">
        <f t="shared" si="27"/>
        <v>0</v>
      </c>
      <c r="K24" s="13">
        <f t="shared" si="27"/>
        <v>0</v>
      </c>
      <c r="L24" s="13">
        <f t="shared" si="27"/>
        <v>0</v>
      </c>
      <c r="M24" s="13">
        <f t="shared" si="27"/>
        <v>0</v>
      </c>
      <c r="N24" s="13">
        <f t="shared" si="27"/>
        <v>0</v>
      </c>
      <c r="O24" s="13"/>
      <c r="P24" s="13">
        <f t="shared" ref="P24:R24" si="28">P131*$C$67</f>
        <v>16954</v>
      </c>
      <c r="Q24" s="13">
        <f t="shared" si="28"/>
        <v>25431</v>
      </c>
      <c r="R24" s="13">
        <f t="shared" si="28"/>
        <v>33908</v>
      </c>
    </row>
    <row r="25" ht="21.0" customHeight="1" outlineLevel="1">
      <c r="A25" s="10" t="s">
        <v>38</v>
      </c>
      <c r="B25" s="11" t="s">
        <v>21</v>
      </c>
      <c r="C25" s="13">
        <f t="shared" ref="C25:N25" si="29">$C$68*C113</f>
        <v>0</v>
      </c>
      <c r="D25" s="13">
        <f t="shared" si="29"/>
        <v>0</v>
      </c>
      <c r="E25" s="13">
        <f t="shared" si="29"/>
        <v>0</v>
      </c>
      <c r="F25" s="13">
        <f t="shared" si="29"/>
        <v>0</v>
      </c>
      <c r="G25" s="13">
        <f t="shared" si="29"/>
        <v>0</v>
      </c>
      <c r="H25" s="13">
        <f t="shared" si="29"/>
        <v>100</v>
      </c>
      <c r="I25" s="13">
        <f t="shared" si="29"/>
        <v>100</v>
      </c>
      <c r="J25" s="13">
        <f t="shared" si="29"/>
        <v>100</v>
      </c>
      <c r="K25" s="13">
        <f t="shared" si="29"/>
        <v>0</v>
      </c>
      <c r="L25" s="13">
        <f t="shared" si="29"/>
        <v>0</v>
      </c>
      <c r="M25" s="13">
        <f t="shared" si="29"/>
        <v>0</v>
      </c>
      <c r="N25" s="13">
        <f t="shared" si="29"/>
        <v>0</v>
      </c>
      <c r="O25" s="13"/>
      <c r="P25" s="13">
        <f t="shared" ref="P25:R25" si="30">P131*$C$68/$C$65</f>
        <v>600</v>
      </c>
      <c r="Q25" s="13">
        <f t="shared" si="30"/>
        <v>900</v>
      </c>
      <c r="R25" s="13">
        <f t="shared" si="30"/>
        <v>1200</v>
      </c>
    </row>
    <row r="26" ht="21.0" customHeight="1" outlineLevel="1">
      <c r="A26" s="10" t="s">
        <v>39</v>
      </c>
      <c r="B26" s="11" t="s">
        <v>21</v>
      </c>
      <c r="C26" s="13">
        <f t="shared" ref="C26:N26" si="31">C61*SUM($C$69:$C$70)</f>
        <v>0</v>
      </c>
      <c r="D26" s="13">
        <f t="shared" si="31"/>
        <v>0</v>
      </c>
      <c r="E26" s="13">
        <f t="shared" si="31"/>
        <v>0</v>
      </c>
      <c r="F26" s="13">
        <f t="shared" si="31"/>
        <v>0</v>
      </c>
      <c r="G26" s="13">
        <f t="shared" si="31"/>
        <v>0</v>
      </c>
      <c r="H26" s="13">
        <f t="shared" si="31"/>
        <v>0</v>
      </c>
      <c r="I26" s="13">
        <f t="shared" si="31"/>
        <v>0</v>
      </c>
      <c r="J26" s="13">
        <f t="shared" si="31"/>
        <v>800</v>
      </c>
      <c r="K26" s="13">
        <f t="shared" si="31"/>
        <v>1960</v>
      </c>
      <c r="L26" s="13">
        <f t="shared" si="31"/>
        <v>3060</v>
      </c>
      <c r="M26" s="13">
        <f t="shared" si="31"/>
        <v>4500</v>
      </c>
      <c r="N26" s="13">
        <f t="shared" si="31"/>
        <v>5880</v>
      </c>
      <c r="O26" s="13"/>
      <c r="P26" s="13">
        <f t="shared" ref="P26:R26" si="32">P61*SUM($C$69:$C$70)</f>
        <v>140940</v>
      </c>
      <c r="Q26" s="13">
        <f t="shared" si="32"/>
        <v>260680</v>
      </c>
      <c r="R26" s="13">
        <f t="shared" si="32"/>
        <v>398920</v>
      </c>
    </row>
    <row r="27" ht="21.0" customHeight="1" outlineLevel="1">
      <c r="A27" s="10" t="s">
        <v>40</v>
      </c>
      <c r="B27" s="11" t="s">
        <v>21</v>
      </c>
      <c r="C27" s="13">
        <f t="shared" ref="C27:N27" si="33">SUM(C5:C6)*$C$87</f>
        <v>0</v>
      </c>
      <c r="D27" s="13">
        <f t="shared" si="33"/>
        <v>0</v>
      </c>
      <c r="E27" s="13">
        <f t="shared" si="33"/>
        <v>0</v>
      </c>
      <c r="F27" s="13">
        <f t="shared" si="33"/>
        <v>0</v>
      </c>
      <c r="G27" s="13">
        <f t="shared" si="33"/>
        <v>0</v>
      </c>
      <c r="H27" s="13">
        <f t="shared" si="33"/>
        <v>0</v>
      </c>
      <c r="I27" s="13">
        <f t="shared" si="33"/>
        <v>120</v>
      </c>
      <c r="J27" s="13">
        <f t="shared" si="33"/>
        <v>210</v>
      </c>
      <c r="K27" s="13">
        <f t="shared" si="33"/>
        <v>253.5</v>
      </c>
      <c r="L27" s="13">
        <f t="shared" si="33"/>
        <v>354.75</v>
      </c>
      <c r="M27" s="13">
        <f t="shared" si="33"/>
        <v>408.75</v>
      </c>
      <c r="N27" s="13">
        <f t="shared" si="33"/>
        <v>460.5</v>
      </c>
      <c r="O27" s="13"/>
      <c r="P27" s="13">
        <f t="shared" ref="P27:R27" si="34">SUM(P5:P6)*$C$87</f>
        <v>7685.25</v>
      </c>
      <c r="Q27" s="13">
        <f t="shared" si="34"/>
        <v>13375.5</v>
      </c>
      <c r="R27" s="13">
        <f t="shared" si="34"/>
        <v>19759.5</v>
      </c>
    </row>
    <row r="28" ht="21.0" customHeight="1">
      <c r="A28" s="18" t="s">
        <v>41</v>
      </c>
      <c r="B28" s="19" t="s">
        <v>21</v>
      </c>
      <c r="C28" s="20">
        <f t="shared" ref="C28:N28" si="35">SUM(C29:C37)</f>
        <v>4450.833333</v>
      </c>
      <c r="D28" s="20">
        <f t="shared" si="35"/>
        <v>9228.333333</v>
      </c>
      <c r="E28" s="20">
        <f t="shared" si="35"/>
        <v>9534.583333</v>
      </c>
      <c r="F28" s="20">
        <f t="shared" si="35"/>
        <v>6594.583333</v>
      </c>
      <c r="G28" s="20">
        <f t="shared" si="35"/>
        <v>6655.833333</v>
      </c>
      <c r="H28" s="20">
        <f t="shared" si="35"/>
        <v>4573.333333</v>
      </c>
      <c r="I28" s="20">
        <f t="shared" si="35"/>
        <v>408.3333333</v>
      </c>
      <c r="J28" s="20">
        <f t="shared" si="35"/>
        <v>408.3333333</v>
      </c>
      <c r="K28" s="20">
        <f t="shared" si="35"/>
        <v>408.3333333</v>
      </c>
      <c r="L28" s="20">
        <f t="shared" si="35"/>
        <v>408.3333333</v>
      </c>
      <c r="M28" s="20">
        <f t="shared" si="35"/>
        <v>408.3333333</v>
      </c>
      <c r="N28" s="20">
        <f t="shared" si="35"/>
        <v>408.3333333</v>
      </c>
      <c r="O28" s="20"/>
      <c r="P28" s="20">
        <f t="shared" ref="P28:R28" si="36">SUM(P29:P37)</f>
        <v>9800</v>
      </c>
      <c r="Q28" s="20">
        <f t="shared" si="36"/>
        <v>14700</v>
      </c>
      <c r="R28" s="20">
        <f t="shared" si="36"/>
        <v>19600</v>
      </c>
    </row>
    <row r="29" ht="21.0" customHeight="1" outlineLevel="1">
      <c r="A29" s="10" t="s">
        <v>42</v>
      </c>
      <c r="B29" s="11" t="s">
        <v>21</v>
      </c>
      <c r="C29" s="13">
        <f t="shared" ref="C29:N29" si="37">$B$117*$C$76*$C$75*C117</f>
        <v>4042.5</v>
      </c>
      <c r="D29" s="13">
        <f t="shared" si="37"/>
        <v>2695</v>
      </c>
      <c r="E29" s="13">
        <f t="shared" si="37"/>
        <v>0</v>
      </c>
      <c r="F29" s="13">
        <f t="shared" si="37"/>
        <v>0</v>
      </c>
      <c r="G29" s="13">
        <f t="shared" si="37"/>
        <v>0</v>
      </c>
      <c r="H29" s="13">
        <f t="shared" si="37"/>
        <v>0</v>
      </c>
      <c r="I29" s="13">
        <f t="shared" si="37"/>
        <v>0</v>
      </c>
      <c r="J29" s="13">
        <f t="shared" si="37"/>
        <v>0</v>
      </c>
      <c r="K29" s="13">
        <f t="shared" si="37"/>
        <v>0</v>
      </c>
      <c r="L29" s="13">
        <f t="shared" si="37"/>
        <v>0</v>
      </c>
      <c r="M29" s="13">
        <f t="shared" si="37"/>
        <v>0</v>
      </c>
      <c r="N29" s="13">
        <f t="shared" si="37"/>
        <v>0</v>
      </c>
      <c r="O29" s="13"/>
      <c r="P29" s="13">
        <v>0.0</v>
      </c>
      <c r="Q29" s="13">
        <v>0.0</v>
      </c>
      <c r="R29" s="13">
        <v>0.0</v>
      </c>
    </row>
    <row r="30" ht="21.0" customHeight="1" outlineLevel="1">
      <c r="A30" s="10" t="s">
        <v>43</v>
      </c>
      <c r="B30" s="11" t="s">
        <v>21</v>
      </c>
      <c r="C30" s="13">
        <f t="shared" ref="C30:N30" si="38">$B$118*$C$76*$C$75*C118</f>
        <v>0</v>
      </c>
      <c r="D30" s="13">
        <f t="shared" si="38"/>
        <v>2450</v>
      </c>
      <c r="E30" s="13">
        <f t="shared" si="38"/>
        <v>2450</v>
      </c>
      <c r="F30" s="13">
        <f t="shared" si="38"/>
        <v>0</v>
      </c>
      <c r="G30" s="13">
        <f t="shared" si="38"/>
        <v>0</v>
      </c>
      <c r="H30" s="13">
        <f t="shared" si="38"/>
        <v>0</v>
      </c>
      <c r="I30" s="13">
        <f t="shared" si="38"/>
        <v>0</v>
      </c>
      <c r="J30" s="13">
        <f t="shared" si="38"/>
        <v>0</v>
      </c>
      <c r="K30" s="13">
        <f t="shared" si="38"/>
        <v>0</v>
      </c>
      <c r="L30" s="13">
        <f t="shared" si="38"/>
        <v>0</v>
      </c>
      <c r="M30" s="13">
        <f t="shared" si="38"/>
        <v>0</v>
      </c>
      <c r="N30" s="13">
        <f t="shared" si="38"/>
        <v>0</v>
      </c>
      <c r="O30" s="13"/>
      <c r="P30" s="13">
        <v>0.0</v>
      </c>
      <c r="Q30" s="13">
        <v>0.0</v>
      </c>
      <c r="R30" s="13">
        <v>0.0</v>
      </c>
    </row>
    <row r="31" ht="21.0" customHeight="1" outlineLevel="1">
      <c r="A31" s="10" t="s">
        <v>44</v>
      </c>
      <c r="B31" s="11" t="s">
        <v>21</v>
      </c>
      <c r="C31" s="13">
        <f t="shared" ref="C31:N31" si="39">$B$119*$C$76*$C$75*C119</f>
        <v>0</v>
      </c>
      <c r="D31" s="13">
        <f t="shared" si="39"/>
        <v>0</v>
      </c>
      <c r="E31" s="13">
        <f t="shared" si="39"/>
        <v>2450</v>
      </c>
      <c r="F31" s="13">
        <f t="shared" si="39"/>
        <v>2450</v>
      </c>
      <c r="G31" s="13">
        <f t="shared" si="39"/>
        <v>1225</v>
      </c>
      <c r="H31" s="13">
        <f t="shared" si="39"/>
        <v>0</v>
      </c>
      <c r="I31" s="13">
        <f t="shared" si="39"/>
        <v>0</v>
      </c>
      <c r="J31" s="13">
        <f t="shared" si="39"/>
        <v>0</v>
      </c>
      <c r="K31" s="13">
        <f t="shared" si="39"/>
        <v>0</v>
      </c>
      <c r="L31" s="13">
        <f t="shared" si="39"/>
        <v>0</v>
      </c>
      <c r="M31" s="13">
        <f t="shared" si="39"/>
        <v>0</v>
      </c>
      <c r="N31" s="13">
        <f t="shared" si="39"/>
        <v>0</v>
      </c>
      <c r="O31" s="13"/>
      <c r="P31" s="13">
        <v>0.0</v>
      </c>
      <c r="Q31" s="13">
        <v>0.0</v>
      </c>
      <c r="R31" s="13">
        <v>0.0</v>
      </c>
    </row>
    <row r="32" ht="21.0" customHeight="1" outlineLevel="1">
      <c r="A32" s="10" t="s">
        <v>45</v>
      </c>
      <c r="B32" s="11" t="s">
        <v>21</v>
      </c>
      <c r="C32" s="13">
        <f t="shared" ref="C32:N32" si="40">$B$120*$C$76*$C$75*C120</f>
        <v>0</v>
      </c>
      <c r="D32" s="21">
        <f t="shared" si="40"/>
        <v>1470</v>
      </c>
      <c r="E32" s="21">
        <f t="shared" si="40"/>
        <v>1470</v>
      </c>
      <c r="F32" s="21">
        <f t="shared" si="40"/>
        <v>980</v>
      </c>
      <c r="G32" s="21">
        <f t="shared" si="40"/>
        <v>980</v>
      </c>
      <c r="H32" s="21">
        <f t="shared" si="40"/>
        <v>0</v>
      </c>
      <c r="I32" s="21">
        <f t="shared" si="40"/>
        <v>0</v>
      </c>
      <c r="J32" s="21">
        <f t="shared" si="40"/>
        <v>0</v>
      </c>
      <c r="K32" s="21">
        <f t="shared" si="40"/>
        <v>0</v>
      </c>
      <c r="L32" s="21">
        <f t="shared" si="40"/>
        <v>0</v>
      </c>
      <c r="M32" s="21">
        <f t="shared" si="40"/>
        <v>0</v>
      </c>
      <c r="N32" s="21">
        <f t="shared" si="40"/>
        <v>0</v>
      </c>
      <c r="O32" s="21"/>
      <c r="P32" s="21">
        <v>0.0</v>
      </c>
      <c r="Q32" s="21">
        <v>0.0</v>
      </c>
      <c r="R32" s="21">
        <v>0.0</v>
      </c>
    </row>
    <row r="33" ht="21.0" customHeight="1" outlineLevel="1">
      <c r="A33" s="10" t="s">
        <v>46</v>
      </c>
      <c r="B33" s="11" t="s">
        <v>21</v>
      </c>
      <c r="C33" s="13">
        <f t="shared" ref="C33:N33" si="41">$B$121*$C$76*$C$75*C121</f>
        <v>0</v>
      </c>
      <c r="D33" s="21">
        <f t="shared" si="41"/>
        <v>2205</v>
      </c>
      <c r="E33" s="21">
        <f t="shared" si="41"/>
        <v>2756.25</v>
      </c>
      <c r="F33" s="21">
        <f t="shared" si="41"/>
        <v>2756.25</v>
      </c>
      <c r="G33" s="21">
        <f t="shared" si="41"/>
        <v>2205</v>
      </c>
      <c r="H33" s="21">
        <f t="shared" si="41"/>
        <v>1102.5</v>
      </c>
      <c r="I33" s="21">
        <f t="shared" si="41"/>
        <v>0</v>
      </c>
      <c r="J33" s="21">
        <f t="shared" si="41"/>
        <v>0</v>
      </c>
      <c r="K33" s="21">
        <f t="shared" si="41"/>
        <v>0</v>
      </c>
      <c r="L33" s="21">
        <f t="shared" si="41"/>
        <v>0</v>
      </c>
      <c r="M33" s="21">
        <f t="shared" si="41"/>
        <v>0</v>
      </c>
      <c r="N33" s="21">
        <f t="shared" si="41"/>
        <v>0</v>
      </c>
      <c r="O33" s="21"/>
      <c r="P33" s="21">
        <v>0.0</v>
      </c>
      <c r="Q33" s="21">
        <v>0.0</v>
      </c>
      <c r="R33" s="21">
        <v>0.0</v>
      </c>
    </row>
    <row r="34" ht="21.0" customHeight="1" outlineLevel="1">
      <c r="A34" s="10" t="s">
        <v>47</v>
      </c>
      <c r="B34" s="11" t="s">
        <v>21</v>
      </c>
      <c r="C34" s="13">
        <f t="shared" ref="C34:N34" si="42">$B$122*$C$76*$C$75*C122</f>
        <v>0</v>
      </c>
      <c r="D34" s="21">
        <f t="shared" si="42"/>
        <v>0</v>
      </c>
      <c r="E34" s="21">
        <f t="shared" si="42"/>
        <v>0</v>
      </c>
      <c r="F34" s="21">
        <f t="shared" si="42"/>
        <v>0</v>
      </c>
      <c r="G34" s="21">
        <f t="shared" si="42"/>
        <v>1837.5</v>
      </c>
      <c r="H34" s="21">
        <f t="shared" si="42"/>
        <v>1837.5</v>
      </c>
      <c r="I34" s="21">
        <f t="shared" si="42"/>
        <v>0</v>
      </c>
      <c r="J34" s="21">
        <f t="shared" si="42"/>
        <v>0</v>
      </c>
      <c r="K34" s="21">
        <f t="shared" si="42"/>
        <v>0</v>
      </c>
      <c r="L34" s="21">
        <f t="shared" si="42"/>
        <v>0</v>
      </c>
      <c r="M34" s="21">
        <f t="shared" si="42"/>
        <v>0</v>
      </c>
      <c r="N34" s="21">
        <f t="shared" si="42"/>
        <v>0</v>
      </c>
      <c r="O34" s="21"/>
      <c r="P34" s="21">
        <v>0.0</v>
      </c>
      <c r="Q34" s="21">
        <v>0.0</v>
      </c>
      <c r="R34" s="21">
        <v>0.0</v>
      </c>
    </row>
    <row r="35" ht="21.0" customHeight="1" outlineLevel="1">
      <c r="A35" s="10" t="s">
        <v>48</v>
      </c>
      <c r="B35" s="11" t="s">
        <v>21</v>
      </c>
      <c r="C35" s="13">
        <f t="shared" ref="C35:N35" si="43">$B$123*$C$76*$C$75*C123</f>
        <v>0</v>
      </c>
      <c r="D35" s="21">
        <f t="shared" si="43"/>
        <v>0</v>
      </c>
      <c r="E35" s="21">
        <f t="shared" si="43"/>
        <v>0</v>
      </c>
      <c r="F35" s="21">
        <f t="shared" si="43"/>
        <v>0</v>
      </c>
      <c r="G35" s="21">
        <f t="shared" si="43"/>
        <v>0</v>
      </c>
      <c r="H35" s="21">
        <f t="shared" si="43"/>
        <v>1225</v>
      </c>
      <c r="I35" s="21">
        <f t="shared" si="43"/>
        <v>0</v>
      </c>
      <c r="J35" s="21">
        <f t="shared" si="43"/>
        <v>0</v>
      </c>
      <c r="K35" s="21">
        <f t="shared" si="43"/>
        <v>0</v>
      </c>
      <c r="L35" s="21">
        <f t="shared" si="43"/>
        <v>0</v>
      </c>
      <c r="M35" s="21">
        <f t="shared" si="43"/>
        <v>0</v>
      </c>
      <c r="N35" s="21">
        <f t="shared" si="43"/>
        <v>0</v>
      </c>
      <c r="O35" s="21"/>
      <c r="P35" s="21">
        <v>0.0</v>
      </c>
      <c r="Q35" s="21">
        <v>0.0</v>
      </c>
      <c r="R35" s="21">
        <v>0.0</v>
      </c>
    </row>
    <row r="36" ht="21.0" customHeight="1" outlineLevel="1">
      <c r="A36" s="10" t="s">
        <v>49</v>
      </c>
      <c r="B36" s="11" t="s">
        <v>21</v>
      </c>
      <c r="C36" s="13">
        <f t="shared" ref="C36:N36" si="44">$B$124*$C$76*$C$75*C124</f>
        <v>408.3333333</v>
      </c>
      <c r="D36" s="13">
        <f t="shared" si="44"/>
        <v>408.3333333</v>
      </c>
      <c r="E36" s="13">
        <f t="shared" si="44"/>
        <v>408.3333333</v>
      </c>
      <c r="F36" s="13">
        <f t="shared" si="44"/>
        <v>408.3333333</v>
      </c>
      <c r="G36" s="13">
        <f t="shared" si="44"/>
        <v>408.3333333</v>
      </c>
      <c r="H36" s="13">
        <f t="shared" si="44"/>
        <v>408.3333333</v>
      </c>
      <c r="I36" s="13">
        <f t="shared" si="44"/>
        <v>0</v>
      </c>
      <c r="J36" s="13">
        <f t="shared" si="44"/>
        <v>0</v>
      </c>
      <c r="K36" s="13">
        <f t="shared" si="44"/>
        <v>0</v>
      </c>
      <c r="L36" s="13">
        <f t="shared" si="44"/>
        <v>0</v>
      </c>
      <c r="M36" s="13">
        <f t="shared" si="44"/>
        <v>0</v>
      </c>
      <c r="N36" s="13">
        <f t="shared" si="44"/>
        <v>0</v>
      </c>
      <c r="O36" s="13"/>
      <c r="P36" s="13">
        <v>0.0</v>
      </c>
      <c r="Q36" s="13">
        <v>0.0</v>
      </c>
      <c r="R36" s="13">
        <v>0.0</v>
      </c>
    </row>
    <row r="37" ht="21.0" customHeight="1" outlineLevel="1">
      <c r="A37" s="10" t="s">
        <v>50</v>
      </c>
      <c r="B37" s="11" t="s">
        <v>21</v>
      </c>
      <c r="C37" s="13">
        <f t="shared" ref="C37:H37" si="45">0</f>
        <v>0</v>
      </c>
      <c r="D37" s="13">
        <f t="shared" si="45"/>
        <v>0</v>
      </c>
      <c r="E37" s="13">
        <f t="shared" si="45"/>
        <v>0</v>
      </c>
      <c r="F37" s="13">
        <f t="shared" si="45"/>
        <v>0</v>
      </c>
      <c r="G37" s="13">
        <f t="shared" si="45"/>
        <v>0</v>
      </c>
      <c r="H37" s="13">
        <f t="shared" si="45"/>
        <v>0</v>
      </c>
      <c r="I37" s="13">
        <f t="shared" ref="I37:N37" si="46">$C$88*$C$76</f>
        <v>408.3333333</v>
      </c>
      <c r="J37" s="13">
        <f t="shared" si="46"/>
        <v>408.3333333</v>
      </c>
      <c r="K37" s="13">
        <f t="shared" si="46"/>
        <v>408.3333333</v>
      </c>
      <c r="L37" s="13">
        <f t="shared" si="46"/>
        <v>408.3333333</v>
      </c>
      <c r="M37" s="13">
        <f t="shared" si="46"/>
        <v>408.3333333</v>
      </c>
      <c r="N37" s="13">
        <f t="shared" si="46"/>
        <v>408.3333333</v>
      </c>
      <c r="O37" s="13"/>
      <c r="P37" s="13">
        <f t="shared" ref="P37:R37" si="47">P132*$C$76*P137</f>
        <v>9800</v>
      </c>
      <c r="Q37" s="13">
        <f t="shared" si="47"/>
        <v>14700</v>
      </c>
      <c r="R37" s="13">
        <f t="shared" si="47"/>
        <v>19600</v>
      </c>
    </row>
    <row r="38" ht="21.0" customHeight="1">
      <c r="A38" s="18" t="s">
        <v>51</v>
      </c>
      <c r="B38" s="19" t="s">
        <v>21</v>
      </c>
      <c r="C38" s="20">
        <f t="shared" ref="C38:N38" si="48">SUM(C39:C40)</f>
        <v>100</v>
      </c>
      <c r="D38" s="20">
        <f t="shared" si="48"/>
        <v>100</v>
      </c>
      <c r="E38" s="20">
        <f t="shared" si="48"/>
        <v>100</v>
      </c>
      <c r="F38" s="20">
        <f t="shared" si="48"/>
        <v>100</v>
      </c>
      <c r="G38" s="20">
        <f t="shared" si="48"/>
        <v>100</v>
      </c>
      <c r="H38" s="20">
        <f t="shared" si="48"/>
        <v>100</v>
      </c>
      <c r="I38" s="20">
        <f t="shared" si="48"/>
        <v>250</v>
      </c>
      <c r="J38" s="20">
        <f t="shared" si="48"/>
        <v>250</v>
      </c>
      <c r="K38" s="20">
        <f t="shared" si="48"/>
        <v>250</v>
      </c>
      <c r="L38" s="20">
        <f t="shared" si="48"/>
        <v>250</v>
      </c>
      <c r="M38" s="20">
        <f t="shared" si="48"/>
        <v>250</v>
      </c>
      <c r="N38" s="20">
        <f t="shared" si="48"/>
        <v>250</v>
      </c>
      <c r="O38" s="20"/>
      <c r="P38" s="20">
        <f t="shared" ref="P38:R38" si="49">SUM(P39:P40)</f>
        <v>4200</v>
      </c>
      <c r="Q38" s="20">
        <f t="shared" si="49"/>
        <v>5400</v>
      </c>
      <c r="R38" s="20">
        <f t="shared" si="49"/>
        <v>6600</v>
      </c>
    </row>
    <row r="39" ht="21.0" customHeight="1" outlineLevel="1">
      <c r="A39" s="11" t="s">
        <v>52</v>
      </c>
      <c r="B39" s="11" t="s">
        <v>21</v>
      </c>
      <c r="C39" s="13">
        <f t="shared" ref="C39:N39" si="50">$C$89</f>
        <v>100</v>
      </c>
      <c r="D39" s="13">
        <f t="shared" si="50"/>
        <v>100</v>
      </c>
      <c r="E39" s="13">
        <f t="shared" si="50"/>
        <v>100</v>
      </c>
      <c r="F39" s="13">
        <f t="shared" si="50"/>
        <v>100</v>
      </c>
      <c r="G39" s="13">
        <f t="shared" si="50"/>
        <v>100</v>
      </c>
      <c r="H39" s="13">
        <f t="shared" si="50"/>
        <v>100</v>
      </c>
      <c r="I39" s="13">
        <f t="shared" si="50"/>
        <v>100</v>
      </c>
      <c r="J39" s="13">
        <f t="shared" si="50"/>
        <v>100</v>
      </c>
      <c r="K39" s="13">
        <f t="shared" si="50"/>
        <v>100</v>
      </c>
      <c r="L39" s="13">
        <f t="shared" si="50"/>
        <v>100</v>
      </c>
      <c r="M39" s="13">
        <f t="shared" si="50"/>
        <v>100</v>
      </c>
      <c r="N39" s="13">
        <f t="shared" si="50"/>
        <v>100</v>
      </c>
      <c r="O39" s="13"/>
      <c r="P39" s="13">
        <f t="shared" ref="P39:R39" si="51">P134*P137</f>
        <v>1800</v>
      </c>
      <c r="Q39" s="13">
        <f t="shared" si="51"/>
        <v>2400</v>
      </c>
      <c r="R39" s="13">
        <f t="shared" si="51"/>
        <v>3000</v>
      </c>
    </row>
    <row r="40" ht="21.0" customHeight="1" outlineLevel="1">
      <c r="A40" s="11" t="s">
        <v>53</v>
      </c>
      <c r="B40" s="11" t="s">
        <v>21</v>
      </c>
      <c r="C40" s="13">
        <f t="shared" ref="C40:H40" si="52">0</f>
        <v>0</v>
      </c>
      <c r="D40" s="13">
        <f t="shared" si="52"/>
        <v>0</v>
      </c>
      <c r="E40" s="13">
        <f t="shared" si="52"/>
        <v>0</v>
      </c>
      <c r="F40" s="13">
        <f t="shared" si="52"/>
        <v>0</v>
      </c>
      <c r="G40" s="13">
        <f t="shared" si="52"/>
        <v>0</v>
      </c>
      <c r="H40" s="13">
        <f t="shared" si="52"/>
        <v>0</v>
      </c>
      <c r="I40" s="13">
        <f t="shared" ref="I40:N40" si="53">$C$90</f>
        <v>150</v>
      </c>
      <c r="J40" s="13">
        <f t="shared" si="53"/>
        <v>150</v>
      </c>
      <c r="K40" s="13">
        <f t="shared" si="53"/>
        <v>150</v>
      </c>
      <c r="L40" s="13">
        <f t="shared" si="53"/>
        <v>150</v>
      </c>
      <c r="M40" s="13">
        <f t="shared" si="53"/>
        <v>150</v>
      </c>
      <c r="N40" s="13">
        <f t="shared" si="53"/>
        <v>150</v>
      </c>
      <c r="O40" s="13"/>
      <c r="P40" s="13">
        <f t="shared" ref="P40:R40" si="54">P133*P137</f>
        <v>2400</v>
      </c>
      <c r="Q40" s="13">
        <f t="shared" si="54"/>
        <v>3000</v>
      </c>
      <c r="R40" s="13">
        <f t="shared" si="54"/>
        <v>3600</v>
      </c>
    </row>
    <row r="41" ht="21.0" customHeight="1">
      <c r="A41" s="22" t="s">
        <v>54</v>
      </c>
      <c r="B41" s="15" t="s">
        <v>21</v>
      </c>
      <c r="C41" s="16">
        <f t="shared" ref="C41:N41" si="55">SUM(C12,C17,C22,C28,C38)</f>
        <v>5250.833333</v>
      </c>
      <c r="D41" s="16">
        <f t="shared" si="55"/>
        <v>12028.33333</v>
      </c>
      <c r="E41" s="16">
        <f t="shared" si="55"/>
        <v>11334.58333</v>
      </c>
      <c r="F41" s="16">
        <f t="shared" si="55"/>
        <v>14735.58333</v>
      </c>
      <c r="G41" s="16">
        <f t="shared" si="55"/>
        <v>14796.83333</v>
      </c>
      <c r="H41" s="16">
        <f t="shared" si="55"/>
        <v>13950.33333</v>
      </c>
      <c r="I41" s="16">
        <f t="shared" si="55"/>
        <v>1578.333333</v>
      </c>
      <c r="J41" s="16">
        <f t="shared" si="55"/>
        <v>2468.333333</v>
      </c>
      <c r="K41" s="16">
        <f t="shared" si="55"/>
        <v>3571.833333</v>
      </c>
      <c r="L41" s="16">
        <f t="shared" si="55"/>
        <v>4773.083333</v>
      </c>
      <c r="M41" s="16">
        <f t="shared" si="55"/>
        <v>6267.083333</v>
      </c>
      <c r="N41" s="16">
        <f t="shared" si="55"/>
        <v>7698.833333</v>
      </c>
      <c r="O41" s="16"/>
      <c r="P41" s="16">
        <f t="shared" ref="P41:R41" si="56">SUM(P12,P17,P22,P28,P38)</f>
        <v>217943.25</v>
      </c>
      <c r="Q41" s="16">
        <f t="shared" si="56"/>
        <v>372932.5</v>
      </c>
      <c r="R41" s="16">
        <f t="shared" si="56"/>
        <v>547115.5</v>
      </c>
      <c r="S41" s="17"/>
      <c r="T41" s="17"/>
      <c r="U41" s="17"/>
      <c r="V41" s="17"/>
      <c r="W41" s="17"/>
      <c r="X41" s="17"/>
      <c r="Y41" s="17"/>
      <c r="Z41" s="17"/>
      <c r="AA41" s="17"/>
    </row>
    <row r="42" ht="21.0" customHeight="1">
      <c r="A42" s="23" t="s">
        <v>55</v>
      </c>
      <c r="B42" s="23" t="s">
        <v>21</v>
      </c>
      <c r="C42" s="24">
        <f t="shared" ref="C42:N42" si="57">C9-C41</f>
        <v>-5250.833333</v>
      </c>
      <c r="D42" s="24">
        <f t="shared" si="57"/>
        <v>-12028.33333</v>
      </c>
      <c r="E42" s="24">
        <f t="shared" si="57"/>
        <v>-11334.58333</v>
      </c>
      <c r="F42" s="24">
        <f t="shared" si="57"/>
        <v>-14735.58333</v>
      </c>
      <c r="G42" s="24">
        <f t="shared" si="57"/>
        <v>-14796.83333</v>
      </c>
      <c r="H42" s="24">
        <f t="shared" si="57"/>
        <v>-13950.33333</v>
      </c>
      <c r="I42" s="24">
        <f t="shared" si="57"/>
        <v>2421.666667</v>
      </c>
      <c r="J42" s="24">
        <f t="shared" si="57"/>
        <v>4531.666667</v>
      </c>
      <c r="K42" s="24">
        <f t="shared" si="57"/>
        <v>4878.166667</v>
      </c>
      <c r="L42" s="24">
        <f t="shared" si="57"/>
        <v>7051.916667</v>
      </c>
      <c r="M42" s="24">
        <f t="shared" si="57"/>
        <v>7357.916667</v>
      </c>
      <c r="N42" s="24">
        <f t="shared" si="57"/>
        <v>7651.166667</v>
      </c>
      <c r="O42" s="24"/>
      <c r="P42" s="24">
        <f t="shared" ref="P42:R42" si="58">P9-P41</f>
        <v>38231.75</v>
      </c>
      <c r="Q42" s="24">
        <f t="shared" si="58"/>
        <v>72917.5</v>
      </c>
      <c r="R42" s="24">
        <f t="shared" si="58"/>
        <v>111534.5</v>
      </c>
    </row>
    <row r="43" ht="21.0" customHeight="1">
      <c r="A43" s="25" t="s">
        <v>56</v>
      </c>
      <c r="B43" s="25" t="s">
        <v>21</v>
      </c>
      <c r="C43" s="26">
        <f>C42</f>
        <v>-5250.833333</v>
      </c>
      <c r="D43" s="26">
        <f t="shared" ref="D43:N43" si="59">C43+D42</f>
        <v>-17279.16667</v>
      </c>
      <c r="E43" s="26">
        <f t="shared" si="59"/>
        <v>-28613.75</v>
      </c>
      <c r="F43" s="26">
        <f t="shared" si="59"/>
        <v>-43349.33333</v>
      </c>
      <c r="G43" s="26">
        <f t="shared" si="59"/>
        <v>-58146.16667</v>
      </c>
      <c r="H43" s="26">
        <f t="shared" si="59"/>
        <v>-72096.5</v>
      </c>
      <c r="I43" s="26">
        <f t="shared" si="59"/>
        <v>-69674.83333</v>
      </c>
      <c r="J43" s="26">
        <f t="shared" si="59"/>
        <v>-65143.16667</v>
      </c>
      <c r="K43" s="26">
        <f t="shared" si="59"/>
        <v>-60265</v>
      </c>
      <c r="L43" s="26">
        <f t="shared" si="59"/>
        <v>-53213.08333</v>
      </c>
      <c r="M43" s="26">
        <f t="shared" si="59"/>
        <v>-45855.16667</v>
      </c>
      <c r="N43" s="26">
        <f t="shared" si="59"/>
        <v>-38204</v>
      </c>
      <c r="O43" s="26"/>
      <c r="P43" s="26">
        <f>N43+P42</f>
        <v>27.75</v>
      </c>
      <c r="Q43" s="26">
        <f t="shared" ref="Q43:R43" si="60">P43+Q42</f>
        <v>72945.25</v>
      </c>
      <c r="R43" s="26">
        <f t="shared" si="60"/>
        <v>184479.75</v>
      </c>
      <c r="S43" s="27"/>
      <c r="T43" s="27"/>
      <c r="U43" s="27"/>
      <c r="V43" s="27"/>
      <c r="W43" s="27"/>
      <c r="X43" s="27"/>
      <c r="Y43" s="27"/>
      <c r="Z43" s="27"/>
      <c r="AA43" s="27"/>
    </row>
    <row r="44" ht="21.0" customHeight="1">
      <c r="A44" s="1"/>
      <c r="B44" s="1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</row>
    <row r="45" ht="21.0" customHeight="1">
      <c r="A45" s="29" t="s">
        <v>57</v>
      </c>
      <c r="B45" s="29"/>
      <c r="C45" s="30">
        <f t="shared" ref="C45:N45" si="61">SUM(C5:C7)-C41</f>
        <v>-5250.833333</v>
      </c>
      <c r="D45" s="30">
        <f t="shared" si="61"/>
        <v>-12028.33333</v>
      </c>
      <c r="E45" s="30">
        <f t="shared" si="61"/>
        <v>-11334.58333</v>
      </c>
      <c r="F45" s="30">
        <f t="shared" si="61"/>
        <v>-14735.58333</v>
      </c>
      <c r="G45" s="30">
        <f t="shared" si="61"/>
        <v>-14796.83333</v>
      </c>
      <c r="H45" s="30">
        <f t="shared" si="61"/>
        <v>-13950.33333</v>
      </c>
      <c r="I45" s="30">
        <f t="shared" si="61"/>
        <v>2421.666667</v>
      </c>
      <c r="J45" s="30">
        <f t="shared" si="61"/>
        <v>4531.666667</v>
      </c>
      <c r="K45" s="30">
        <f t="shared" si="61"/>
        <v>4878.166667</v>
      </c>
      <c r="L45" s="30">
        <f t="shared" si="61"/>
        <v>7051.916667</v>
      </c>
      <c r="M45" s="30">
        <f t="shared" si="61"/>
        <v>7357.916667</v>
      </c>
      <c r="N45" s="30">
        <f t="shared" si="61"/>
        <v>7651.166667</v>
      </c>
      <c r="O45" s="30"/>
      <c r="P45" s="30">
        <f t="shared" ref="P45:R45" si="62">SUM(P5:P7)-P41</f>
        <v>38231.75</v>
      </c>
      <c r="Q45" s="30">
        <f t="shared" si="62"/>
        <v>72917.5</v>
      </c>
      <c r="R45" s="30">
        <f t="shared" si="62"/>
        <v>111534.5</v>
      </c>
    </row>
    <row r="46" ht="21.0" customHeight="1">
      <c r="A46" s="29" t="s">
        <v>58</v>
      </c>
      <c r="B46" s="29"/>
      <c r="C46" s="30">
        <f>C45</f>
        <v>-5250.833333</v>
      </c>
      <c r="D46" s="30">
        <f t="shared" ref="D46:N46" si="63">C46+D45</f>
        <v>-17279.16667</v>
      </c>
      <c r="E46" s="30">
        <f t="shared" si="63"/>
        <v>-28613.75</v>
      </c>
      <c r="F46" s="30">
        <f t="shared" si="63"/>
        <v>-43349.33333</v>
      </c>
      <c r="G46" s="30">
        <f t="shared" si="63"/>
        <v>-58146.16667</v>
      </c>
      <c r="H46" s="30">
        <f t="shared" si="63"/>
        <v>-72096.5</v>
      </c>
      <c r="I46" s="30">
        <f t="shared" si="63"/>
        <v>-69674.83333</v>
      </c>
      <c r="J46" s="30">
        <f t="shared" si="63"/>
        <v>-65143.16667</v>
      </c>
      <c r="K46" s="30">
        <f t="shared" si="63"/>
        <v>-60265</v>
      </c>
      <c r="L46" s="30">
        <f t="shared" si="63"/>
        <v>-53213.08333</v>
      </c>
      <c r="M46" s="30">
        <f t="shared" si="63"/>
        <v>-45855.16667</v>
      </c>
      <c r="N46" s="30">
        <f t="shared" si="63"/>
        <v>-38204</v>
      </c>
      <c r="O46" s="30"/>
      <c r="P46" s="30">
        <f>N46+P45</f>
        <v>27.75</v>
      </c>
      <c r="Q46" s="30">
        <f t="shared" ref="Q46:R46" si="64">P46+Q45</f>
        <v>72945.25</v>
      </c>
      <c r="R46" s="30">
        <f t="shared" si="64"/>
        <v>184479.75</v>
      </c>
    </row>
    <row r="47" ht="21.0" customHeight="1">
      <c r="A47" s="1"/>
      <c r="B47" s="1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ht="21.0" customHeight="1">
      <c r="A48" s="31" t="s">
        <v>59</v>
      </c>
      <c r="B48" s="31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</row>
    <row r="49" ht="21.0" customHeight="1">
      <c r="A49" s="1" t="s">
        <v>60</v>
      </c>
      <c r="B49" s="1"/>
      <c r="C49" s="28">
        <f>SUM(C5:R6)</f>
        <v>1420925</v>
      </c>
      <c r="D49" s="28"/>
      <c r="E49" s="30" t="s">
        <v>61</v>
      </c>
      <c r="F49" s="30"/>
      <c r="G49" s="33">
        <f>XNPV(C153,G166:G181,F166:F181)</f>
        <v>83656.94887</v>
      </c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ht="21.0" customHeight="1">
      <c r="A50" s="1" t="s">
        <v>62</v>
      </c>
      <c r="B50" s="1"/>
      <c r="C50" s="28">
        <f>SUM(C41:R41)</f>
        <v>1236445.25</v>
      </c>
      <c r="D50" s="28"/>
      <c r="E50" s="30" t="s">
        <v>63</v>
      </c>
      <c r="F50" s="30"/>
      <c r="G50" s="34">
        <f>XIRR(G166:G181,F166:F181)</f>
        <v>0.7338745446</v>
      </c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ht="21.0" customHeight="1">
      <c r="A51" s="1" t="s">
        <v>64</v>
      </c>
      <c r="B51" s="1"/>
      <c r="C51" s="28">
        <f>SUM(C45:R45)</f>
        <v>184479.75</v>
      </c>
      <c r="D51" s="28"/>
      <c r="E51" s="30" t="s">
        <v>65</v>
      </c>
      <c r="F51" s="30"/>
      <c r="G51" s="34">
        <f>C153</f>
        <v>0.2</v>
      </c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ht="21.0" customHeight="1">
      <c r="A52" s="29" t="s">
        <v>66</v>
      </c>
      <c r="B52" s="29"/>
      <c r="C52" s="30">
        <f>MAX(0,-MIN(C46:R46))</f>
        <v>72096.5</v>
      </c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</row>
    <row r="53" ht="21.0" customHeight="1">
      <c r="A53" s="1" t="s">
        <v>67</v>
      </c>
      <c r="B53" s="1"/>
      <c r="C53" s="28">
        <f>C52+C91</f>
        <v>72096.5</v>
      </c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ht="21.0" customHeight="1">
      <c r="A54" s="29" t="s">
        <v>68</v>
      </c>
      <c r="B54" s="29"/>
      <c r="C54" s="30">
        <f>R43</f>
        <v>184479.75</v>
      </c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</row>
    <row r="55" ht="21.0" customHeight="1">
      <c r="A55" s="1" t="s">
        <v>69</v>
      </c>
      <c r="B55" s="1"/>
      <c r="C55" s="28">
        <f>C92</f>
        <v>64496.5</v>
      </c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ht="21.0" customHeight="1">
      <c r="A56" s="1" t="s">
        <v>70</v>
      </c>
      <c r="B56" s="1"/>
      <c r="C56" s="35">
        <f>SUM(C23:N25,C29:N36)-C92</f>
        <v>0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</row>
    <row r="57" ht="21.0" customHeight="1">
      <c r="A57" s="1"/>
      <c r="B57" s="1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</row>
    <row r="58" ht="21.0" customHeight="1">
      <c r="A58" s="31" t="s">
        <v>71</v>
      </c>
      <c r="B58" s="31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</row>
    <row r="59" ht="21.0" customHeight="1">
      <c r="A59" s="1" t="s">
        <v>72</v>
      </c>
      <c r="B59" s="1"/>
      <c r="C59" s="37">
        <f t="shared" ref="C59:N59" si="65">C110</f>
        <v>0</v>
      </c>
      <c r="D59" s="37">
        <f t="shared" si="65"/>
        <v>0</v>
      </c>
      <c r="E59" s="37">
        <f t="shared" si="65"/>
        <v>0</v>
      </c>
      <c r="F59" s="37">
        <f t="shared" si="65"/>
        <v>0</v>
      </c>
      <c r="G59" s="37">
        <f t="shared" si="65"/>
        <v>0</v>
      </c>
      <c r="H59" s="37">
        <f t="shared" si="65"/>
        <v>0</v>
      </c>
      <c r="I59" s="37">
        <f t="shared" si="65"/>
        <v>10</v>
      </c>
      <c r="J59" s="37">
        <f t="shared" si="65"/>
        <v>15</v>
      </c>
      <c r="K59" s="37">
        <f t="shared" si="65"/>
        <v>15</v>
      </c>
      <c r="L59" s="37">
        <f t="shared" si="65"/>
        <v>20</v>
      </c>
      <c r="M59" s="37">
        <f t="shared" si="65"/>
        <v>20</v>
      </c>
      <c r="N59" s="37">
        <f t="shared" si="65"/>
        <v>20</v>
      </c>
      <c r="O59" s="37"/>
      <c r="P59" s="37">
        <f t="shared" ref="P59:R59" si="66">P131</f>
        <v>200</v>
      </c>
      <c r="Q59" s="37">
        <f t="shared" si="66"/>
        <v>300</v>
      </c>
      <c r="R59" s="37">
        <f t="shared" si="66"/>
        <v>400</v>
      </c>
    </row>
    <row r="60" ht="21.0" customHeight="1">
      <c r="A60" s="1" t="s">
        <v>73</v>
      </c>
      <c r="B60" s="1"/>
      <c r="C60" s="38">
        <f>0</f>
        <v>0</v>
      </c>
      <c r="D60" s="38">
        <f t="shared" ref="D60:N60" si="67">C60*$C$80+C59</f>
        <v>0</v>
      </c>
      <c r="E60" s="38">
        <f t="shared" si="67"/>
        <v>0</v>
      </c>
      <c r="F60" s="38">
        <f t="shared" si="67"/>
        <v>0</v>
      </c>
      <c r="G60" s="38">
        <f t="shared" si="67"/>
        <v>0</v>
      </c>
      <c r="H60" s="38">
        <f t="shared" si="67"/>
        <v>0</v>
      </c>
      <c r="I60" s="38">
        <f t="shared" si="67"/>
        <v>0</v>
      </c>
      <c r="J60" s="38">
        <f t="shared" si="67"/>
        <v>10</v>
      </c>
      <c r="K60" s="38">
        <f t="shared" si="67"/>
        <v>24.5</v>
      </c>
      <c r="L60" s="38">
        <f t="shared" si="67"/>
        <v>38.275</v>
      </c>
      <c r="M60" s="38">
        <f t="shared" si="67"/>
        <v>56.36125</v>
      </c>
      <c r="N60" s="38">
        <f t="shared" si="67"/>
        <v>73.5431875</v>
      </c>
      <c r="O60" s="38"/>
      <c r="P60" s="38">
        <f t="shared" ref="P60:R60" si="68">(P140*P138+P131/P137*P139)/P137</f>
        <v>146.821182</v>
      </c>
      <c r="Q60" s="38">
        <f t="shared" si="68"/>
        <v>271.5385241</v>
      </c>
      <c r="R60" s="38">
        <f t="shared" si="68"/>
        <v>415.5374501</v>
      </c>
    </row>
    <row r="61" ht="21.0" customHeight="1">
      <c r="A61" s="1" t="s">
        <v>74</v>
      </c>
      <c r="B61" s="1"/>
      <c r="C61" s="37">
        <f t="shared" ref="C61:N61" si="69">ROUND(C60*$C$79,0)</f>
        <v>0</v>
      </c>
      <c r="D61" s="37">
        <f t="shared" si="69"/>
        <v>0</v>
      </c>
      <c r="E61" s="37">
        <f t="shared" si="69"/>
        <v>0</v>
      </c>
      <c r="F61" s="37">
        <f t="shared" si="69"/>
        <v>0</v>
      </c>
      <c r="G61" s="37">
        <f t="shared" si="69"/>
        <v>0</v>
      </c>
      <c r="H61" s="37">
        <f t="shared" si="69"/>
        <v>0</v>
      </c>
      <c r="I61" s="37">
        <f t="shared" si="69"/>
        <v>0</v>
      </c>
      <c r="J61" s="37">
        <f t="shared" si="69"/>
        <v>40</v>
      </c>
      <c r="K61" s="37">
        <f t="shared" si="69"/>
        <v>98</v>
      </c>
      <c r="L61" s="37">
        <f t="shared" si="69"/>
        <v>153</v>
      </c>
      <c r="M61" s="37">
        <f t="shared" si="69"/>
        <v>225</v>
      </c>
      <c r="N61" s="37">
        <f t="shared" si="69"/>
        <v>294</v>
      </c>
      <c r="O61" s="37"/>
      <c r="P61" s="37">
        <f t="shared" ref="P61:R61" si="70">ROUND(P60*P137*$C$79,0)</f>
        <v>7047</v>
      </c>
      <c r="Q61" s="37">
        <f t="shared" si="70"/>
        <v>13034</v>
      </c>
      <c r="R61" s="37">
        <f t="shared" si="70"/>
        <v>19946</v>
      </c>
    </row>
    <row r="62" ht="21.0" customHeight="1">
      <c r="A62" s="1" t="s">
        <v>75</v>
      </c>
      <c r="B62" s="1"/>
      <c r="C62" s="37">
        <f>C114-C59</f>
        <v>0</v>
      </c>
      <c r="D62" s="37">
        <f t="shared" ref="D62:N62" si="71">C62+D114-D59</f>
        <v>0</v>
      </c>
      <c r="E62" s="37">
        <f t="shared" si="71"/>
        <v>0</v>
      </c>
      <c r="F62" s="37">
        <f t="shared" si="71"/>
        <v>0</v>
      </c>
      <c r="G62" s="37">
        <f t="shared" si="71"/>
        <v>0</v>
      </c>
      <c r="H62" s="37">
        <f t="shared" si="71"/>
        <v>100</v>
      </c>
      <c r="I62" s="37">
        <f t="shared" si="71"/>
        <v>90</v>
      </c>
      <c r="J62" s="37">
        <f t="shared" si="71"/>
        <v>75</v>
      </c>
      <c r="K62" s="37">
        <f t="shared" si="71"/>
        <v>60</v>
      </c>
      <c r="L62" s="37">
        <f t="shared" si="71"/>
        <v>40</v>
      </c>
      <c r="M62" s="37">
        <f t="shared" si="71"/>
        <v>20</v>
      </c>
      <c r="N62" s="37">
        <f t="shared" si="71"/>
        <v>0</v>
      </c>
      <c r="O62" s="37"/>
      <c r="P62" s="37">
        <f>N62+P131-P59</f>
        <v>0</v>
      </c>
      <c r="Q62" s="37">
        <f t="shared" ref="Q62:R62" si="72">P62+Q131-Q59</f>
        <v>0</v>
      </c>
      <c r="R62" s="37">
        <f t="shared" si="72"/>
        <v>0</v>
      </c>
    </row>
    <row r="63" ht="21.0" customHeight="1">
      <c r="A63" s="1"/>
      <c r="B63" s="1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1"/>
      <c r="P63" s="1"/>
      <c r="Q63" s="1"/>
      <c r="R63" s="1"/>
    </row>
    <row r="64" ht="21.0" customHeight="1">
      <c r="A64" s="31" t="s">
        <v>76</v>
      </c>
      <c r="B64" s="31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1"/>
      <c r="P64" s="1"/>
      <c r="Q64" s="1"/>
      <c r="R64" s="1"/>
    </row>
    <row r="65" ht="21.0" customHeight="1">
      <c r="A65" s="1" t="s">
        <v>77</v>
      </c>
      <c r="B65" s="1"/>
      <c r="C65" s="39">
        <v>100.0</v>
      </c>
      <c r="D65" s="2"/>
      <c r="E65" s="2" t="s">
        <v>78</v>
      </c>
      <c r="F65" s="2"/>
      <c r="G65" s="2"/>
      <c r="H65" s="2"/>
      <c r="I65" s="2"/>
      <c r="J65" s="2"/>
      <c r="K65" s="2"/>
      <c r="L65" s="2"/>
      <c r="M65" s="2"/>
      <c r="N65" s="2"/>
      <c r="O65" s="1"/>
      <c r="P65" s="1"/>
      <c r="Q65" s="1"/>
      <c r="R65" s="1"/>
    </row>
    <row r="66" ht="21.0" customHeight="1">
      <c r="A66" s="1" t="s">
        <v>79</v>
      </c>
      <c r="B66" s="1"/>
      <c r="C66" s="40">
        <v>146.82</v>
      </c>
      <c r="D66" s="2"/>
      <c r="E66" s="2" t="s">
        <v>80</v>
      </c>
      <c r="F66" s="2"/>
      <c r="G66" s="2"/>
      <c r="H66" s="2"/>
      <c r="I66" s="2"/>
      <c r="J66" s="2"/>
      <c r="K66" s="2"/>
      <c r="L66" s="2"/>
      <c r="M66" s="2"/>
      <c r="N66" s="2"/>
      <c r="O66" s="1"/>
      <c r="P66" s="1"/>
      <c r="Q66" s="1"/>
      <c r="R66" s="1"/>
    </row>
    <row r="67" ht="21.0" customHeight="1">
      <c r="A67" s="1" t="s">
        <v>81</v>
      </c>
      <c r="B67" s="1"/>
      <c r="C67" s="40">
        <v>84.77</v>
      </c>
      <c r="D67" s="2"/>
      <c r="E67" s="2" t="s">
        <v>82</v>
      </c>
      <c r="F67" s="2"/>
      <c r="G67" s="2"/>
      <c r="H67" s="2"/>
      <c r="I67" s="2"/>
      <c r="J67" s="2"/>
      <c r="K67" s="2"/>
      <c r="L67" s="2"/>
      <c r="M67" s="2"/>
      <c r="N67" s="2"/>
      <c r="O67" s="1"/>
      <c r="P67" s="1"/>
      <c r="Q67" s="1"/>
      <c r="R67" s="1"/>
    </row>
    <row r="68" ht="21.0" customHeight="1">
      <c r="A68" s="1" t="s">
        <v>83</v>
      </c>
      <c r="B68" s="1"/>
      <c r="C68" s="40">
        <v>300.0</v>
      </c>
      <c r="D68" s="2"/>
      <c r="E68" s="2" t="s">
        <v>84</v>
      </c>
      <c r="F68" s="2"/>
      <c r="G68" s="2"/>
      <c r="H68" s="2"/>
      <c r="I68" s="2"/>
      <c r="J68" s="2"/>
      <c r="K68" s="2"/>
      <c r="L68" s="2"/>
      <c r="M68" s="2"/>
      <c r="N68" s="2"/>
      <c r="O68" s="1"/>
      <c r="P68" s="1"/>
      <c r="Q68" s="1"/>
      <c r="R68" s="1"/>
    </row>
    <row r="69" ht="21.0" customHeight="1">
      <c r="A69" s="1" t="s">
        <v>85</v>
      </c>
      <c r="B69" s="1"/>
      <c r="C69" s="40">
        <v>17.0</v>
      </c>
      <c r="D69" s="2"/>
      <c r="E69" s="2" t="s">
        <v>86</v>
      </c>
      <c r="F69" s="2"/>
      <c r="G69" s="2"/>
      <c r="H69" s="2"/>
      <c r="I69" s="2"/>
      <c r="J69" s="2"/>
      <c r="K69" s="2"/>
      <c r="L69" s="2"/>
      <c r="M69" s="2"/>
      <c r="N69" s="2"/>
      <c r="O69" s="1"/>
      <c r="P69" s="1"/>
      <c r="Q69" s="1"/>
      <c r="R69" s="1"/>
    </row>
    <row r="70" ht="21.0" customHeight="1">
      <c r="A70" s="1" t="s">
        <v>87</v>
      </c>
      <c r="B70" s="1"/>
      <c r="C70" s="40">
        <v>3.0</v>
      </c>
      <c r="D70" s="2"/>
      <c r="E70" s="2" t="s">
        <v>88</v>
      </c>
      <c r="F70" s="2"/>
      <c r="G70" s="2"/>
      <c r="H70" s="2"/>
      <c r="I70" s="2"/>
      <c r="J70" s="2"/>
      <c r="K70" s="2"/>
      <c r="L70" s="2"/>
      <c r="M70" s="2"/>
      <c r="N70" s="2"/>
      <c r="O70" s="1"/>
      <c r="P70" s="1"/>
      <c r="Q70" s="1"/>
      <c r="R70" s="1"/>
    </row>
    <row r="71" ht="21.0" customHeight="1">
      <c r="A71" s="1" t="s">
        <v>89</v>
      </c>
      <c r="B71" s="1"/>
      <c r="C71" s="40">
        <v>3500000.0</v>
      </c>
      <c r="D71" s="2"/>
      <c r="E71" s="2" t="s">
        <v>90</v>
      </c>
      <c r="F71" s="2"/>
      <c r="G71" s="2"/>
      <c r="H71" s="2"/>
      <c r="I71" s="2"/>
      <c r="J71" s="2"/>
      <c r="K71" s="2"/>
      <c r="L71" s="2"/>
      <c r="M71" s="2"/>
      <c r="N71" s="2"/>
      <c r="O71" s="1"/>
      <c r="P71" s="1"/>
      <c r="Q71" s="1"/>
      <c r="R71" s="1"/>
    </row>
    <row r="72" ht="21.0" customHeight="1">
      <c r="A72" s="1" t="s">
        <v>91</v>
      </c>
      <c r="B72" s="1"/>
      <c r="C72" s="41">
        <v>160.0</v>
      </c>
      <c r="D72" s="2"/>
      <c r="E72" s="2" t="s">
        <v>92</v>
      </c>
      <c r="F72" s="2"/>
      <c r="G72" s="2"/>
      <c r="H72" s="2"/>
      <c r="I72" s="2"/>
      <c r="J72" s="2"/>
      <c r="K72" s="2"/>
      <c r="L72" s="2"/>
      <c r="M72" s="2"/>
      <c r="N72" s="2"/>
      <c r="O72" s="1"/>
      <c r="P72" s="1"/>
      <c r="Q72" s="1"/>
      <c r="R72" s="1"/>
    </row>
    <row r="73" ht="21.0" customHeight="1">
      <c r="A73" s="1" t="s">
        <v>93</v>
      </c>
      <c r="B73" s="1"/>
      <c r="C73" s="40">
        <v>1.4</v>
      </c>
      <c r="D73" s="2"/>
      <c r="E73" s="2" t="s">
        <v>92</v>
      </c>
      <c r="F73" s="2"/>
      <c r="G73" s="2"/>
      <c r="H73" s="2"/>
      <c r="I73" s="2"/>
      <c r="J73" s="2"/>
      <c r="K73" s="2"/>
      <c r="L73" s="2"/>
      <c r="M73" s="2"/>
      <c r="N73" s="2"/>
      <c r="O73" s="1"/>
      <c r="P73" s="1"/>
      <c r="Q73" s="1"/>
      <c r="R73" s="1"/>
    </row>
    <row r="74" ht="21.0" customHeight="1">
      <c r="A74" s="1" t="s">
        <v>94</v>
      </c>
      <c r="B74" s="1"/>
      <c r="C74" s="40">
        <v>1500.0</v>
      </c>
      <c r="D74" s="2"/>
      <c r="E74" s="2" t="s">
        <v>95</v>
      </c>
      <c r="F74" s="2"/>
      <c r="G74" s="2"/>
      <c r="H74" s="2"/>
      <c r="I74" s="2"/>
      <c r="J74" s="2"/>
      <c r="K74" s="2"/>
      <c r="L74" s="2"/>
      <c r="M74" s="2"/>
      <c r="N74" s="2"/>
      <c r="O74" s="1"/>
      <c r="P74" s="1"/>
      <c r="Q74" s="1"/>
      <c r="R74" s="1"/>
    </row>
    <row r="75" ht="21.0" customHeight="1">
      <c r="A75" s="1" t="s">
        <v>96</v>
      </c>
      <c r="B75" s="1"/>
      <c r="C75" s="40">
        <v>1.5</v>
      </c>
      <c r="D75" s="2"/>
      <c r="E75" s="2" t="s">
        <v>97</v>
      </c>
      <c r="F75" s="2"/>
      <c r="G75" s="2"/>
      <c r="H75" s="2"/>
      <c r="I75" s="2"/>
      <c r="J75" s="2"/>
      <c r="K75" s="2"/>
      <c r="L75" s="2"/>
      <c r="M75" s="2"/>
      <c r="N75" s="2"/>
      <c r="O75" s="1"/>
      <c r="P75" s="1"/>
      <c r="Q75" s="1"/>
      <c r="R75" s="1"/>
    </row>
    <row r="76" ht="21.0" customHeight="1">
      <c r="A76" s="1" t="s">
        <v>98</v>
      </c>
      <c r="B76" s="1"/>
      <c r="C76" s="42">
        <f>C71/C72*C73/C74</f>
        <v>20.41666667</v>
      </c>
      <c r="D76" s="2"/>
      <c r="E76" s="2" t="s">
        <v>99</v>
      </c>
      <c r="F76" s="2"/>
      <c r="G76" s="2"/>
      <c r="H76" s="2"/>
      <c r="I76" s="2"/>
      <c r="J76" s="2"/>
      <c r="K76" s="2"/>
      <c r="L76" s="2"/>
      <c r="M76" s="2"/>
      <c r="N76" s="2"/>
      <c r="O76" s="1"/>
      <c r="P76" s="1"/>
      <c r="Q76" s="1"/>
      <c r="R76" s="1"/>
    </row>
    <row r="77" ht="21.0" customHeight="1">
      <c r="A77" s="1" t="s">
        <v>100</v>
      </c>
      <c r="B77" s="1"/>
      <c r="C77" s="43">
        <v>400.0</v>
      </c>
      <c r="D77" s="2"/>
      <c r="E77" s="2" t="s">
        <v>101</v>
      </c>
      <c r="F77" s="2"/>
      <c r="G77" s="2"/>
      <c r="H77" s="2"/>
      <c r="I77" s="2"/>
      <c r="J77" s="2"/>
      <c r="K77" s="2"/>
      <c r="L77" s="2"/>
      <c r="M77" s="2"/>
      <c r="N77" s="2"/>
      <c r="O77" s="1"/>
      <c r="P77" s="1"/>
      <c r="Q77" s="1"/>
      <c r="R77" s="1"/>
    </row>
    <row r="78" ht="21.0" customHeight="1">
      <c r="A78" s="1" t="s">
        <v>102</v>
      </c>
      <c r="B78" s="1"/>
      <c r="C78" s="40">
        <v>25.0</v>
      </c>
      <c r="D78" s="2"/>
      <c r="E78" s="2" t="s">
        <v>101</v>
      </c>
      <c r="F78" s="2"/>
      <c r="G78" s="2"/>
      <c r="H78" s="2"/>
      <c r="I78" s="2"/>
      <c r="J78" s="2"/>
      <c r="K78" s="2"/>
      <c r="L78" s="2"/>
      <c r="M78" s="2"/>
      <c r="N78" s="2"/>
      <c r="O78" s="1"/>
      <c r="P78" s="1"/>
      <c r="Q78" s="1"/>
      <c r="R78" s="1"/>
    </row>
    <row r="79" ht="21.0" customHeight="1">
      <c r="A79" s="1" t="s">
        <v>103</v>
      </c>
      <c r="B79" s="1"/>
      <c r="C79" s="41">
        <v>4.0</v>
      </c>
      <c r="D79" s="2"/>
      <c r="E79" s="2" t="s">
        <v>104</v>
      </c>
      <c r="F79" s="2"/>
      <c r="G79" s="2"/>
      <c r="H79" s="2"/>
      <c r="I79" s="2"/>
      <c r="J79" s="2"/>
      <c r="K79" s="2"/>
      <c r="L79" s="2"/>
      <c r="M79" s="2"/>
      <c r="N79" s="2"/>
      <c r="O79" s="1"/>
      <c r="P79" s="1"/>
      <c r="Q79" s="1"/>
      <c r="R79" s="1"/>
    </row>
    <row r="80" ht="21.0" customHeight="1">
      <c r="A80" s="1" t="s">
        <v>105</v>
      </c>
      <c r="B80" s="1"/>
      <c r="C80" s="44">
        <v>0.95</v>
      </c>
      <c r="D80" s="2"/>
      <c r="E80" s="2" t="s">
        <v>106</v>
      </c>
      <c r="F80" s="2"/>
      <c r="G80" s="2"/>
      <c r="H80" s="2"/>
      <c r="I80" s="2"/>
      <c r="J80" s="2"/>
      <c r="K80" s="2"/>
      <c r="L80" s="2"/>
      <c r="M80" s="2"/>
      <c r="N80" s="2"/>
      <c r="O80" s="1"/>
      <c r="P80" s="1"/>
      <c r="Q80" s="1"/>
      <c r="R80" s="1"/>
    </row>
    <row r="81" ht="21.0" customHeight="1">
      <c r="A81" s="1" t="s">
        <v>107</v>
      </c>
      <c r="B81" s="1"/>
      <c r="C81" s="40">
        <v>500.0</v>
      </c>
      <c r="D81" s="2"/>
      <c r="E81" s="2" t="s">
        <v>108</v>
      </c>
      <c r="F81" s="2"/>
      <c r="G81" s="2"/>
      <c r="H81" s="2"/>
      <c r="I81" s="2"/>
      <c r="J81" s="2"/>
      <c r="K81" s="2"/>
      <c r="L81" s="2"/>
      <c r="M81" s="2"/>
      <c r="N81" s="2"/>
      <c r="O81" s="1"/>
      <c r="P81" s="1"/>
      <c r="Q81" s="1"/>
      <c r="R81" s="1"/>
    </row>
    <row r="82" ht="21.0" customHeight="1">
      <c r="A82" s="1" t="s">
        <v>109</v>
      </c>
      <c r="B82" s="1"/>
      <c r="C82" s="43">
        <v>100.0</v>
      </c>
      <c r="D82" s="2"/>
      <c r="E82" s="2" t="s">
        <v>108</v>
      </c>
      <c r="F82" s="2"/>
      <c r="G82" s="2"/>
      <c r="H82" s="2"/>
      <c r="I82" s="2"/>
      <c r="J82" s="2"/>
      <c r="K82" s="2"/>
      <c r="L82" s="2"/>
      <c r="M82" s="2"/>
      <c r="N82" s="2"/>
      <c r="O82" s="1"/>
      <c r="P82" s="1"/>
      <c r="Q82" s="1"/>
      <c r="R82" s="1"/>
    </row>
    <row r="83" ht="21.0" customHeight="1">
      <c r="A83" s="1" t="s">
        <v>110</v>
      </c>
      <c r="B83" s="1"/>
      <c r="C83" s="43">
        <v>100.0</v>
      </c>
      <c r="D83" s="2"/>
      <c r="E83" s="2" t="s">
        <v>108</v>
      </c>
      <c r="F83" s="2"/>
      <c r="G83" s="2"/>
      <c r="H83" s="2"/>
      <c r="I83" s="2"/>
      <c r="J83" s="2"/>
      <c r="K83" s="2"/>
      <c r="L83" s="2"/>
      <c r="M83" s="2"/>
      <c r="N83" s="2"/>
      <c r="O83" s="1"/>
      <c r="P83" s="1"/>
      <c r="Q83" s="1"/>
      <c r="R83" s="1"/>
    </row>
    <row r="84" ht="21.0" customHeight="1">
      <c r="A84" s="1" t="s">
        <v>111</v>
      </c>
      <c r="B84" s="1"/>
      <c r="C84" s="40">
        <v>2000.0</v>
      </c>
      <c r="D84" s="2"/>
      <c r="E84" s="2" t="s">
        <v>112</v>
      </c>
      <c r="F84" s="2"/>
      <c r="G84" s="2"/>
      <c r="H84" s="2"/>
      <c r="I84" s="2"/>
      <c r="J84" s="2"/>
      <c r="K84" s="2"/>
      <c r="L84" s="2"/>
      <c r="M84" s="2"/>
      <c r="N84" s="2"/>
      <c r="O84" s="1"/>
      <c r="P84" s="1"/>
      <c r="Q84" s="1"/>
      <c r="R84" s="1"/>
    </row>
    <row r="85" ht="21.0" customHeight="1">
      <c r="A85" s="1" t="s">
        <v>113</v>
      </c>
      <c r="B85" s="1"/>
      <c r="C85" s="40">
        <v>500.0</v>
      </c>
      <c r="D85" s="2"/>
      <c r="E85" s="2" t="s">
        <v>114</v>
      </c>
      <c r="F85" s="2"/>
      <c r="G85" s="2"/>
      <c r="H85" s="2"/>
      <c r="I85" s="2"/>
      <c r="J85" s="2"/>
      <c r="K85" s="2"/>
      <c r="L85" s="2"/>
      <c r="M85" s="2"/>
      <c r="N85" s="2"/>
      <c r="O85" s="1"/>
      <c r="P85" s="1"/>
      <c r="Q85" s="1"/>
      <c r="R85" s="1"/>
    </row>
    <row r="86" ht="21.0" customHeight="1">
      <c r="A86" s="1" t="s">
        <v>115</v>
      </c>
      <c r="B86" s="1"/>
      <c r="C86" s="40">
        <v>500.0</v>
      </c>
      <c r="D86" s="2"/>
      <c r="E86" s="2" t="s">
        <v>114</v>
      </c>
      <c r="F86" s="2"/>
      <c r="G86" s="2"/>
      <c r="H86" s="2"/>
      <c r="I86" s="2"/>
      <c r="J86" s="2"/>
      <c r="K86" s="2"/>
      <c r="L86" s="2"/>
      <c r="M86" s="2"/>
      <c r="N86" s="2"/>
      <c r="O86" s="1"/>
      <c r="P86" s="1"/>
      <c r="Q86" s="1"/>
      <c r="R86" s="1"/>
    </row>
    <row r="87" ht="21.0" customHeight="1">
      <c r="A87" s="1" t="s">
        <v>116</v>
      </c>
      <c r="B87" s="1"/>
      <c r="C87" s="44">
        <v>0.03</v>
      </c>
      <c r="D87" s="2"/>
      <c r="E87" s="2" t="s">
        <v>117</v>
      </c>
      <c r="F87" s="2"/>
      <c r="G87" s="2"/>
      <c r="H87" s="2"/>
      <c r="I87" s="2"/>
      <c r="J87" s="2"/>
      <c r="K87" s="2"/>
      <c r="L87" s="2"/>
      <c r="M87" s="2"/>
      <c r="N87" s="2"/>
      <c r="O87" s="1"/>
      <c r="P87" s="1"/>
      <c r="Q87" s="1"/>
      <c r="R87" s="1"/>
    </row>
    <row r="88" ht="21.0" customHeight="1">
      <c r="A88" s="1" t="s">
        <v>118</v>
      </c>
      <c r="B88" s="1"/>
      <c r="C88" s="41">
        <v>20.0</v>
      </c>
      <c r="D88" s="2"/>
      <c r="E88" s="2" t="s">
        <v>119</v>
      </c>
      <c r="F88" s="2"/>
      <c r="G88" s="2"/>
      <c r="H88" s="2"/>
      <c r="I88" s="2"/>
      <c r="J88" s="2"/>
      <c r="K88" s="2"/>
      <c r="L88" s="2"/>
      <c r="M88" s="2"/>
      <c r="N88" s="2"/>
      <c r="O88" s="1"/>
      <c r="P88" s="1"/>
      <c r="Q88" s="1"/>
      <c r="R88" s="1"/>
    </row>
    <row r="89" ht="21.0" customHeight="1">
      <c r="A89" s="1" t="s">
        <v>52</v>
      </c>
      <c r="B89" s="1"/>
      <c r="C89" s="40">
        <v>100.0</v>
      </c>
      <c r="D89" s="2"/>
      <c r="E89" s="2" t="s">
        <v>120</v>
      </c>
      <c r="F89" s="2"/>
      <c r="G89" s="2"/>
      <c r="H89" s="2"/>
      <c r="I89" s="2"/>
      <c r="J89" s="2"/>
      <c r="K89" s="2"/>
      <c r="L89" s="2"/>
      <c r="M89" s="2"/>
      <c r="N89" s="2"/>
      <c r="O89" s="1"/>
      <c r="P89" s="1"/>
      <c r="Q89" s="1"/>
      <c r="R89" s="1"/>
    </row>
    <row r="90" ht="21.0" customHeight="1">
      <c r="A90" s="1" t="s">
        <v>121</v>
      </c>
      <c r="B90" s="1"/>
      <c r="C90" s="40">
        <v>150.0</v>
      </c>
      <c r="D90" s="2"/>
      <c r="E90" s="2" t="s">
        <v>122</v>
      </c>
      <c r="F90" s="2"/>
      <c r="G90" s="2"/>
      <c r="H90" s="2"/>
      <c r="I90" s="2"/>
      <c r="J90" s="2"/>
      <c r="K90" s="2"/>
      <c r="L90" s="2"/>
      <c r="M90" s="2"/>
      <c r="N90" s="2"/>
      <c r="O90" s="1"/>
      <c r="P90" s="1"/>
      <c r="Q90" s="1"/>
      <c r="R90" s="1"/>
    </row>
    <row r="91" ht="21.0" customHeight="1">
      <c r="A91" s="1" t="s">
        <v>123</v>
      </c>
      <c r="B91" s="1"/>
      <c r="C91" s="40">
        <v>0.0</v>
      </c>
      <c r="D91" s="2"/>
      <c r="E91" s="2" t="s">
        <v>124</v>
      </c>
      <c r="F91" s="2"/>
      <c r="G91" s="2"/>
      <c r="H91" s="2"/>
      <c r="I91" s="2"/>
      <c r="J91" s="2"/>
      <c r="K91" s="2"/>
      <c r="L91" s="2"/>
      <c r="M91" s="2"/>
      <c r="N91" s="2"/>
      <c r="O91" s="1"/>
      <c r="P91" s="1"/>
      <c r="Q91" s="1"/>
      <c r="R91" s="1"/>
    </row>
    <row r="92" ht="21.0" customHeight="1">
      <c r="A92" s="1" t="s">
        <v>125</v>
      </c>
      <c r="B92" s="1"/>
      <c r="C92" s="40">
        <v>64496.5</v>
      </c>
      <c r="D92" s="2"/>
      <c r="E92" s="2" t="s">
        <v>126</v>
      </c>
      <c r="F92" s="2"/>
      <c r="G92" s="2"/>
      <c r="H92" s="2"/>
      <c r="I92" s="2"/>
      <c r="J92" s="2"/>
      <c r="K92" s="2"/>
      <c r="L92" s="2"/>
      <c r="M92" s="2"/>
      <c r="N92" s="2"/>
      <c r="O92" s="1"/>
      <c r="P92" s="1"/>
      <c r="Q92" s="1"/>
      <c r="R92" s="1"/>
    </row>
    <row r="93" ht="21.0" customHeight="1">
      <c r="A93" s="1"/>
      <c r="B93" s="1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1"/>
      <c r="P93" s="1"/>
      <c r="Q93" s="1"/>
      <c r="R93" s="1"/>
    </row>
    <row r="94" ht="21.0" customHeight="1">
      <c r="A94" s="31" t="s">
        <v>127</v>
      </c>
      <c r="B94" s="31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1"/>
      <c r="P94" s="1"/>
      <c r="Q94" s="1"/>
      <c r="R94" s="1"/>
    </row>
    <row r="95" ht="21.0" customHeight="1">
      <c r="A95" s="1" t="s">
        <v>128</v>
      </c>
      <c r="B95" s="1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1"/>
      <c r="P95" s="1"/>
      <c r="Q95" s="1"/>
      <c r="R95" s="1"/>
    </row>
    <row r="96" ht="21.0" customHeight="1">
      <c r="A96" s="1" t="s">
        <v>129</v>
      </c>
      <c r="B96" s="1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1"/>
      <c r="P96" s="1"/>
      <c r="Q96" s="1"/>
      <c r="R96" s="1"/>
    </row>
    <row r="97" ht="21.0" customHeight="1">
      <c r="A97" s="1" t="s">
        <v>130</v>
      </c>
      <c r="B97" s="1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1"/>
      <c r="P97" s="1"/>
      <c r="Q97" s="1"/>
      <c r="R97" s="1"/>
    </row>
    <row r="98" ht="21.0" customHeight="1">
      <c r="A98" s="1" t="s">
        <v>131</v>
      </c>
      <c r="B98" s="1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1"/>
      <c r="P98" s="1"/>
      <c r="Q98" s="1"/>
      <c r="R98" s="1"/>
    </row>
    <row r="99" ht="21.0" customHeight="1">
      <c r="A99" s="1" t="s">
        <v>132</v>
      </c>
      <c r="B99" s="1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1"/>
      <c r="P99" s="1"/>
      <c r="Q99" s="1"/>
      <c r="R99" s="1"/>
    </row>
    <row r="100" ht="21.0" customHeight="1">
      <c r="A100" s="1" t="s">
        <v>133</v>
      </c>
      <c r="B100" s="1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1"/>
      <c r="P100" s="1"/>
      <c r="Q100" s="1"/>
      <c r="R100" s="1"/>
    </row>
    <row r="101" ht="21.0" customHeight="1">
      <c r="A101" s="1" t="s">
        <v>134</v>
      </c>
      <c r="B101" s="1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1"/>
      <c r="P101" s="1"/>
      <c r="Q101" s="1"/>
      <c r="R101" s="1"/>
    </row>
    <row r="102" ht="21.0" customHeight="1">
      <c r="A102" s="1" t="s">
        <v>135</v>
      </c>
      <c r="B102" s="1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1"/>
      <c r="P102" s="1"/>
      <c r="Q102" s="1"/>
      <c r="R102" s="1"/>
    </row>
    <row r="103" ht="21.0" customHeight="1">
      <c r="A103" s="1" t="s">
        <v>136</v>
      </c>
      <c r="B103" s="1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1"/>
      <c r="P103" s="1"/>
      <c r="Q103" s="1"/>
      <c r="R103" s="1"/>
    </row>
    <row r="104" ht="21.0" customHeight="1">
      <c r="A104" s="1" t="s">
        <v>137</v>
      </c>
      <c r="B104" s="1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1"/>
      <c r="P104" s="1"/>
      <c r="Q104" s="1"/>
      <c r="R104" s="1"/>
    </row>
    <row r="105" ht="21.0" customHeight="1">
      <c r="A105" s="1" t="s">
        <v>138</v>
      </c>
      <c r="B105" s="1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1"/>
      <c r="P105" s="1"/>
      <c r="Q105" s="1"/>
      <c r="R105" s="1"/>
    </row>
    <row r="106" ht="21.0" customHeight="1">
      <c r="A106" s="1" t="s">
        <v>139</v>
      </c>
      <c r="B106" s="1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1"/>
      <c r="P106" s="1"/>
      <c r="Q106" s="1"/>
      <c r="R106" s="1"/>
    </row>
    <row r="107" ht="21.0" customHeight="1">
      <c r="A107" s="1"/>
      <c r="B107" s="1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1"/>
      <c r="P107" s="1"/>
      <c r="Q107" s="1"/>
      <c r="R107" s="1"/>
    </row>
    <row r="108" ht="21.0" customHeight="1">
      <c r="A108" s="31" t="s">
        <v>140</v>
      </c>
      <c r="B108" s="31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1"/>
      <c r="P108" s="1"/>
      <c r="Q108" s="1"/>
      <c r="R108" s="1"/>
    </row>
    <row r="109" ht="21.0" customHeight="1">
      <c r="A109" s="1"/>
      <c r="B109" s="1"/>
      <c r="C109" s="2" t="s">
        <v>3</v>
      </c>
      <c r="D109" s="2" t="s">
        <v>4</v>
      </c>
      <c r="E109" s="2" t="s">
        <v>5</v>
      </c>
      <c r="F109" s="2" t="s">
        <v>6</v>
      </c>
      <c r="G109" s="2" t="s">
        <v>7</v>
      </c>
      <c r="H109" s="2" t="s">
        <v>8</v>
      </c>
      <c r="I109" s="2" t="s">
        <v>9</v>
      </c>
      <c r="J109" s="2" t="s">
        <v>10</v>
      </c>
      <c r="K109" s="2" t="s">
        <v>11</v>
      </c>
      <c r="L109" s="2" t="s">
        <v>12</v>
      </c>
      <c r="M109" s="2" t="s">
        <v>13</v>
      </c>
      <c r="N109" s="2" t="s">
        <v>14</v>
      </c>
      <c r="O109" s="1"/>
      <c r="P109" s="1"/>
      <c r="Q109" s="1"/>
      <c r="R109" s="1"/>
    </row>
    <row r="110" ht="21.0" customHeight="1">
      <c r="A110" s="1" t="s">
        <v>141</v>
      </c>
      <c r="B110" s="1"/>
      <c r="C110" s="45">
        <v>0.0</v>
      </c>
      <c r="D110" s="45">
        <v>0.0</v>
      </c>
      <c r="E110" s="45">
        <v>0.0</v>
      </c>
      <c r="F110" s="45">
        <v>0.0</v>
      </c>
      <c r="G110" s="45">
        <v>0.0</v>
      </c>
      <c r="H110" s="45">
        <v>0.0</v>
      </c>
      <c r="I110" s="45">
        <v>10.0</v>
      </c>
      <c r="J110" s="45">
        <v>15.0</v>
      </c>
      <c r="K110" s="45">
        <v>15.0</v>
      </c>
      <c r="L110" s="45">
        <v>20.0</v>
      </c>
      <c r="M110" s="45">
        <v>20.0</v>
      </c>
      <c r="N110" s="45">
        <v>20.0</v>
      </c>
      <c r="O110" s="1"/>
      <c r="P110" s="1"/>
      <c r="Q110" s="1"/>
      <c r="R110" s="1"/>
    </row>
    <row r="111" ht="21.0" customHeight="1">
      <c r="A111" s="1" t="s">
        <v>142</v>
      </c>
      <c r="B111" s="1"/>
      <c r="C111" s="44">
        <v>0.0</v>
      </c>
      <c r="D111" s="44">
        <v>0.0</v>
      </c>
      <c r="E111" s="44">
        <v>0.0</v>
      </c>
      <c r="F111" s="44">
        <v>0.5</v>
      </c>
      <c r="G111" s="44">
        <v>0.5</v>
      </c>
      <c r="H111" s="44">
        <v>0.0</v>
      </c>
      <c r="I111" s="44">
        <v>0.0</v>
      </c>
      <c r="J111" s="44">
        <v>0.0</v>
      </c>
      <c r="K111" s="44">
        <v>0.0</v>
      </c>
      <c r="L111" s="44">
        <v>0.0</v>
      </c>
      <c r="M111" s="44">
        <v>0.0</v>
      </c>
      <c r="N111" s="44">
        <v>0.0</v>
      </c>
      <c r="O111" s="1"/>
      <c r="P111" s="1"/>
      <c r="Q111" s="1"/>
      <c r="R111" s="1"/>
    </row>
    <row r="112" ht="21.0" customHeight="1">
      <c r="A112" s="1" t="s">
        <v>143</v>
      </c>
      <c r="B112" s="1"/>
      <c r="C112" s="44">
        <v>0.0</v>
      </c>
      <c r="D112" s="44">
        <v>0.0</v>
      </c>
      <c r="E112" s="44">
        <v>0.0</v>
      </c>
      <c r="F112" s="44">
        <v>0.0</v>
      </c>
      <c r="G112" s="44">
        <v>0.0</v>
      </c>
      <c r="H112" s="44">
        <v>1.0</v>
      </c>
      <c r="I112" s="44">
        <v>0.0</v>
      </c>
      <c r="J112" s="44">
        <v>0.0</v>
      </c>
      <c r="K112" s="44">
        <v>0.0</v>
      </c>
      <c r="L112" s="44">
        <v>0.0</v>
      </c>
      <c r="M112" s="44">
        <v>0.0</v>
      </c>
      <c r="N112" s="44">
        <v>0.0</v>
      </c>
      <c r="O112" s="1"/>
      <c r="P112" s="1"/>
      <c r="Q112" s="1"/>
      <c r="R112" s="1"/>
    </row>
    <row r="113" ht="21.0" customHeight="1">
      <c r="A113" s="1" t="s">
        <v>144</v>
      </c>
      <c r="B113" s="1"/>
      <c r="C113" s="44">
        <v>0.0</v>
      </c>
      <c r="D113" s="44">
        <v>0.0</v>
      </c>
      <c r="E113" s="44">
        <v>0.0</v>
      </c>
      <c r="F113" s="44">
        <v>0.0</v>
      </c>
      <c r="G113" s="44">
        <v>0.0</v>
      </c>
      <c r="H113" s="44">
        <v>0.3333333333333333</v>
      </c>
      <c r="I113" s="44">
        <v>0.3333333333333333</v>
      </c>
      <c r="J113" s="44">
        <v>0.3333333333333333</v>
      </c>
      <c r="K113" s="44">
        <v>0.0</v>
      </c>
      <c r="L113" s="44">
        <v>0.0</v>
      </c>
      <c r="M113" s="44">
        <v>0.0</v>
      </c>
      <c r="N113" s="44">
        <v>0.0</v>
      </c>
      <c r="O113" s="1"/>
      <c r="P113" s="1"/>
      <c r="Q113" s="1"/>
      <c r="R113" s="1"/>
    </row>
    <row r="114" ht="21.0" customHeight="1">
      <c r="A114" s="1" t="s">
        <v>145</v>
      </c>
      <c r="B114" s="1"/>
      <c r="C114" s="45">
        <v>0.0</v>
      </c>
      <c r="D114" s="45">
        <v>0.0</v>
      </c>
      <c r="E114" s="45">
        <v>0.0</v>
      </c>
      <c r="F114" s="45">
        <v>0.0</v>
      </c>
      <c r="G114" s="45">
        <v>0.0</v>
      </c>
      <c r="H114" s="45">
        <f>$C$65</f>
        <v>100</v>
      </c>
      <c r="I114" s="45">
        <v>0.0</v>
      </c>
      <c r="J114" s="45">
        <v>0.0</v>
      </c>
      <c r="K114" s="45">
        <v>0.0</v>
      </c>
      <c r="L114" s="45">
        <v>0.0</v>
      </c>
      <c r="M114" s="45">
        <v>0.0</v>
      </c>
      <c r="N114" s="45">
        <v>0.0</v>
      </c>
      <c r="O114" s="1"/>
      <c r="P114" s="1"/>
      <c r="Q114" s="1"/>
      <c r="R114" s="1"/>
    </row>
    <row r="115" ht="21.0" customHeight="1">
      <c r="A115" s="1"/>
      <c r="B115" s="1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1"/>
      <c r="P115" s="1"/>
      <c r="Q115" s="1"/>
      <c r="R115" s="1"/>
    </row>
    <row r="116" ht="21.0" customHeight="1">
      <c r="A116" s="31" t="s">
        <v>146</v>
      </c>
      <c r="B116" s="31" t="s">
        <v>147</v>
      </c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1"/>
      <c r="P116" s="1"/>
      <c r="Q116" s="1"/>
      <c r="R116" s="1"/>
    </row>
    <row r="117" ht="21.0" customHeight="1">
      <c r="A117" s="1" t="s">
        <v>42</v>
      </c>
      <c r="B117" s="46">
        <v>220.0</v>
      </c>
      <c r="C117" s="44">
        <v>0.6</v>
      </c>
      <c r="D117" s="44">
        <v>0.4</v>
      </c>
      <c r="E117" s="44">
        <v>0.0</v>
      </c>
      <c r="F117" s="44">
        <v>0.0</v>
      </c>
      <c r="G117" s="44">
        <v>0.0</v>
      </c>
      <c r="H117" s="44">
        <v>0.0</v>
      </c>
      <c r="I117" s="44">
        <v>0.0</v>
      </c>
      <c r="J117" s="44">
        <v>0.0</v>
      </c>
      <c r="K117" s="44">
        <v>0.0</v>
      </c>
      <c r="L117" s="44">
        <v>0.0</v>
      </c>
      <c r="M117" s="44">
        <v>0.0</v>
      </c>
      <c r="N117" s="44">
        <v>0.0</v>
      </c>
      <c r="O117" s="1"/>
      <c r="P117" s="1"/>
      <c r="Q117" s="1"/>
      <c r="R117" s="1"/>
    </row>
    <row r="118" ht="21.0" customHeight="1">
      <c r="A118" s="1" t="s">
        <v>43</v>
      </c>
      <c r="B118" s="46">
        <v>160.0</v>
      </c>
      <c r="C118" s="44">
        <v>0.0</v>
      </c>
      <c r="D118" s="44">
        <v>0.5</v>
      </c>
      <c r="E118" s="44">
        <v>0.5</v>
      </c>
      <c r="F118" s="44">
        <v>0.0</v>
      </c>
      <c r="G118" s="44">
        <v>0.0</v>
      </c>
      <c r="H118" s="44">
        <v>0.0</v>
      </c>
      <c r="I118" s="44">
        <v>0.0</v>
      </c>
      <c r="J118" s="44">
        <v>0.0</v>
      </c>
      <c r="K118" s="44">
        <v>0.0</v>
      </c>
      <c r="L118" s="44">
        <v>0.0</v>
      </c>
      <c r="M118" s="44">
        <v>0.0</v>
      </c>
      <c r="N118" s="44">
        <v>0.0</v>
      </c>
      <c r="O118" s="1"/>
      <c r="P118" s="1"/>
      <c r="Q118" s="1"/>
      <c r="R118" s="1"/>
    </row>
    <row r="119" ht="21.0" customHeight="1">
      <c r="A119" s="1" t="s">
        <v>44</v>
      </c>
      <c r="B119" s="46">
        <v>200.0</v>
      </c>
      <c r="C119" s="44">
        <v>0.0</v>
      </c>
      <c r="D119" s="44">
        <v>0.0</v>
      </c>
      <c r="E119" s="44">
        <v>0.4</v>
      </c>
      <c r="F119" s="44">
        <v>0.4</v>
      </c>
      <c r="G119" s="44">
        <v>0.2</v>
      </c>
      <c r="H119" s="44">
        <v>0.0</v>
      </c>
      <c r="I119" s="44">
        <v>0.0</v>
      </c>
      <c r="J119" s="44">
        <v>0.0</v>
      </c>
      <c r="K119" s="44">
        <v>0.0</v>
      </c>
      <c r="L119" s="44">
        <v>0.0</v>
      </c>
      <c r="M119" s="44">
        <v>0.0</v>
      </c>
      <c r="N119" s="44">
        <v>0.0</v>
      </c>
      <c r="O119" s="1"/>
      <c r="P119" s="1"/>
      <c r="Q119" s="1"/>
      <c r="R119" s="1"/>
    </row>
    <row r="120" ht="21.0" customHeight="1">
      <c r="A120" s="1" t="s">
        <v>45</v>
      </c>
      <c r="B120" s="46">
        <v>160.0</v>
      </c>
      <c r="C120" s="44">
        <v>0.0</v>
      </c>
      <c r="D120" s="44">
        <v>0.3</v>
      </c>
      <c r="E120" s="44">
        <v>0.3</v>
      </c>
      <c r="F120" s="44">
        <v>0.2</v>
      </c>
      <c r="G120" s="44">
        <v>0.2</v>
      </c>
      <c r="H120" s="44">
        <v>0.0</v>
      </c>
      <c r="I120" s="44">
        <v>0.0</v>
      </c>
      <c r="J120" s="44">
        <v>0.0</v>
      </c>
      <c r="K120" s="44">
        <v>0.0</v>
      </c>
      <c r="L120" s="44">
        <v>0.0</v>
      </c>
      <c r="M120" s="44">
        <v>0.0</v>
      </c>
      <c r="N120" s="44">
        <v>0.0</v>
      </c>
      <c r="O120" s="1"/>
      <c r="P120" s="1"/>
      <c r="Q120" s="1"/>
      <c r="R120" s="1"/>
    </row>
    <row r="121" ht="21.0" customHeight="1">
      <c r="A121" s="1" t="s">
        <v>46</v>
      </c>
      <c r="B121" s="46">
        <v>360.0</v>
      </c>
      <c r="C121" s="44">
        <v>0.0</v>
      </c>
      <c r="D121" s="44">
        <v>0.2</v>
      </c>
      <c r="E121" s="44">
        <v>0.25</v>
      </c>
      <c r="F121" s="44">
        <v>0.25</v>
      </c>
      <c r="G121" s="44">
        <v>0.2</v>
      </c>
      <c r="H121" s="44">
        <v>0.1</v>
      </c>
      <c r="I121" s="44">
        <v>0.0</v>
      </c>
      <c r="J121" s="44">
        <v>0.0</v>
      </c>
      <c r="K121" s="44">
        <v>0.0</v>
      </c>
      <c r="L121" s="44">
        <v>0.0</v>
      </c>
      <c r="M121" s="44">
        <v>0.0</v>
      </c>
      <c r="N121" s="44">
        <v>0.0</v>
      </c>
      <c r="O121" s="1"/>
      <c r="P121" s="1"/>
      <c r="Q121" s="1"/>
      <c r="R121" s="1"/>
    </row>
    <row r="122" ht="21.0" customHeight="1">
      <c r="A122" s="1" t="s">
        <v>47</v>
      </c>
      <c r="B122" s="46">
        <v>120.0</v>
      </c>
      <c r="C122" s="44">
        <v>0.0</v>
      </c>
      <c r="D122" s="44">
        <v>0.0</v>
      </c>
      <c r="E122" s="44">
        <v>0.0</v>
      </c>
      <c r="F122" s="44">
        <v>0.0</v>
      </c>
      <c r="G122" s="44">
        <v>0.5</v>
      </c>
      <c r="H122" s="44">
        <v>0.5</v>
      </c>
      <c r="I122" s="44">
        <v>0.0</v>
      </c>
      <c r="J122" s="44">
        <v>0.0</v>
      </c>
      <c r="K122" s="44">
        <v>0.0</v>
      </c>
      <c r="L122" s="44">
        <v>0.0</v>
      </c>
      <c r="M122" s="44">
        <v>0.0</v>
      </c>
      <c r="N122" s="44">
        <v>0.0</v>
      </c>
      <c r="O122" s="1"/>
      <c r="P122" s="1"/>
      <c r="Q122" s="1"/>
      <c r="R122" s="1"/>
    </row>
    <row r="123" ht="21.0" customHeight="1">
      <c r="A123" s="1" t="s">
        <v>48</v>
      </c>
      <c r="B123" s="46">
        <v>40.0</v>
      </c>
      <c r="C123" s="44">
        <v>0.0</v>
      </c>
      <c r="D123" s="44">
        <v>0.0</v>
      </c>
      <c r="E123" s="44">
        <v>0.0</v>
      </c>
      <c r="F123" s="44">
        <v>0.0</v>
      </c>
      <c r="G123" s="44">
        <v>0.0</v>
      </c>
      <c r="H123" s="44">
        <v>1.0</v>
      </c>
      <c r="I123" s="44">
        <v>0.0</v>
      </c>
      <c r="J123" s="44">
        <v>0.0</v>
      </c>
      <c r="K123" s="44">
        <v>0.0</v>
      </c>
      <c r="L123" s="44">
        <v>0.0</v>
      </c>
      <c r="M123" s="44">
        <v>0.0</v>
      </c>
      <c r="N123" s="44">
        <v>0.0</v>
      </c>
      <c r="O123" s="1"/>
      <c r="P123" s="1"/>
      <c r="Q123" s="1"/>
      <c r="R123" s="1"/>
    </row>
    <row r="124" ht="21.0" customHeight="1">
      <c r="A124" s="1" t="s">
        <v>49</v>
      </c>
      <c r="B124" s="46">
        <v>80.0</v>
      </c>
      <c r="C124" s="44">
        <v>0.16666666666666666</v>
      </c>
      <c r="D124" s="44">
        <v>0.16666666666666666</v>
      </c>
      <c r="E124" s="44">
        <v>0.16666666666666666</v>
      </c>
      <c r="F124" s="44">
        <v>0.16666666666666666</v>
      </c>
      <c r="G124" s="44">
        <v>0.16666666666666666</v>
      </c>
      <c r="H124" s="44">
        <v>0.16666666666666666</v>
      </c>
      <c r="I124" s="44">
        <v>0.0</v>
      </c>
      <c r="J124" s="44">
        <v>0.0</v>
      </c>
      <c r="K124" s="44">
        <v>0.0</v>
      </c>
      <c r="L124" s="44">
        <v>0.0</v>
      </c>
      <c r="M124" s="44">
        <v>0.0</v>
      </c>
      <c r="N124" s="44">
        <v>0.0</v>
      </c>
      <c r="O124" s="1"/>
      <c r="P124" s="1"/>
      <c r="Q124" s="1"/>
      <c r="R124" s="1"/>
    </row>
    <row r="125" ht="21.0" customHeight="1">
      <c r="A125" s="1"/>
      <c r="B125" s="1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1"/>
      <c r="P125" s="1"/>
      <c r="Q125" s="1"/>
      <c r="R125" s="1"/>
    </row>
    <row r="126" ht="21.0" customHeight="1">
      <c r="A126" s="1" t="s">
        <v>148</v>
      </c>
      <c r="B126" s="1"/>
      <c r="C126" s="2">
        <f>R62</f>
        <v>0</v>
      </c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1"/>
      <c r="P126" s="1"/>
      <c r="Q126" s="1"/>
      <c r="R126" s="1"/>
    </row>
    <row r="127" ht="21.0" customHeight="1">
      <c r="A127" s="1" t="s">
        <v>149</v>
      </c>
      <c r="B127" s="1"/>
      <c r="C127" s="2">
        <f>SUM(B117:B124)-1340</f>
        <v>0</v>
      </c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1"/>
      <c r="P127" s="1"/>
      <c r="Q127" s="1"/>
      <c r="R127" s="1"/>
    </row>
    <row r="128" ht="15.75" customHeight="1"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1"/>
      <c r="P128" s="1"/>
      <c r="Q128" s="1"/>
      <c r="R128" s="1"/>
    </row>
    <row r="129" ht="21.0" customHeight="1">
      <c r="A129" s="31" t="s">
        <v>150</v>
      </c>
      <c r="B129" s="31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1"/>
      <c r="P129" s="31"/>
      <c r="Q129" s="31"/>
      <c r="R129" s="31"/>
    </row>
    <row r="130" ht="21.0" customHeight="1">
      <c r="A130" s="1"/>
      <c r="B130" s="1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1"/>
      <c r="P130" s="1" t="s">
        <v>16</v>
      </c>
      <c r="Q130" s="1" t="s">
        <v>17</v>
      </c>
      <c r="R130" s="1" t="s">
        <v>18</v>
      </c>
    </row>
    <row r="131" ht="21.0" customHeight="1">
      <c r="A131" s="1" t="s">
        <v>151</v>
      </c>
      <c r="B131" s="1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48"/>
      <c r="P131" s="48">
        <v>200.0</v>
      </c>
      <c r="Q131" s="48">
        <v>300.0</v>
      </c>
      <c r="R131" s="48">
        <v>400.0</v>
      </c>
    </row>
    <row r="132" ht="21.0" customHeight="1">
      <c r="A132" s="1" t="s">
        <v>118</v>
      </c>
      <c r="B132" s="1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48"/>
      <c r="P132" s="48">
        <v>40.0</v>
      </c>
      <c r="Q132" s="48">
        <v>60.0</v>
      </c>
      <c r="R132" s="48">
        <v>80.0</v>
      </c>
    </row>
    <row r="133" ht="21.0" customHeight="1">
      <c r="A133" s="1" t="s">
        <v>152</v>
      </c>
      <c r="B133" s="1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48"/>
      <c r="P133" s="48">
        <v>200.0</v>
      </c>
      <c r="Q133" s="48">
        <v>250.0</v>
      </c>
      <c r="R133" s="48">
        <v>300.0</v>
      </c>
    </row>
    <row r="134" ht="21.0" customHeight="1">
      <c r="A134" s="1" t="s">
        <v>153</v>
      </c>
      <c r="B134" s="1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48"/>
      <c r="P134" s="48">
        <v>150.0</v>
      </c>
      <c r="Q134" s="48">
        <v>200.0</v>
      </c>
      <c r="R134" s="48">
        <v>250.0</v>
      </c>
    </row>
    <row r="135" ht="21.0" customHeight="1">
      <c r="A135" s="1"/>
      <c r="B135" s="1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1"/>
      <c r="P135" s="1"/>
      <c r="Q135" s="1"/>
      <c r="R135" s="1"/>
    </row>
    <row r="136" ht="21.0" customHeight="1">
      <c r="A136" s="1" t="s">
        <v>154</v>
      </c>
      <c r="B136" s="1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1"/>
      <c r="P136" s="1"/>
      <c r="Q136" s="1"/>
      <c r="R136" s="1"/>
    </row>
    <row r="137" ht="21.0" customHeight="1">
      <c r="A137" s="1" t="s">
        <v>155</v>
      </c>
      <c r="B137" s="1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1"/>
      <c r="P137" s="1">
        <v>12.0</v>
      </c>
      <c r="Q137" s="1">
        <v>12.0</v>
      </c>
      <c r="R137" s="1">
        <v>12.0</v>
      </c>
    </row>
    <row r="138" ht="21.0" customHeight="1">
      <c r="A138" s="1" t="s">
        <v>156</v>
      </c>
      <c r="B138" s="1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49"/>
      <c r="P138" s="49">
        <f t="shared" ref="P138:R138" si="73">IF($C$80=1,P137,(1-$C$80^P137)/(1-$C$80))</f>
        <v>9.192798247</v>
      </c>
      <c r="Q138" s="49">
        <f t="shared" si="73"/>
        <v>9.192798247</v>
      </c>
      <c r="R138" s="49">
        <f t="shared" si="73"/>
        <v>9.192798247</v>
      </c>
    </row>
    <row r="139" ht="21.0" customHeight="1">
      <c r="A139" s="1" t="s">
        <v>157</v>
      </c>
      <c r="B139" s="1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49"/>
      <c r="P139" s="49">
        <f t="shared" ref="P139:R139" si="74">IF($C$80=1,P137*(P137-1)/2,(P137-P138)/(1-$C$80))</f>
        <v>56.14403507</v>
      </c>
      <c r="Q139" s="49">
        <f t="shared" si="74"/>
        <v>56.14403507</v>
      </c>
      <c r="R139" s="49">
        <f t="shared" si="74"/>
        <v>56.14403507</v>
      </c>
    </row>
    <row r="140" ht="21.0" customHeight="1">
      <c r="A140" s="1" t="s">
        <v>158</v>
      </c>
      <c r="B140" s="1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49"/>
      <c r="P140" s="49">
        <f>N60*$C$80+N59</f>
        <v>89.86602813</v>
      </c>
      <c r="Q140" s="49">
        <f t="shared" ref="Q140:R140" si="75">P141*$C$80+P131/P137</f>
        <v>201.7733189</v>
      </c>
      <c r="R140" s="49">
        <f t="shared" si="75"/>
        <v>338.8502045</v>
      </c>
    </row>
    <row r="141" ht="21.0" customHeight="1">
      <c r="A141" s="1" t="s">
        <v>159</v>
      </c>
      <c r="B141" s="1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49"/>
      <c r="P141" s="49">
        <f t="shared" ref="P141:R141" si="76">P140*$C$80^(P137-1)+P131/P137*(P138-$C$80^(P137-1))</f>
        <v>194.8491077</v>
      </c>
      <c r="Q141" s="49">
        <f t="shared" si="76"/>
        <v>330.3686363</v>
      </c>
      <c r="R141" s="49">
        <f t="shared" si="76"/>
        <v>480.2046327</v>
      </c>
    </row>
    <row r="142" ht="21.0" customHeight="1">
      <c r="A142" s="1"/>
      <c r="B142" s="1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1"/>
      <c r="P142" s="1"/>
      <c r="Q142" s="1"/>
      <c r="R142" s="1"/>
    </row>
    <row r="143" ht="21.0" customHeight="1">
      <c r="A143" s="1" t="s">
        <v>160</v>
      </c>
      <c r="B143" s="1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1"/>
      <c r="P143" s="50">
        <f t="shared" ref="P143:R143" si="77">P62</f>
        <v>0</v>
      </c>
      <c r="Q143" s="50">
        <f t="shared" si="77"/>
        <v>0</v>
      </c>
      <c r="R143" s="50">
        <f t="shared" si="77"/>
        <v>0</v>
      </c>
    </row>
    <row r="144" ht="21.0" customHeight="1">
      <c r="A144" s="1" t="s">
        <v>161</v>
      </c>
      <c r="B144" s="1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51"/>
      <c r="P144" s="51">
        <f t="shared" ref="P144:R144" si="78">P45</f>
        <v>38231.75</v>
      </c>
      <c r="Q144" s="51">
        <f t="shared" si="78"/>
        <v>72917.5</v>
      </c>
      <c r="R144" s="51">
        <f t="shared" si="78"/>
        <v>111534.5</v>
      </c>
    </row>
    <row r="145" ht="21.0" customHeight="1">
      <c r="A145" s="1"/>
      <c r="B145" s="1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1"/>
      <c r="P145" s="1"/>
      <c r="Q145" s="1"/>
      <c r="R145" s="1"/>
    </row>
    <row r="146" ht="21.0" customHeight="1">
      <c r="A146" s="1" t="s">
        <v>162</v>
      </c>
      <c r="B146" s="1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1"/>
      <c r="P146" s="1"/>
      <c r="Q146" s="1"/>
      <c r="R146" s="1"/>
    </row>
    <row r="147" ht="21.0" customHeight="1">
      <c r="A147" s="1" t="s">
        <v>163</v>
      </c>
      <c r="B147" s="1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1"/>
      <c r="P147" s="1"/>
      <c r="Q147" s="1"/>
      <c r="R147" s="1"/>
    </row>
    <row r="148" ht="21.0" customHeight="1">
      <c r="A148" s="1" t="s">
        <v>164</v>
      </c>
      <c r="B148" s="1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1"/>
      <c r="P148" s="1"/>
      <c r="Q148" s="1"/>
      <c r="R148" s="1"/>
    </row>
    <row r="149" ht="21.0" customHeight="1">
      <c r="A149" s="1" t="s">
        <v>165</v>
      </c>
      <c r="B149" s="1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1"/>
      <c r="P149" s="1"/>
      <c r="Q149" s="1"/>
      <c r="R149" s="1"/>
    </row>
    <row r="150" ht="21.0" customHeight="1">
      <c r="A150" s="1" t="s">
        <v>166</v>
      </c>
      <c r="B150" s="1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1"/>
      <c r="P150" s="1"/>
      <c r="Q150" s="1"/>
      <c r="R150" s="1"/>
    </row>
    <row r="151" ht="15.75" customHeight="1"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</row>
    <row r="152" ht="21.75" customHeight="1">
      <c r="A152" s="52" t="s">
        <v>167</v>
      </c>
      <c r="B152" s="52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2"/>
      <c r="P152" s="52"/>
      <c r="Q152" s="52"/>
      <c r="R152" s="52"/>
      <c r="S152" s="1"/>
    </row>
    <row r="153" ht="21.75" customHeight="1">
      <c r="A153" s="1" t="s">
        <v>168</v>
      </c>
      <c r="B153" s="1"/>
      <c r="C153" s="44">
        <v>0.2</v>
      </c>
      <c r="D153" s="2"/>
      <c r="E153" s="2" t="s">
        <v>169</v>
      </c>
      <c r="F153" s="2"/>
      <c r="G153" s="2"/>
      <c r="H153" s="2"/>
      <c r="I153" s="2"/>
      <c r="J153" s="2"/>
      <c r="K153" s="2"/>
      <c r="L153" s="2"/>
      <c r="M153" s="2"/>
      <c r="N153" s="2"/>
      <c r="O153" s="1"/>
      <c r="P153" s="1"/>
      <c r="Q153" s="1"/>
      <c r="R153" s="1"/>
      <c r="S153" s="1"/>
    </row>
    <row r="154" ht="21.75" customHeight="1">
      <c r="A154" s="1" t="s">
        <v>170</v>
      </c>
      <c r="B154" s="1"/>
      <c r="C154" s="54">
        <f>DATE(2027,1,1)</f>
        <v>46388</v>
      </c>
      <c r="D154" s="2"/>
      <c r="E154" s="2" t="s">
        <v>171</v>
      </c>
      <c r="F154" s="2"/>
      <c r="G154" s="2"/>
      <c r="H154" s="2"/>
      <c r="I154" s="2"/>
      <c r="J154" s="2"/>
      <c r="K154" s="2"/>
      <c r="L154" s="2"/>
      <c r="M154" s="2"/>
      <c r="N154" s="2"/>
      <c r="O154" s="1"/>
      <c r="P154" s="1"/>
      <c r="Q154" s="1"/>
      <c r="R154" s="1"/>
      <c r="S154" s="1"/>
    </row>
    <row r="155" ht="21.75" customHeight="1">
      <c r="A155" s="1" t="s">
        <v>172</v>
      </c>
      <c r="B155" s="1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1"/>
      <c r="P155" s="1"/>
      <c r="Q155" s="1"/>
      <c r="R155" s="1"/>
      <c r="S155" s="1"/>
    </row>
    <row r="156" ht="21.75" customHeight="1">
      <c r="A156" s="1" t="s">
        <v>173</v>
      </c>
      <c r="B156" s="1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1"/>
      <c r="P156" s="1"/>
      <c r="Q156" s="1"/>
      <c r="R156" s="1"/>
      <c r="S156" s="1"/>
    </row>
    <row r="157" ht="21.75" customHeight="1">
      <c r="A157" s="1"/>
      <c r="B157" s="1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1"/>
      <c r="P157" s="1"/>
      <c r="Q157" s="1"/>
      <c r="R157" s="1"/>
      <c r="S157" s="1"/>
    </row>
    <row r="158" ht="21.75" customHeight="1">
      <c r="A158" s="1"/>
      <c r="B158" s="1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6"/>
      <c r="P158" s="56"/>
      <c r="Q158" s="56"/>
      <c r="R158" s="56"/>
      <c r="S158" s="56"/>
    </row>
    <row r="159" ht="21.75" customHeight="1">
      <c r="A159" s="1"/>
      <c r="B159" s="1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51"/>
      <c r="P159" s="51"/>
      <c r="Q159" s="51"/>
      <c r="R159" s="51"/>
      <c r="S159" s="51"/>
    </row>
    <row r="160" ht="21.75" customHeight="1">
      <c r="A160" s="1"/>
      <c r="B160" s="1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1"/>
      <c r="P160" s="1"/>
      <c r="Q160" s="1"/>
      <c r="R160" s="1"/>
      <c r="S160" s="1"/>
    </row>
    <row r="161" ht="21.75" customHeight="1">
      <c r="A161" s="1" t="s">
        <v>174</v>
      </c>
      <c r="B161" s="1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1"/>
      <c r="P161" s="1"/>
      <c r="Q161" s="1"/>
      <c r="R161" s="1"/>
      <c r="S161" s="1"/>
    </row>
    <row r="162" ht="21.75" customHeight="1">
      <c r="A162" s="1" t="s">
        <v>175</v>
      </c>
      <c r="B162" s="1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1"/>
      <c r="P162" s="1"/>
      <c r="Q162" s="1"/>
      <c r="R162" s="1"/>
      <c r="S162" s="1"/>
    </row>
    <row r="163" ht="15.75" customHeight="1"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</row>
    <row r="164" ht="15.75" customHeight="1"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</row>
    <row r="165" ht="33.75" customHeight="1">
      <c r="C165" s="47"/>
      <c r="D165" s="47"/>
      <c r="E165" s="57" t="s">
        <v>176</v>
      </c>
      <c r="F165" s="57" t="s">
        <v>177</v>
      </c>
      <c r="G165" s="57" t="s">
        <v>178</v>
      </c>
      <c r="H165" s="47"/>
      <c r="I165" s="47"/>
      <c r="J165" s="47"/>
      <c r="K165" s="47"/>
      <c r="L165" s="47"/>
      <c r="M165" s="47"/>
      <c r="N165" s="47"/>
    </row>
    <row r="166" ht="21.75" customHeight="1">
      <c r="C166" s="47"/>
      <c r="D166" s="47"/>
      <c r="E166" s="37">
        <v>0.0</v>
      </c>
      <c r="F166" s="55">
        <f t="shared" ref="F166:F181" si="79">$C$154+ROUND(E166*365/12,0)</f>
        <v>46388</v>
      </c>
      <c r="G166" s="28">
        <f>0</f>
        <v>0</v>
      </c>
      <c r="H166" s="47"/>
      <c r="I166" s="47"/>
      <c r="J166" s="47"/>
      <c r="K166" s="47"/>
      <c r="L166" s="47"/>
      <c r="M166" s="47"/>
      <c r="N166" s="47"/>
    </row>
    <row r="167" ht="21.75" customHeight="1">
      <c r="C167" s="47"/>
      <c r="D167" s="47"/>
      <c r="E167" s="37">
        <v>1.0</v>
      </c>
      <c r="F167" s="55">
        <f t="shared" si="79"/>
        <v>46418</v>
      </c>
      <c r="G167" s="28">
        <f>C45</f>
        <v>-5250.833333</v>
      </c>
      <c r="H167" s="47"/>
      <c r="I167" s="47"/>
      <c r="J167" s="47"/>
      <c r="K167" s="47"/>
      <c r="L167" s="47"/>
      <c r="M167" s="47"/>
      <c r="N167" s="47"/>
    </row>
    <row r="168" ht="21.75" customHeight="1">
      <c r="C168" s="47"/>
      <c r="D168" s="47"/>
      <c r="E168" s="37">
        <v>2.0</v>
      </c>
      <c r="F168" s="55">
        <f t="shared" si="79"/>
        <v>46449</v>
      </c>
      <c r="G168" s="28">
        <f>D45</f>
        <v>-12028.33333</v>
      </c>
      <c r="H168" s="47"/>
      <c r="I168" s="47"/>
      <c r="J168" s="47"/>
      <c r="K168" s="47"/>
      <c r="L168" s="47"/>
      <c r="M168" s="47"/>
      <c r="N168" s="47"/>
    </row>
    <row r="169" ht="21.75" customHeight="1">
      <c r="C169" s="47"/>
      <c r="D169" s="47"/>
      <c r="E169" s="37">
        <v>3.0</v>
      </c>
      <c r="F169" s="55">
        <f t="shared" si="79"/>
        <v>46479</v>
      </c>
      <c r="G169" s="28">
        <f>E45</f>
        <v>-11334.58333</v>
      </c>
      <c r="H169" s="47"/>
      <c r="I169" s="47"/>
      <c r="J169" s="47"/>
      <c r="K169" s="47"/>
      <c r="L169" s="47"/>
      <c r="M169" s="47"/>
      <c r="N169" s="47"/>
    </row>
    <row r="170" ht="21.75" customHeight="1">
      <c r="C170" s="47"/>
      <c r="D170" s="47"/>
      <c r="E170" s="37">
        <v>4.0</v>
      </c>
      <c r="F170" s="55">
        <f t="shared" si="79"/>
        <v>46510</v>
      </c>
      <c r="G170" s="28">
        <f>F45</f>
        <v>-14735.58333</v>
      </c>
      <c r="H170" s="47"/>
      <c r="I170" s="47"/>
      <c r="J170" s="47"/>
      <c r="K170" s="47"/>
      <c r="L170" s="47"/>
      <c r="M170" s="47"/>
      <c r="N170" s="47"/>
    </row>
    <row r="171" ht="21.75" customHeight="1">
      <c r="C171" s="47"/>
      <c r="D171" s="47"/>
      <c r="E171" s="37">
        <v>5.0</v>
      </c>
      <c r="F171" s="55">
        <f t="shared" si="79"/>
        <v>46540</v>
      </c>
      <c r="G171" s="28">
        <f>G45</f>
        <v>-14796.83333</v>
      </c>
      <c r="H171" s="47"/>
      <c r="I171" s="47"/>
      <c r="J171" s="47"/>
      <c r="K171" s="47"/>
      <c r="L171" s="47"/>
      <c r="M171" s="47"/>
      <c r="N171" s="47"/>
    </row>
    <row r="172" ht="21.75" customHeight="1">
      <c r="C172" s="47"/>
      <c r="D172" s="47"/>
      <c r="E172" s="37">
        <v>6.0</v>
      </c>
      <c r="F172" s="55">
        <f t="shared" si="79"/>
        <v>46571</v>
      </c>
      <c r="G172" s="28">
        <f>H45</f>
        <v>-13950.33333</v>
      </c>
      <c r="H172" s="47"/>
      <c r="I172" s="47"/>
      <c r="J172" s="47"/>
      <c r="K172" s="47"/>
      <c r="L172" s="47"/>
      <c r="M172" s="47"/>
      <c r="N172" s="47"/>
    </row>
    <row r="173" ht="21.75" customHeight="1">
      <c r="C173" s="47"/>
      <c r="D173" s="47"/>
      <c r="E173" s="37">
        <v>7.0</v>
      </c>
      <c r="F173" s="55">
        <f t="shared" si="79"/>
        <v>46601</v>
      </c>
      <c r="G173" s="28">
        <f>I45</f>
        <v>2421.666667</v>
      </c>
      <c r="H173" s="47"/>
      <c r="I173" s="47"/>
      <c r="J173" s="47"/>
      <c r="K173" s="47"/>
      <c r="L173" s="47"/>
      <c r="M173" s="47"/>
      <c r="N173" s="47"/>
    </row>
    <row r="174" ht="21.75" customHeight="1">
      <c r="C174" s="47"/>
      <c r="D174" s="47"/>
      <c r="E174" s="37">
        <v>8.0</v>
      </c>
      <c r="F174" s="55">
        <f t="shared" si="79"/>
        <v>46631</v>
      </c>
      <c r="G174" s="28">
        <f>J45</f>
        <v>4531.666667</v>
      </c>
      <c r="H174" s="47"/>
      <c r="I174" s="47"/>
      <c r="J174" s="47"/>
      <c r="K174" s="47"/>
      <c r="L174" s="47"/>
      <c r="M174" s="47"/>
      <c r="N174" s="47"/>
    </row>
    <row r="175" ht="21.75" customHeight="1">
      <c r="C175" s="47"/>
      <c r="D175" s="47"/>
      <c r="E175" s="37">
        <v>9.0</v>
      </c>
      <c r="F175" s="55">
        <f t="shared" si="79"/>
        <v>46662</v>
      </c>
      <c r="G175" s="28">
        <f>K45</f>
        <v>4878.166667</v>
      </c>
      <c r="H175" s="47"/>
      <c r="I175" s="47"/>
      <c r="J175" s="47"/>
      <c r="K175" s="47"/>
      <c r="L175" s="47"/>
      <c r="M175" s="47"/>
      <c r="N175" s="47"/>
    </row>
    <row r="176" ht="21.75" customHeight="1">
      <c r="C176" s="47"/>
      <c r="D176" s="47"/>
      <c r="E176" s="37">
        <v>10.0</v>
      </c>
      <c r="F176" s="55">
        <f t="shared" si="79"/>
        <v>46692</v>
      </c>
      <c r="G176" s="28">
        <f>L45</f>
        <v>7051.916667</v>
      </c>
      <c r="H176" s="47"/>
      <c r="I176" s="47"/>
      <c r="J176" s="47"/>
      <c r="K176" s="47"/>
      <c r="L176" s="47"/>
      <c r="M176" s="47"/>
      <c r="N176" s="47"/>
    </row>
    <row r="177" ht="21.75" customHeight="1">
      <c r="C177" s="47"/>
      <c r="D177" s="47"/>
      <c r="E177" s="37">
        <v>11.0</v>
      </c>
      <c r="F177" s="55">
        <f t="shared" si="79"/>
        <v>46723</v>
      </c>
      <c r="G177" s="28">
        <f>M45</f>
        <v>7357.916667</v>
      </c>
      <c r="H177" s="47"/>
      <c r="I177" s="47"/>
      <c r="J177" s="47"/>
      <c r="K177" s="47"/>
      <c r="L177" s="47"/>
      <c r="M177" s="47"/>
      <c r="N177" s="47"/>
    </row>
    <row r="178" ht="21.75" customHeight="1">
      <c r="C178" s="47"/>
      <c r="D178" s="47"/>
      <c r="E178" s="37">
        <v>12.0</v>
      </c>
      <c r="F178" s="55">
        <f t="shared" si="79"/>
        <v>46753</v>
      </c>
      <c r="G178" s="28">
        <f>N45</f>
        <v>7651.166667</v>
      </c>
      <c r="H178" s="47"/>
      <c r="I178" s="47"/>
      <c r="J178" s="47"/>
      <c r="K178" s="47"/>
      <c r="L178" s="47"/>
      <c r="M178" s="47"/>
      <c r="N178" s="47"/>
    </row>
    <row r="179" ht="21.75" customHeight="1">
      <c r="C179" s="47"/>
      <c r="D179" s="47"/>
      <c r="E179" s="37">
        <v>24.0</v>
      </c>
      <c r="F179" s="55">
        <f t="shared" si="79"/>
        <v>47118</v>
      </c>
      <c r="G179" s="28">
        <f>P45</f>
        <v>38231.75</v>
      </c>
      <c r="H179" s="47"/>
      <c r="I179" s="47"/>
      <c r="J179" s="47"/>
      <c r="K179" s="47"/>
      <c r="L179" s="47"/>
      <c r="M179" s="47"/>
      <c r="N179" s="47"/>
    </row>
    <row r="180" ht="21.75" customHeight="1">
      <c r="C180" s="47"/>
      <c r="D180" s="47"/>
      <c r="E180" s="37">
        <v>36.0</v>
      </c>
      <c r="F180" s="55">
        <f t="shared" si="79"/>
        <v>47483</v>
      </c>
      <c r="G180" s="28">
        <f>Q45</f>
        <v>72917.5</v>
      </c>
      <c r="H180" s="47"/>
      <c r="I180" s="47"/>
      <c r="J180" s="47"/>
      <c r="K180" s="47"/>
      <c r="L180" s="47"/>
      <c r="M180" s="47"/>
      <c r="N180" s="47"/>
    </row>
    <row r="181" ht="21.75" customHeight="1">
      <c r="C181" s="47"/>
      <c r="D181" s="47"/>
      <c r="E181" s="37">
        <v>48.0</v>
      </c>
      <c r="F181" s="55">
        <f t="shared" si="79"/>
        <v>47848</v>
      </c>
      <c r="G181" s="28">
        <f>R45</f>
        <v>111534.5</v>
      </c>
      <c r="H181" s="47"/>
      <c r="I181" s="47"/>
      <c r="J181" s="47"/>
      <c r="K181" s="47"/>
      <c r="L181" s="47"/>
      <c r="M181" s="47"/>
      <c r="N181" s="47"/>
    </row>
    <row r="182" ht="15.75" customHeight="1"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</row>
    <row r="183" ht="15.75" customHeight="1"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</row>
    <row r="184" ht="15.75" customHeight="1"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</row>
    <row r="185" ht="15.75" customHeight="1"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</row>
    <row r="186" ht="15.75" customHeight="1"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</row>
    <row r="187" ht="15.75" customHeight="1"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</row>
    <row r="188" ht="15.75" customHeight="1"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</row>
    <row r="189" ht="15.75" customHeight="1"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</row>
    <row r="190" ht="15.75" customHeight="1"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</row>
    <row r="191" ht="15.75" customHeight="1"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</row>
    <row r="192" ht="15.75" customHeight="1"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</row>
    <row r="193" ht="15.75" customHeight="1"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</row>
    <row r="194" ht="15.75" customHeight="1"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</row>
    <row r="195" ht="15.75" customHeight="1"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</row>
    <row r="196" ht="15.75" customHeight="1"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</row>
    <row r="197" ht="15.75" customHeight="1"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</row>
    <row r="198" ht="15.75" customHeight="1"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</row>
    <row r="199" ht="15.75" customHeight="1"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</row>
    <row r="200" ht="15.75" customHeight="1"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</row>
    <row r="201" ht="15.75" customHeight="1"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</row>
    <row r="202" ht="15.75" customHeight="1"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</row>
    <row r="203" ht="15.75" customHeight="1"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</row>
    <row r="204" ht="15.75" customHeight="1"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</row>
    <row r="205" ht="15.75" customHeight="1"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</row>
    <row r="206" ht="15.75" customHeight="1"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</row>
    <row r="207" ht="15.75" customHeight="1"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</row>
    <row r="208" ht="15.75" customHeight="1"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</row>
    <row r="209" ht="15.75" customHeight="1"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</row>
    <row r="210" ht="15.75" customHeight="1"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</row>
    <row r="211" ht="15.75" customHeight="1"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</row>
    <row r="212" ht="15.75" customHeight="1"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</row>
    <row r="213" ht="15.75" customHeight="1"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</row>
    <row r="214" ht="15.75" customHeight="1"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</row>
    <row r="215" ht="15.75" customHeight="1"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</row>
    <row r="216" ht="15.75" customHeight="1"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</row>
    <row r="217" ht="15.75" customHeight="1"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</row>
    <row r="218" ht="15.75" customHeight="1"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</row>
    <row r="219" ht="15.75" customHeight="1"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</row>
    <row r="220" ht="15.75" customHeight="1"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</row>
    <row r="221" ht="15.75" customHeight="1"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</row>
    <row r="222" ht="15.75" customHeight="1"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</row>
    <row r="223" ht="15.75" customHeight="1"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</row>
    <row r="224" ht="15.75" customHeight="1"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</row>
    <row r="225" ht="15.75" customHeight="1"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</row>
    <row r="226" ht="15.75" customHeight="1"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</row>
    <row r="227" ht="15.75" customHeight="1"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</row>
    <row r="228" ht="15.75" customHeight="1"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</row>
    <row r="229" ht="15.75" customHeight="1"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</row>
    <row r="230" ht="15.75" customHeight="1"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</row>
    <row r="231" ht="15.75" customHeight="1"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</row>
    <row r="232" ht="15.75" customHeight="1"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</row>
    <row r="233" ht="15.75" customHeight="1"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</row>
    <row r="234" ht="15.75" customHeight="1"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</row>
    <row r="235" ht="15.75" customHeight="1"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</row>
    <row r="236" ht="15.75" customHeight="1"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</row>
    <row r="237" ht="15.75" customHeight="1"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</row>
    <row r="238" ht="15.75" customHeight="1"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</row>
    <row r="239" ht="15.75" customHeight="1"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</row>
    <row r="240" ht="15.75" customHeight="1"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</row>
    <row r="241" ht="15.75" customHeight="1"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</row>
    <row r="242" ht="15.75" customHeight="1"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</row>
    <row r="243" ht="15.75" customHeight="1"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</row>
    <row r="244" ht="15.75" customHeight="1"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</row>
    <row r="245" ht="15.75" customHeight="1"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</row>
    <row r="246" ht="15.75" customHeight="1"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</row>
    <row r="247" ht="15.75" customHeight="1"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</row>
    <row r="248" ht="15.75" customHeight="1"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</row>
    <row r="249" ht="15.75" customHeight="1"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</row>
    <row r="250" ht="15.75" customHeight="1"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</row>
    <row r="251" ht="15.75" customHeight="1"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</row>
    <row r="252" ht="15.75" customHeight="1"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</row>
    <row r="253" ht="15.75" customHeight="1"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</row>
    <row r="254" ht="15.75" customHeight="1"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</row>
    <row r="255" ht="15.75" customHeight="1"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</row>
    <row r="256" ht="15.75" customHeight="1"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</row>
    <row r="257" ht="15.75" customHeight="1"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</row>
    <row r="258" ht="15.75" customHeight="1"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</row>
    <row r="259" ht="15.75" customHeight="1"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</row>
    <row r="260" ht="15.75" customHeight="1"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</row>
    <row r="261" ht="15.75" customHeight="1"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</row>
    <row r="262" ht="15.75" customHeight="1"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</row>
    <row r="263" ht="15.75" customHeight="1"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</row>
    <row r="264" ht="15.75" customHeight="1"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</row>
    <row r="265" ht="15.75" customHeight="1"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</row>
    <row r="266" ht="15.75" customHeight="1"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</row>
    <row r="267" ht="15.75" customHeight="1"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</row>
    <row r="268" ht="15.75" customHeight="1"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</row>
    <row r="269" ht="15.75" customHeight="1"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</row>
    <row r="270" ht="15.75" customHeight="1"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</row>
    <row r="271" ht="15.75" customHeight="1"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</row>
    <row r="272" ht="15.75" customHeight="1"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</row>
    <row r="273" ht="15.75" customHeight="1"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</row>
    <row r="274" ht="15.75" customHeight="1"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</row>
    <row r="275" ht="15.75" customHeight="1"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</row>
    <row r="276" ht="15.75" customHeight="1"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</row>
    <row r="277" ht="15.75" customHeight="1"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</row>
    <row r="278" ht="15.75" customHeight="1"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</row>
    <row r="279" ht="15.75" customHeight="1"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</row>
    <row r="280" ht="15.75" customHeight="1"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</row>
    <row r="281" ht="15.75" customHeight="1"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</row>
    <row r="282" ht="15.75" customHeight="1"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</row>
    <row r="283" ht="15.75" customHeight="1"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</row>
    <row r="284" ht="15.75" customHeight="1"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</row>
    <row r="285" ht="15.75" customHeight="1"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</row>
    <row r="286" ht="15.75" customHeight="1"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</row>
    <row r="287" ht="15.75" customHeight="1"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</row>
    <row r="288" ht="15.75" customHeight="1"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</row>
    <row r="289" ht="15.75" customHeight="1"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</row>
    <row r="290" ht="15.75" customHeight="1"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</row>
    <row r="291" ht="15.75" customHeight="1"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</row>
    <row r="292" ht="15.75" customHeight="1"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</row>
    <row r="293" ht="15.75" customHeight="1"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</row>
    <row r="294" ht="15.75" customHeight="1"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</row>
    <row r="295" ht="15.75" customHeight="1"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</row>
    <row r="296" ht="15.75" customHeight="1"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</row>
    <row r="297" ht="15.75" customHeight="1"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</row>
    <row r="298" ht="15.75" customHeight="1"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</row>
    <row r="299" ht="15.75" customHeight="1"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</row>
    <row r="300" ht="15.75" customHeight="1"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</row>
    <row r="301" ht="15.75" customHeight="1"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</row>
    <row r="302" ht="15.75" customHeight="1"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</row>
    <row r="303" ht="15.75" customHeight="1"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</row>
    <row r="304" ht="15.75" customHeight="1"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</row>
    <row r="305" ht="15.75" customHeight="1"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</row>
    <row r="306" ht="15.75" customHeight="1"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</row>
    <row r="307" ht="15.75" customHeight="1"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</row>
    <row r="308" ht="15.75" customHeight="1"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</row>
    <row r="309" ht="15.75" customHeight="1"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</row>
    <row r="310" ht="15.75" customHeight="1"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</row>
    <row r="311" ht="15.75" customHeight="1"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</row>
    <row r="312" ht="15.75" customHeight="1"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</row>
    <row r="313" ht="15.75" customHeight="1"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</row>
    <row r="314" ht="15.75" customHeight="1"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</row>
    <row r="315" ht="15.75" customHeight="1"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</row>
    <row r="316" ht="15.75" customHeight="1"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</row>
    <row r="317" ht="15.75" customHeight="1"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</row>
    <row r="318" ht="15.75" customHeight="1"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</row>
    <row r="319" ht="15.75" customHeight="1"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</row>
    <row r="320" ht="15.75" customHeight="1"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</row>
    <row r="321" ht="15.75" customHeight="1"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</row>
    <row r="322" ht="15.75" customHeight="1"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</row>
    <row r="323" ht="15.75" customHeight="1"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</row>
    <row r="324" ht="15.75" customHeight="1"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</row>
    <row r="325" ht="15.75" customHeight="1"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</row>
    <row r="326" ht="15.75" customHeight="1"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</row>
    <row r="327" ht="15.75" customHeight="1"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</row>
    <row r="328" ht="15.75" customHeight="1"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</row>
    <row r="329" ht="15.75" customHeight="1"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</row>
    <row r="330" ht="15.75" customHeight="1"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</row>
    <row r="331" ht="15.75" customHeight="1"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</row>
    <row r="332" ht="15.75" customHeight="1"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</row>
    <row r="333" ht="15.75" customHeight="1"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</row>
    <row r="334" ht="15.75" customHeight="1"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</row>
    <row r="335" ht="15.75" customHeight="1"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</row>
    <row r="336" ht="15.75" customHeight="1"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</row>
    <row r="337" ht="15.75" customHeight="1"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</row>
    <row r="338" ht="15.75" customHeight="1"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</row>
    <row r="339" ht="15.75" customHeight="1"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</row>
    <row r="340" ht="15.75" customHeight="1"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</row>
    <row r="341" ht="15.75" customHeight="1"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</row>
    <row r="342" ht="15.75" customHeight="1"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</row>
    <row r="343" ht="15.75" customHeight="1"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</row>
    <row r="344" ht="15.75" customHeight="1"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</row>
    <row r="345" ht="15.75" customHeight="1"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</row>
    <row r="346" ht="15.75" customHeight="1"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</row>
    <row r="347" ht="15.75" customHeight="1"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</row>
    <row r="348" ht="15.75" customHeight="1"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</row>
    <row r="349" ht="15.75" customHeight="1"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</row>
    <row r="350" ht="15.75" customHeight="1"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</row>
    <row r="351" ht="15.75" customHeight="1"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</row>
    <row r="352" ht="15.75" customHeight="1"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</row>
    <row r="353" ht="15.75" customHeight="1"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</row>
    <row r="354" ht="15.75" customHeight="1"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</row>
    <row r="355" ht="15.75" customHeight="1"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</row>
    <row r="356" ht="15.75" customHeight="1"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</row>
    <row r="357" ht="15.75" customHeight="1"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</row>
    <row r="358" ht="15.75" customHeight="1"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</row>
    <row r="359" ht="15.75" customHeight="1"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</row>
    <row r="360" ht="15.75" customHeight="1"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</row>
    <row r="361" ht="15.75" customHeight="1"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</row>
    <row r="362" ht="15.75" customHeight="1"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</row>
    <row r="363" ht="15.75" customHeight="1"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</row>
    <row r="364" ht="15.75" customHeight="1"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</row>
    <row r="365" ht="15.75" customHeight="1"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</row>
    <row r="366" ht="15.75" customHeight="1"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</row>
    <row r="367" ht="15.75" customHeight="1"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</row>
    <row r="368" ht="15.75" customHeight="1"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</row>
    <row r="369" ht="15.75" customHeight="1"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</row>
    <row r="370" ht="15.75" customHeight="1"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</row>
    <row r="371" ht="15.75" customHeight="1"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</row>
    <row r="372" ht="15.75" customHeight="1"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</row>
    <row r="373" ht="15.75" customHeight="1"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</row>
    <row r="374" ht="15.75" customHeight="1"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</row>
    <row r="375" ht="15.75" customHeight="1"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</row>
    <row r="376" ht="15.75" customHeight="1"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</row>
    <row r="377" ht="15.75" customHeight="1"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</row>
    <row r="378" ht="15.75" customHeight="1"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</row>
    <row r="379" ht="15.75" customHeight="1"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</row>
    <row r="380" ht="15.75" customHeight="1"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</row>
    <row r="381" ht="15.75" customHeight="1"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</row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ustomSheetViews>
    <customSheetView guid="{97E5A6E8-1452-495C-ADA9-7DBD435A0EEF}" filter="1" showAutoFilter="1">
      <autoFilter ref="$A$2:$R$43"/>
      <extLst>
        <ext uri="GoogleSheetsCustomDataVersion1">
          <go:sheetsCustomData xmlns:go="http://customooxmlschemas.google.com/" filterViewId="2019242236"/>
        </ext>
      </extLst>
    </customSheetView>
  </customSheetViews>
  <conditionalFormatting sqref="C43:N43">
    <cfRule type="cellIs" dxfId="4" priority="1" operator="lessThan">
      <formula>-0.005</formula>
    </cfRule>
  </conditionalFormatting>
  <conditionalFormatting sqref="C62:N62">
    <cfRule type="cellIs" dxfId="4" priority="2" operator="lessThan">
      <formula>0</formula>
    </cfRule>
  </conditionalFormatting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