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c6042c485b4c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lujo de caja" sheetId="1" r:id="R3ebbd16bcc9f4bf7"/>
    <x:sheet xmlns:r="http://schemas.openxmlformats.org/officeDocument/2006/relationships" name="Plan 12 meses" sheetId="2" r:id="Rcb71abc98dcb4553"/>
    <x:sheet xmlns:r="http://schemas.openxmlformats.org/officeDocument/2006/relationships" name="Plan comercial" sheetId="3" r:id="R290b868c09044f98"/>
  </x:sheets>
  <x:definedNames>
    <x:definedName name="Z_97E5A6E8_1452_495C_ADA9_7DBD435A0EEF_.wvu.FilterData" localSheetId="0" hidden="1">'Flujo de caja'!$A$2:$R$43</x:definedName>
  </x:definedNames>
</x:workbook>
</file>

<file path=xl/comments1.xml><?xml version="1.0" encoding="utf-8"?>
<x:comments xmlns:x="http://schemas.openxmlformats.org/spreadsheetml/2006/main">
  <x:authors>
    <x:author/>
  </x:authors>
  <x:commentList>
    <x:comment ref="C53" authorId="0">
      <x:text>
        <x:r>
          <x:t>======
ID#AAACGrqfy9o
ignacio cavicchioli    (2026-10-12 21:39:19)
esta es la inversión inicial total necesaria, sería el máx negativo del flujo acumulado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4">
    <x:numFmt numFmtId="164" formatCode="[$$]#,##0.00"/>
    <x:numFmt numFmtId="165" formatCode="#,##0.00;(#,##0.00);&quot;-&quot;"/>
    <x:numFmt numFmtId="166" formatCode="[&gt;=0.005]#,##0.00;[&lt;=-0.005](#,##0.00);&quot;-&quot;"/>
    <x:numFmt numFmtId="167" formatCode="#,##0.00;(#,##0.00)"/>
    <x:numFmt numFmtId="168" formatCode="0.0%"/>
    <x:numFmt numFmtId="169" formatCode="0.0"/>
    <x:numFmt numFmtId="170" formatCode="dd-mmm-yyyy"/>
    <x:numFmt numFmtId="171" formatCode="dd-mmm-yy"/>
    <x:numFmt numFmtId="200" formatCode="#,##0.00;[Red](#,##0.00);-"/>
    <x:numFmt numFmtId="201" formatCode="#,##0;[Red](#,##0);-"/>
    <x:numFmt numFmtId="202" formatCode="0.000%"/>
    <x:numFmt numFmtId="203" formatCode="#,##0"/>
    <x:numFmt numFmtId="204" formatCode="&quot;$&quot;#,##0"/>
    <x:numFmt numFmtId="205" formatCode="&quot;M&quot;0"/>
  </x:numFmts>
  <x:fonts count="26">
    <x:font>
      <x:sz val="10"/>
      <x:color rgb="FF000000"/>
      <x:name val="Arial"/>
      <x:scheme val="minor"/>
    </x:font>
    <x:font>
      <x:sz val="10"/>
      <x:color rgb="FF000000"/>
      <x:name val="Arial"/>
    </x:font>
    <x:font>
      <x:sz val="10"/>
      <x:color theme="1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  <x:font>
      <x:color theme="1"/>
      <x:name val="Arial"/>
    </x:font>
    <x:font>
      <x:b/>
      <x:sz val="10"/>
      <x:color theme="1"/>
      <x:name val="Arial"/>
    </x:font>
    <x:font>
      <x:b/>
      <x:sz val="10"/>
      <x:color rgb="FF000000"/>
      <x:name val="Arial"/>
    </x:font>
    <x:font>
      <x:sz val="10"/>
      <x:color rgb="FF0000FF"/>
      <x:name val="Arial"/>
    </x:font>
    <x:font>
      <x:sz val="10"/>
      <x:color rgb="FF1F1F1F"/>
      <x:name val="Arial"/>
    </x:font>
    <x:font>
      <x:b/>
      <x:sz val="10"/>
      <x:color rgb="FF1F1F1F"/>
      <x:name val="Arial"/>
    </x:font>
    <x:font>
      <x:sz val="10"/>
      <x:color rgb="FF1F1F1F"/>
      <x:name val="Arial"/>
      <x:scheme val="minor"/>
    </x:font>
    <x:font>
      <x:b/>
      <x:sz val="14"/>
      <x:color rgb="FF1F4E78"/>
      <x:name val="Arial"/>
    </x:font>
    <x:font>
      <x:b/>
      <x:sz val="10"/>
      <x:color rgb="FF0000FF"/>
      <x:name val="Arial"/>
    </x:font>
    <x:font>
      <x:i/>
      <x:sz val="9"/>
      <x:color rgb="FF666666"/>
      <x:name val="Arial"/>
    </x:font>
    <x:font>
      <x:b/>
      <x:i/>
      <x:sz val="9"/>
      <x:color rgb="FF666666"/>
      <x:name val="Arial"/>
    </x:font>
    <x:font>
      <x:b/>
      <x:sz val="14"/>
      <x:color rgb="FF1F4E78"/>
      <x:name val="Arial"/>
      <x:scheme val="minor"/>
    </x:font>
    <x:font>
      <x:b/>
      <x:sz val="10"/>
      <x:color rgb="FFFFFFFF"/>
      <x:name val="Arial"/>
      <x:scheme val="minor"/>
    </x:font>
    <x:font>
      <x:b/>
      <x:sz val="10"/>
      <x:color rgb="FF1F1F1F"/>
      <x:name val="Arial"/>
      <x:scheme val="minor"/>
    </x:font>
    <x:font>
      <x:b/>
      <x:sz val="10"/>
      <x:color rgb="FF0000FF"/>
      <x:name val="Arial"/>
      <x:scheme val="minor"/>
    </x:font>
    <x:font>
      <x:b/>
      <x:sz val="10"/>
      <x:color rgb="FF008000"/>
      <x:name val="Arial"/>
      <x:scheme val="minor"/>
    </x:font>
    <x:font>
      <x:i/>
      <x:sz val="9"/>
      <x:color rgb="FF666666"/>
      <x:name val="Arial"/>
      <x:scheme val="minor"/>
    </x:font>
    <x:font>
      <x:sz val="9"/>
      <x:color rgb="FF1F1F1F"/>
      <x:name val="Arial"/>
      <x:scheme val="minor"/>
    </x:font>
    <x:font>
      <x:b/>
      <x:sz val="9"/>
      <x:color rgb="FF1F1F1F"/>
      <x:name val="Arial"/>
      <x:scheme val="minor"/>
    </x:font>
    <x:font>
      <x:b/>
      <x:sz val="10"/>
      <x:color rgb="FF4472C4"/>
      <x:name val="Arial"/>
      <x:scheme val="minor"/>
    </x:font>
    <x:font>
      <x:b/>
      <x:sz val="10"/>
      <x:color rgb="FFC65911"/>
      <x:name val="Arial"/>
      <x:scheme val="minor"/>
    </x:font>
  </x:fonts>
  <x:fills count="12">
    <x:fill>
      <x:patternFill patternType="none"/>
    </x:fill>
    <x:fill>
      <x:patternFill patternType="lightGray"/>
    </x:fill>
    <x:fill>
      <x:patternFill patternType="solid">
        <x:fgColor rgb="FFD2E3F2"/>
      </x:patternFill>
    </x:fill>
    <x:fill>
      <x:patternFill patternType="solid">
        <x:fgColor rgb="FFCFE2F3"/>
      </x:patternFill>
    </x:fill>
    <x:fill>
      <x:patternFill patternType="solid">
        <x:fgColor rgb="FFFCE5CD"/>
      </x:patternFill>
    </x:fill>
    <x:fill>
      <x:patternFill patternType="solid">
        <x:fgColor rgb="FFE7EDF4"/>
      </x:patternFill>
    </x:fill>
    <x:fill>
      <x:patternFill patternType="solid">
        <x:fgColor rgb="FFB6D7A8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14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B7B7B7"/>
      </x:left>
      <x:top style="thin">
        <x:color rgb="FFB7B7B7"/>
      </x:top>
      <x:bottom style="thin">
        <x:color rgb="FFB7B7B7"/>
      </x:bottom>
    </x:border>
    <x:border>
      <x:top style="thin">
        <x:color rgb="FFB7B7B7"/>
      </x:top>
      <x:bottom style="thin">
        <x:color rgb="FFB7B7B7"/>
      </x:bottom>
    </x:border>
    <x:border>
      <x:right style="thin">
        <x:color rgb="FFB7B7B7"/>
      </x:right>
      <x:top style="thin">
        <x:color rgb="FFB7B7B7"/>
      </x:top>
      <x:bottom style="thin">
        <x:color rgb="FFB7B7B7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 applyFont="1" applyAlignment="1"/>
  </x:cellStyleXfs>
  <x:cellXfs count="295">
    <x:xf numFmtId="0" fontId="0" fillId="0" borderId="0" xfId="0" applyFont="1" applyAlignment="1">
      <x:alignment vertical="bottom" wrapText="0" shrinkToFit="0"/>
    </x:xf>
    <x:xf numFmtId="0" fontId="1" fillId="0" borderId="0" xfId="0" applyFont="1" applyAlignment="1">
      <x:alignment vertical="bottom" wrapText="0" shrinkToFit="0"/>
    </x:xf>
    <x:xf numFmtId="164" fontId="2" fillId="0" borderId="0" xfId="0" applyNumberFormat="1" applyFont="1"/>
    <x:xf numFmtId="0" fontId="1" fillId="0" borderId="0" xfId="0" applyFont="1" applyAlignment="1">
      <x:alignment horizontal="left" vertical="bottom" wrapText="0" shrinkToFit="0"/>
    </x:xf>
    <x:xf numFmtId="164" fontId="3" fillId="0" borderId="0" xfId="0" applyNumberFormat="1" applyFont="1" applyAlignment="1">
      <x:alignment horizontal="left" vertical="center" wrapText="0" shrinkToFit="0"/>
    </x:xf>
    <x:xf numFmtId="49" fontId="4" fillId="2" borderId="0" xfId="0" applyNumberFormat="1" applyFont="1" applyFill="1" applyAlignment="1">
      <x:alignment horizontal="left" vertical="center" wrapText="0" shrinkToFit="0"/>
    </x:xf>
    <x:xf numFmtId="164" fontId="4" fillId="2" borderId="0" xfId="0" applyNumberFormat="1" applyFont="1" applyFill="1" applyAlignment="1">
      <x:alignment horizontal="left" vertical="center" wrapText="0" shrinkToFit="0"/>
    </x:xf>
    <x:xf numFmtId="0" fontId="2" fillId="3" borderId="0" xfId="0" applyFont="1" applyFill="1" applyAlignment="1">
      <x:alignment vertical="center" wrapText="0" shrinkToFit="0"/>
    </x:xf>
    <x:xf numFmtId="165" fontId="2" fillId="3" borderId="0" xfId="0" applyNumberFormat="1" applyFont="1" applyFill="1" applyAlignment="1">
      <x:alignment vertical="center" wrapText="0" shrinkToFit="0"/>
    </x:xf>
    <x:xf numFmtId="0" fontId="5" fillId="3" borderId="0" xfId="0" applyFont="1" applyFill="1"/>
    <x:xf numFmtId="0" fontId="6" fillId="0" borderId="0" xfId="0" applyFont="1" applyAlignment="1">
      <x:alignment vertical="center" wrapText="0" shrinkToFit="0"/>
    </x:xf>
    <x:xf numFmtId="0" fontId="1" fillId="0" borderId="0" xfId="0" applyFont="1" applyAlignment="1">
      <x:alignment vertical="bottom" wrapText="0" shrinkToFit="0"/>
    </x:xf>
    <x:xf numFmtId="165" fontId="2" fillId="0" borderId="0" xfId="0" applyNumberFormat="1" applyFont="1" applyAlignment="1">
      <x:alignment vertical="center" wrapText="0" shrinkToFit="0"/>
    </x:xf>
    <x:xf numFmtId="165" fontId="2" fillId="0" borderId="0" xfId="0" applyNumberFormat="1" applyFont="1" applyAlignment="1">
      <x:alignment vertical="center" wrapText="0" shrinkToFit="0"/>
    </x:xf>
    <x:xf numFmtId="0" fontId="6" fillId="3" borderId="0" xfId="0" applyFont="1" applyFill="1" applyAlignment="1">
      <x:alignment vertical="center" wrapText="0" shrinkToFit="0"/>
    </x:xf>
    <x:xf numFmtId="0" fontId="2" fillId="4" borderId="0" xfId="0" applyFont="1" applyFill="1" applyAlignment="1">
      <x:alignment vertical="center" wrapText="0" shrinkToFit="0"/>
    </x:xf>
    <x:xf numFmtId="165" fontId="2" fillId="4" borderId="0" xfId="0" applyNumberFormat="1" applyFont="1" applyFill="1" applyAlignment="1">
      <x:alignment vertical="center" wrapText="0" shrinkToFit="0"/>
    </x:xf>
    <x:xf numFmtId="0" fontId="5" fillId="4" borderId="0" xfId="0" applyFont="1" applyFill="1"/>
    <x:xf numFmtId="0" fontId="6" fillId="5" borderId="0" xfId="0" applyFont="1" applyFill="1" applyAlignment="1">
      <x:alignment vertical="center" wrapText="0" shrinkToFit="0"/>
    </x:xf>
    <x:xf numFmtId="0" fontId="7" fillId="5" borderId="0" xfId="0" applyFont="1" applyFill="1" applyAlignment="1">
      <x:alignment vertical="bottom" wrapText="0" shrinkToFit="0"/>
    </x:xf>
    <x:xf numFmtId="165" fontId="6" fillId="5" borderId="0" xfId="0" applyNumberFormat="1" applyFont="1" applyFill="1" applyAlignment="1">
      <x:alignment vertical="center" wrapText="0" shrinkToFit="0"/>
    </x:xf>
    <x:xf numFmtId="165" fontId="1" fillId="0" borderId="0" xfId="0" applyNumberFormat="1" applyFont="1" applyAlignment="1">
      <x:alignment vertical="bottom" wrapText="0" shrinkToFit="0"/>
    </x:xf>
    <x:xf numFmtId="0" fontId="6" fillId="4" borderId="0" xfId="0" applyFont="1" applyFill="1" applyAlignment="1">
      <x:alignment vertical="center" wrapText="0" shrinkToFit="0"/>
    </x:xf>
    <x:xf numFmtId="0" fontId="7" fillId="0" borderId="0" xfId="0" applyFont="1" applyAlignment="1">
      <x:alignment vertical="bottom" wrapText="0" shrinkToFit="0"/>
    </x:xf>
    <x:xf numFmtId="165" fontId="6" fillId="0" borderId="0" xfId="0" applyNumberFormat="1" applyFont="1" applyAlignment="1">
      <x:alignment vertical="center" wrapText="0" shrinkToFit="0"/>
    </x:xf>
    <x:xf numFmtId="0" fontId="2" fillId="6" borderId="0" xfId="0" applyFont="1" applyFill="1" applyAlignment="1">
      <x:alignment vertical="center" wrapText="0" shrinkToFit="0"/>
    </x:xf>
    <x:xf numFmtId="166" fontId="2" fillId="6" borderId="0" xfId="0" applyNumberFormat="1" applyFont="1" applyFill="1" applyAlignment="1">
      <x:alignment vertical="center" wrapText="0" shrinkToFit="0"/>
    </x:xf>
    <x:xf numFmtId="0" fontId="5" fillId="6" borderId="0" xfId="0" applyFont="1" applyFill="1"/>
    <x:xf numFmtId="165" fontId="2" fillId="0" borderId="0" xfId="0" applyNumberFormat="1" applyFont="1"/>
    <x:xf numFmtId="0" fontId="7" fillId="0" borderId="0" xfId="0" applyFont="1" applyAlignment="1">
      <x:alignment vertical="bottom" wrapText="0" shrinkToFit="0"/>
    </x:xf>
    <x:xf numFmtId="165" fontId="6" fillId="0" borderId="0" xfId="0" applyNumberFormat="1" applyFont="1"/>
    <x:xf numFmtId="0" fontId="7" fillId="2" borderId="0" xfId="0" applyFont="1" applyFill="1" applyAlignment="1">
      <x:alignment vertical="bottom" wrapText="0" shrinkToFit="0"/>
    </x:xf>
    <x:xf numFmtId="165" fontId="6" fillId="2" borderId="0" xfId="0" applyNumberFormat="1" applyFont="1" applyFill="1"/>
    <x:xf numFmtId="167" fontId="6" fillId="0" borderId="0" xfId="0" applyNumberFormat="1" applyFont="1"/>
    <x:xf numFmtId="168" fontId="6" fillId="0" borderId="0" xfId="0" applyNumberFormat="1" applyFont="1"/>
    <x:xf numFmtId="2" fontId="2" fillId="0" borderId="0" xfId="0" applyNumberFormat="1" applyFont="1"/>
    <x:xf numFmtId="164" fontId="6" fillId="2" borderId="0" xfId="0" applyNumberFormat="1" applyFont="1" applyFill="1"/>
    <x:xf numFmtId="1" fontId="2" fillId="0" borderId="0" xfId="0" applyNumberFormat="1" applyFont="1"/>
    <x:xf numFmtId="169" fontId="2" fillId="0" borderId="0" xfId="0" applyNumberFormat="1" applyFont="1"/>
    <x:xf numFmtId="1" fontId="8" fillId="0" borderId="0" xfId="0" applyNumberFormat="1" applyFont="1" applyAlignment="1"/>
    <x:xf numFmtId="165" fontId="8" fillId="0" borderId="0" xfId="0" applyNumberFormat="1" applyFont="1"/>
    <x:xf numFmtId="1" fontId="8" fillId="0" borderId="0" xfId="0" applyNumberFormat="1" applyFont="1"/>
    <x:xf numFmtId="165" fontId="1" fillId="0" borderId="0" xfId="0" applyNumberFormat="1" applyFont="1"/>
    <x:xf numFmtId="165" fontId="8" fillId="0" borderId="0" xfId="0" applyNumberFormat="1" applyFont="1" applyAlignment="1"/>
    <x:xf numFmtId="168" fontId="8" fillId="0" borderId="0" xfId="0" applyNumberFormat="1" applyFont="1"/>
    <x:xf numFmtId="164" fontId="8" fillId="0" borderId="0" xfId="0" applyNumberFormat="1" applyFont="1"/>
    <x:xf numFmtId="0" fontId="8" fillId="0" borderId="0" xfId="0" applyFont="1" applyAlignment="1">
      <x:alignment vertical="bottom" wrapText="0" shrinkToFit="0"/>
    </x:xf>
    <x:xf numFmtId="164" fontId="5" fillId="0" borderId="0" xfId="0" applyNumberFormat="1" applyFont="1"/>
    <x:xf numFmtId="3" fontId="8" fillId="0" borderId="0" xfId="0" applyNumberFormat="1" applyFont="1" applyAlignment="1">
      <x:alignment vertical="bottom" wrapText="0" shrinkToFit="0"/>
    </x:xf>
    <x:xf numFmtId="2" fontId="1" fillId="0" borderId="0" xfId="0" applyNumberFormat="1" applyFont="1" applyAlignment="1">
      <x:alignment vertical="bottom" wrapText="0" shrinkToFit="0"/>
    </x:xf>
    <x:xf numFmtId="1" fontId="1" fillId="0" borderId="0" xfId="0" applyNumberFormat="1" applyFont="1" applyAlignment="1">
      <x:alignment vertical="bottom" wrapText="0" shrinkToFit="0"/>
    </x:xf>
    <x:xf numFmtId="165" fontId="1" fillId="0" borderId="0" xfId="0" applyNumberFormat="1" applyFont="1" applyAlignment="1">
      <x:alignment vertical="bottom" wrapText="0" shrinkToFit="0"/>
    </x:xf>
    <x:xf numFmtId="0" fontId="1" fillId="2" borderId="0" xfId="0" applyFont="1" applyFill="1" applyAlignment="1">
      <x:alignment vertical="bottom" wrapText="0" shrinkToFit="0"/>
    </x:xf>
    <x:xf numFmtId="164" fontId="2" fillId="2" borderId="0" xfId="0" applyNumberFormat="1" applyFont="1" applyFill="1"/>
    <x:xf numFmtId="170" fontId="2" fillId="0" borderId="0" xfId="0" applyNumberFormat="1" applyFont="1"/>
    <x:xf numFmtId="171" fontId="2" fillId="0" borderId="0" xfId="0" applyNumberFormat="1" applyFont="1"/>
    <x:xf numFmtId="171" fontId="1" fillId="0" borderId="0" xfId="0" applyNumberFormat="1" applyFont="1" applyAlignment="1">
      <x:alignment vertical="bottom" wrapText="0" shrinkToFit="0"/>
    </x:xf>
    <x:xf numFmtId="164" fontId="2" fillId="0" borderId="0" xfId="0" applyNumberFormat="1" applyFont="1" applyAlignment="1">
      <x:alignment wrapText="1" shrinkToFit="0"/>
    </x:xf>
    <x:xf numFmtId="0" fontId="9" fillId="0" borderId="0" xfId="0" applyNumberFormat="1" applyFont="1" applyFill="1" applyBorder="1" applyAlignment="1">
      <x:alignment vertical="bottom" wrapText="0"/>
    </x:xf>
    <x:xf numFmtId="164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horizontal="left" vertical="bottom" wrapText="0"/>
    </x:xf>
    <x:xf numFmtId="164" fontId="9" fillId="0" borderId="0" xfId="0" applyNumberFormat="1" applyFont="1" applyFill="1" applyBorder="1" applyAlignment="1">
      <x:alignment horizontal="left" vertical="center" wrapText="0"/>
    </x:xf>
    <x:xf numFmtId="49" fontId="10" fillId="2" borderId="0" xfId="0" applyNumberFormat="1" applyFont="1" applyFill="1" applyBorder="1" applyAlignment="1">
      <x:alignment horizontal="left" vertical="center" wrapText="0"/>
    </x:xf>
    <x:xf numFmtId="164" fontId="10" fillId="2" borderId="0" xfId="0" applyNumberFormat="1" applyFont="1" applyFill="1" applyBorder="1" applyAlignment="1">
      <x:alignment horizontal="left" vertical="center" wrapText="0"/>
    </x:xf>
    <x:xf numFmtId="0" fontId="9" fillId="3" borderId="0" xfId="0" applyNumberFormat="1" applyFont="1" applyFill="1" applyBorder="1" applyAlignment="1">
      <x:alignment vertical="center" wrapText="0"/>
    </x:xf>
    <x:xf numFmtId="165" fontId="9" fillId="3" borderId="0" xfId="0" applyNumberFormat="1" applyFont="1" applyFill="1" applyBorder="1" applyAlignment="1">
      <x:alignment vertical="center" wrapText="0"/>
    </x:xf>
    <x:xf numFmtId="0" fontId="10" fillId="0" borderId="0" xfId="0" applyNumberFormat="1" applyFont="1" applyFill="1" applyBorder="1" applyAlignment="1">
      <x:alignment vertical="center" wrapText="0"/>
    </x:xf>
    <x:xf numFmtId="165" fontId="9" fillId="0" borderId="0" xfId="0" applyNumberFormat="1" applyFont="1" applyFill="1" applyBorder="1" applyAlignment="1">
      <x:alignment vertical="center" wrapText="0"/>
    </x:xf>
    <x:xf numFmtId="0" fontId="10" fillId="3" borderId="0" xfId="0" applyNumberFormat="1" applyFont="1" applyFill="1" applyBorder="1" applyAlignment="1">
      <x:alignment vertical="center" wrapText="0"/>
    </x:xf>
    <x:xf numFmtId="0" fontId="9" fillId="4" borderId="0" xfId="0" applyNumberFormat="1" applyFont="1" applyFill="1" applyBorder="1" applyAlignment="1">
      <x:alignment vertical="center" wrapText="0"/>
    </x:xf>
    <x:xf numFmtId="165" fontId="9" fillId="4" borderId="0" xfId="0" applyNumberFormat="1" applyFont="1" applyFill="1" applyBorder="1" applyAlignment="1">
      <x:alignment vertical="center" wrapText="0"/>
    </x:xf>
    <x:xf numFmtId="0" fontId="10" fillId="5" borderId="0" xfId="0" applyNumberFormat="1" applyFont="1" applyFill="1" applyBorder="1" applyAlignment="1">
      <x:alignment vertical="center" wrapText="0"/>
    </x:xf>
    <x:xf numFmtId="0" fontId="10" fillId="5" borderId="0" xfId="0" applyNumberFormat="1" applyFont="1" applyFill="1" applyBorder="1" applyAlignment="1">
      <x:alignment vertical="bottom" wrapText="0"/>
    </x:xf>
    <x:xf numFmtId="165" fontId="10" fillId="5" borderId="0" xfId="0" applyNumberFormat="1" applyFont="1" applyFill="1" applyBorder="1" applyAlignment="1">
      <x:alignment vertical="center" wrapText="0"/>
    </x:xf>
    <x:xf numFmtId="165" fontId="9" fillId="0" borderId="0" xfId="0" applyNumberFormat="1" applyFont="1" applyFill="1" applyBorder="1" applyAlignment="1">
      <x:alignment vertical="bottom" wrapText="0"/>
    </x:xf>
    <x:xf numFmtId="0" fontId="10" fillId="4" borderId="0" xfId="0" applyNumberFormat="1" applyFont="1" applyFill="1" applyBorder="1" applyAlignment="1">
      <x:alignment vertical="center" wrapText="0"/>
    </x:xf>
    <x:xf numFmtId="0" fontId="10" fillId="0" borderId="0" xfId="0" applyNumberFormat="1" applyFont="1" applyFill="1" applyBorder="1" applyAlignment="1">
      <x:alignment vertical="bottom" wrapText="0"/>
    </x:xf>
    <x:xf numFmtId="165" fontId="10" fillId="0" borderId="0" xfId="0" applyNumberFormat="1" applyFont="1" applyFill="1" applyBorder="1" applyAlignment="1">
      <x:alignment vertical="center" wrapText="0"/>
    </x:xf>
    <x:xf numFmtId="0" fontId="9" fillId="6" borderId="0" xfId="0" applyNumberFormat="1" applyFont="1" applyFill="1" applyBorder="1" applyAlignment="1">
      <x:alignment vertical="center" wrapText="0"/>
    </x:xf>
    <x:xf numFmtId="166" fontId="9" fillId="6" borderId="0" xfId="0" applyNumberFormat="1" applyFont="1" applyFill="1" applyBorder="1" applyAlignment="1">
      <x:alignment vertical="center" wrapText="0"/>
    </x:xf>
    <x:xf numFmtId="165" fontId="9" fillId="0" borderId="0" xfId="0" applyNumberFormat="1" applyFont="1" applyFill="1" applyBorder="1"/>
    <x:xf numFmtId="165" fontId="10" fillId="0" borderId="0" xfId="0" applyNumberFormat="1" applyFont="1" applyFill="1" applyBorder="1"/>
    <x:xf numFmtId="0" fontId="10" fillId="2" borderId="0" xfId="0" applyNumberFormat="1" applyFont="1" applyFill="1" applyBorder="1" applyAlignment="1">
      <x:alignment vertical="bottom" wrapText="0"/>
    </x:xf>
    <x:xf numFmtId="165" fontId="10" fillId="2" borderId="0" xfId="0" applyNumberFormat="1" applyFont="1" applyFill="1" applyBorder="1"/>
    <x:xf numFmtId="167" fontId="10" fillId="0" borderId="0" xfId="0" applyNumberFormat="1" applyFont="1" applyFill="1" applyBorder="1"/>
    <x:xf numFmtId="168" fontId="10" fillId="0" borderId="0" xfId="0" applyNumberFormat="1" applyFont="1" applyFill="1" applyBorder="1"/>
    <x:xf numFmtId="2" fontId="9" fillId="0" borderId="0" xfId="0" applyNumberFormat="1" applyFont="1" applyFill="1" applyBorder="1"/>
    <x:xf numFmtId="164" fontId="10" fillId="2" borderId="0" xfId="0" applyNumberFormat="1" applyFont="1" applyFill="1" applyBorder="1"/>
    <x:xf numFmtId="1" fontId="9" fillId="0" borderId="0" xfId="0" applyNumberFormat="1" applyFont="1" applyFill="1" applyBorder="1"/>
    <x:xf numFmtId="169" fontId="9" fillId="0" borderId="0" xfId="0" applyNumberFormat="1" applyFont="1" applyFill="1" applyBorder="1"/>
    <x:xf numFmtId="168" fontId="9" fillId="0" borderId="0" xfId="0" applyNumberFormat="1" applyFont="1" applyFill="1" applyBorder="1"/>
    <x:xf numFmtId="0" fontId="11" fillId="0" borderId="0" xfId="0" applyNumberFormat="1" applyFont="1" applyFill="1" applyBorder="1" applyAlignment="1">
      <x:alignment vertical="bottom" wrapText="0"/>
    </x:xf>
    <x:xf numFmtId="3" fontId="9" fillId="0" borderId="0" xfId="0" applyNumberFormat="1" applyFont="1" applyFill="1" applyBorder="1" applyAlignment="1">
      <x:alignment vertical="bottom" wrapText="0"/>
    </x:xf>
    <x:xf numFmtId="2" fontId="9" fillId="0" borderId="0" xfId="0" applyNumberFormat="1" applyFont="1" applyFill="1" applyBorder="1" applyAlignment="1">
      <x:alignment vertical="bottom" wrapText="0"/>
    </x:xf>
    <x:xf numFmtId="1" fontId="9" fillId="0" borderId="0" xfId="0" applyNumberFormat="1" applyFont="1" applyFill="1" applyBorder="1" applyAlignment="1">
      <x:alignment vertical="bottom" wrapText="0"/>
    </x:xf>
    <x:xf numFmtId="0" fontId="9" fillId="2" borderId="0" xfId="0" applyNumberFormat="1" applyFont="1" applyFill="1" applyBorder="1" applyAlignment="1">
      <x:alignment vertical="bottom" wrapText="0"/>
    </x:xf>
    <x:xf numFmtId="164" fontId="9" fillId="2" borderId="0" xfId="0" applyNumberFormat="1" applyFont="1" applyFill="1" applyBorder="1"/>
    <x:xf numFmtId="170" fontId="9" fillId="0" borderId="0" xfId="0" applyNumberFormat="1" applyFont="1" applyFill="1" applyBorder="1"/>
    <x:xf numFmtId="171" fontId="9" fillId="0" borderId="0" xfId="0" applyNumberFormat="1" applyFont="1" applyFill="1" applyBorder="1"/>
    <x:xf numFmtId="171" fontId="9" fillId="0" borderId="0" xfId="0" applyNumberFormat="1" applyFont="1" applyFill="1" applyBorder="1" applyAlignment="1">
      <x:alignment vertical="bottom" wrapText="0"/>
    </x:xf>
    <x:xf numFmtId="164" fontId="9" fillId="0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 applyAlignment="1">
      <x:alignment vertical="bottom" wrapText="0"/>
    </x:xf>
    <x:xf numFmtId="0" fontId="9" fillId="7" borderId="0" xfId="0" applyNumberFormat="1" applyFont="1" applyFill="1" applyBorder="1" applyAlignment="1">
      <x:alignment horizontal="left" vertical="bottom" wrapText="0"/>
    </x:xf>
    <x:xf numFmtId="164" fontId="9" fillId="7" borderId="0" xfId="0" applyNumberFormat="1" applyFont="1" applyFill="1" applyBorder="1" applyAlignment="1">
      <x:alignment horizontal="left" vertical="center" wrapText="0"/>
    </x:xf>
    <x:xf numFmtId="49" fontId="10" fillId="7" borderId="0" xfId="0" applyNumberFormat="1" applyFont="1" applyFill="1" applyBorder="1" applyAlignment="1">
      <x:alignment horizontal="left" vertical="center" wrapText="0"/>
    </x:xf>
    <x:xf numFmtId="164" fontId="10" fillId="7" borderId="0" xfId="0" applyNumberFormat="1" applyFont="1" applyFill="1" applyBorder="1" applyAlignment="1">
      <x:alignment horizontal="left" vertical="center" wrapText="0"/>
    </x:xf>
    <x:xf numFmtId="0" fontId="4" fillId="7" borderId="0" xfId="0" applyNumberFormat="1" applyFont="1" applyFill="1" applyBorder="1" applyAlignment="1">
      <x:alignment horizontal="left" vertical="bottom" wrapText="0"/>
    </x:xf>
    <x:xf numFmtId="164" fontId="4" fillId="7" borderId="0" xfId="0" applyNumberFormat="1" applyFont="1" applyFill="1" applyBorder="1" applyAlignment="1">
      <x:alignment horizontal="left" vertical="center" wrapText="0"/>
    </x:xf>
    <x:xf numFmtId="49" fontId="4" fillId="7" borderId="0" xfId="0" applyNumberFormat="1" applyFont="1" applyFill="1" applyBorder="1" applyAlignment="1">
      <x:alignment horizontal="left" vertical="center" wrapText="0"/>
    </x:xf>
    <x:xf numFmtId="0" fontId="4" fillId="7" borderId="0" xfId="0" applyNumberFormat="1" applyFont="1" applyFill="1" applyBorder="1" applyAlignment="1">
      <x:alignment horizontal="center" vertical="bottom" wrapText="0"/>
    </x:xf>
    <x:xf numFmtId="164" fontId="4" fillId="7" borderId="0" xfId="0" applyNumberFormat="1" applyFont="1" applyFill="1" applyBorder="1" applyAlignment="1">
      <x:alignment horizontal="center" vertical="center" wrapText="0"/>
    </x:xf>
    <x:xf numFmtId="49" fontId="4" fillId="7" borderId="0" xfId="0" applyNumberFormat="1" applyFont="1" applyFill="1" applyBorder="1" applyAlignment="1">
      <x:alignment horizontal="center" vertical="center" wrapText="0"/>
    </x:xf>
    <x:xf numFmtId="0" fontId="4" fillId="7" borderId="0" xfId="0" applyNumberFormat="1" applyFont="1" applyFill="1" applyBorder="1" applyAlignment="1">
      <x:alignment horizontal="center" vertical="center" wrapText="0"/>
    </x:xf>
    <x:xf numFmtId="0" fontId="4" fillId="7" borderId="1" xfId="0" applyNumberFormat="1" applyFont="1" applyFill="1" applyBorder="1" applyAlignment="1">
      <x:alignment horizontal="center" vertical="center" wrapText="0"/>
    </x:xf>
    <x:xf numFmtId="164" fontId="4" fillId="7" borderId="1" xfId="0" applyNumberFormat="1" applyFont="1" applyFill="1" applyBorder="1" applyAlignment="1">
      <x:alignment horizontal="center" vertical="center" wrapText="0"/>
    </x:xf>
    <x:xf numFmtId="49" fontId="4" fillId="7" borderId="1" xfId="0" applyNumberFormat="1" applyFont="1" applyFill="1" applyBorder="1" applyAlignment="1">
      <x:alignment horizontal="center" vertical="center" wrapText="0"/>
    </x:xf>
    <x:xf numFmtId="0" fontId="9" fillId="8" borderId="0" xfId="0" applyNumberFormat="1" applyFont="1" applyFill="1" applyBorder="1" applyAlignment="1">
      <x:alignment vertical="center" wrapText="0"/>
    </x:xf>
    <x:xf numFmtId="165" fontId="9" fillId="8" borderId="0" xfId="0" applyNumberFormat="1" applyFont="1" applyFill="1" applyBorder="1" applyAlignment="1">
      <x:alignment vertical="center" wrapText="0"/>
    </x:xf>
    <x:xf numFmtId="0" fontId="10" fillId="8" borderId="0" xfId="0" applyNumberFormat="1" applyFont="1" applyFill="1" applyBorder="1" applyAlignment="1">
      <x:alignment vertical="center" wrapText="0"/>
    </x:xf>
    <x:xf numFmtId="165" fontId="10" fillId="8" borderId="0" xfId="0" applyNumberFormat="1" applyFont="1" applyFill="1" applyBorder="1" applyAlignment="1">
      <x:alignment vertical="center" wrapText="0"/>
    </x:xf>
    <x:xf numFmtId="0" fontId="10" fillId="8" borderId="2" xfId="0" applyNumberFormat="1" applyFont="1" applyFill="1" applyBorder="1" applyAlignment="1">
      <x:alignment vertical="center" wrapText="0"/>
    </x:xf>
    <x:xf numFmtId="0" fontId="10" fillId="8" borderId="3" xfId="0" applyNumberFormat="1" applyFont="1" applyFill="1" applyBorder="1" applyAlignment="1">
      <x:alignment vertical="center" wrapText="0"/>
    </x:xf>
    <x:xf numFmtId="165" fontId="10" fillId="8" borderId="3" xfId="0" applyNumberFormat="1" applyFont="1" applyFill="1" applyBorder="1" applyAlignment="1">
      <x:alignment vertical="center" wrapText="0"/>
    </x:xf>
    <x:xf numFmtId="165" fontId="10" fillId="8" borderId="4" xfId="0" applyNumberFormat="1" applyFont="1" applyFill="1" applyBorder="1" applyAlignment="1">
      <x:alignment vertical="center" wrapText="0"/>
    </x:xf>
    <x:xf numFmtId="0" fontId="9" fillId="9" borderId="0" xfId="0" applyNumberFormat="1" applyFont="1" applyFill="1" applyBorder="1" applyAlignment="1">
      <x:alignment vertical="center" wrapText="0"/>
    </x:xf>
    <x:xf numFmtId="165" fontId="9" fillId="9" borderId="0" xfId="0" applyNumberFormat="1" applyFont="1" applyFill="1" applyBorder="1" applyAlignment="1">
      <x:alignment vertical="center" wrapText="0"/>
    </x:xf>
    <x:xf numFmtId="0" fontId="10" fillId="9" borderId="0" xfId="0" applyNumberFormat="1" applyFont="1" applyFill="1" applyBorder="1" applyAlignment="1">
      <x:alignment vertical="center" wrapText="0"/>
    </x:xf>
    <x:xf numFmtId="165" fontId="10" fillId="9" borderId="0" xfId="0" applyNumberFormat="1" applyFont="1" applyFill="1" applyBorder="1" applyAlignment="1">
      <x:alignment vertical="center" wrapText="0"/>
    </x:xf>
    <x:xf numFmtId="0" fontId="10" fillId="9" borderId="2" xfId="0" applyNumberFormat="1" applyFont="1" applyFill="1" applyBorder="1" applyAlignment="1">
      <x:alignment vertical="center" wrapText="0"/>
    </x:xf>
    <x:xf numFmtId="0" fontId="10" fillId="9" borderId="3" xfId="0" applyNumberFormat="1" applyFont="1" applyFill="1" applyBorder="1" applyAlignment="1">
      <x:alignment vertical="center" wrapText="0"/>
    </x:xf>
    <x:xf numFmtId="165" fontId="10" fillId="9" borderId="3" xfId="0" applyNumberFormat="1" applyFont="1" applyFill="1" applyBorder="1" applyAlignment="1">
      <x:alignment vertical="center" wrapText="0"/>
    </x:xf>
    <x:xf numFmtId="165" fontId="10" fillId="9" borderId="4" xfId="0" applyNumberFormat="1" applyFont="1" applyFill="1" applyBorder="1" applyAlignment="1">
      <x:alignment vertical="center" wrapText="0"/>
    </x:xf>
    <x:xf numFmtId="0" fontId="10" fillId="8" borderId="0" xfId="0" applyNumberFormat="1" applyFont="1" applyFill="1" applyBorder="1" applyAlignment="1">
      <x:alignment vertical="bottom" wrapText="0"/>
    </x:xf>
    <x:xf numFmtId="0" fontId="10" fillId="8" borderId="3" xfId="0" applyNumberFormat="1" applyFont="1" applyFill="1" applyBorder="1" applyAlignment="1">
      <x:alignment vertical="bottom" wrapText="0"/>
    </x:xf>
    <x:xf numFmtId="165" fontId="10" fillId="8" borderId="0" xfId="0" applyNumberFormat="1" applyFont="1" applyFill="1" applyBorder="1"/>
    <x:xf numFmtId="0" fontId="10" fillId="8" borderId="2" xfId="0" applyNumberFormat="1" applyFont="1" applyFill="1" applyBorder="1" applyAlignment="1">
      <x:alignment vertical="bottom" wrapText="0"/>
    </x:xf>
    <x:xf numFmtId="165" fontId="10" fillId="8" borderId="3" xfId="0" applyNumberFormat="1" applyFont="1" applyFill="1" applyBorder="1"/>
    <x:xf numFmtId="165" fontId="10" fillId="8" borderId="4" xfId="0" applyNumberFormat="1" applyFont="1" applyFill="1" applyBorder="1"/>
    <x:xf numFmtId="164" fontId="10" fillId="8" borderId="0" xfId="0" applyNumberFormat="1" applyFont="1" applyFill="1" applyBorder="1"/>
    <x:xf numFmtId="164" fontId="10" fillId="8" borderId="3" xfId="0" applyNumberFormat="1" applyFont="1" applyFill="1" applyBorder="1"/>
    <x:xf numFmtId="164" fontId="10" fillId="8" borderId="4" xfId="0" applyNumberFormat="1" applyFont="1" applyFill="1" applyBorder="1"/>
    <x:xf numFmtId="0" fontId="9" fillId="8" borderId="0" xfId="0" applyNumberFormat="1" applyFont="1" applyFill="1" applyBorder="1" applyAlignment="1">
      <x:alignment vertical="bottom" wrapText="0"/>
    </x:xf>
    <x:xf numFmtId="0" fontId="10" fillId="8" borderId="4" xfId="0" applyNumberFormat="1" applyFont="1" applyFill="1" applyBorder="1" applyAlignment="1">
      <x:alignment vertical="bottom" wrapText="0"/>
    </x:xf>
    <x:xf numFmtId="164" fontId="9" fillId="8" borderId="0" xfId="0" applyNumberFormat="1" applyFont="1" applyFill="1" applyBorder="1"/>
    <x:xf numFmtId="200" fontId="9" fillId="0" borderId="0" xfId="0" applyNumberFormat="1" applyFont="1" applyFill="1" applyBorder="1" applyAlignment="1">
      <x:alignment vertical="center" wrapText="0"/>
    </x:xf>
    <x:xf numFmtId="200" fontId="10" fillId="8" borderId="3" xfId="0" applyNumberFormat="1" applyFont="1" applyFill="1" applyBorder="1" applyAlignment="1">
      <x:alignment vertical="center" wrapText="0"/>
    </x:xf>
    <x:xf numFmtId="200" fontId="10" fillId="8" borderId="4" xfId="0" applyNumberFormat="1" applyFont="1" applyFill="1" applyBorder="1" applyAlignment="1">
      <x:alignment vertical="center" wrapText="0"/>
    </x:xf>
    <x:xf numFmtId="200" fontId="10" fillId="9" borderId="3" xfId="0" applyNumberFormat="1" applyFont="1" applyFill="1" applyBorder="1" applyAlignment="1">
      <x:alignment vertical="center" wrapText="0"/>
    </x:xf>
    <x:xf numFmtId="200" fontId="10" fillId="9" borderId="4" xfId="0" applyNumberFormat="1" applyFont="1" applyFill="1" applyBorder="1" applyAlignment="1">
      <x:alignment vertical="center" wrapText="0"/>
    </x:xf>
    <x:xf numFmtId="200" fontId="9" fillId="0" borderId="0" xfId="0" applyNumberFormat="1" applyFont="1" applyFill="1" applyBorder="1" applyAlignment="1">
      <x:alignment vertical="bottom" wrapText="0"/>
    </x:xf>
    <x:xf numFmtId="200" fontId="10" fillId="0" borderId="0" xfId="0" applyNumberFormat="1" applyFont="1" applyFill="1" applyBorder="1" applyAlignment="1">
      <x:alignment vertical="center" wrapText="0"/>
    </x:xf>
    <x:xf numFmtId="200" fontId="9" fillId="6" borderId="0" xfId="0" applyNumberFormat="1" applyFont="1" applyFill="1" applyBorder="1" applyAlignment="1">
      <x:alignment vertical="center" wrapText="0"/>
    </x:xf>
    <x:xf numFmtId="200" fontId="9" fillId="0" borderId="0" xfId="0" applyNumberFormat="1" applyFont="1" applyFill="1" applyBorder="1"/>
    <x:xf numFmtId="200" fontId="10" fillId="0" borderId="0" xfId="0" applyNumberFormat="1" applyFont="1" applyFill="1" applyBorder="1"/>
    <x:xf numFmtId="200" fontId="10" fillId="8" borderId="3" xfId="0" applyNumberFormat="1" applyFont="1" applyFill="1" applyBorder="1"/>
    <x:xf numFmtId="200" fontId="10" fillId="8" borderId="4" xfId="0" applyNumberFormat="1" applyFont="1" applyFill="1" applyBorder="1"/>
    <x:xf numFmtId="201" fontId="9" fillId="0" borderId="0" xfId="0" applyNumberFormat="1" applyFont="1" applyFill="1" applyBorder="1"/>
    <x:xf numFmtId="1" fontId="8" fillId="0" borderId="0" xfId="0" applyNumberFormat="1" applyFont="1" applyFill="1" applyBorder="1"/>
    <x:xf numFmtId="165" fontId="8" fillId="0" borderId="0" xfId="0" applyNumberFormat="1" applyFont="1" applyFill="1" applyBorder="1"/>
    <x:xf numFmtId="168" fontId="8" fillId="0" borderId="0" xfId="0" applyNumberFormat="1" applyFont="1" applyFill="1" applyBorder="1"/>
    <x:xf numFmtId="164" fontId="8" fillId="0" borderId="0" xfId="0" applyNumberFormat="1" applyFont="1" applyFill="1" applyBorder="1"/>
    <x:xf numFmtId="164" fontId="13" fillId="2" borderId="0" xfId="0" applyNumberFormat="1" applyFont="1" applyFill="1" applyBorder="1"/>
    <x:xf numFmtId="0" fontId="14" fillId="0" borderId="0" xfId="0" applyNumberFormat="1" applyFont="1" applyFill="1" applyBorder="1" applyAlignment="1">
      <x:alignment vertical="bottom" wrapText="0"/>
    </x:xf>
    <x:xf numFmtId="0" fontId="15" fillId="2" borderId="0" xfId="0" applyNumberFormat="1" applyFont="1" applyFill="1" applyBorder="1" applyAlignment="1">
      <x:alignment vertical="bottom" wrapText="0"/>
    </x:xf>
    <x:xf numFmtId="0" fontId="12" fillId="0" borderId="0" xfId="0" applyNumberFormat="1" applyFont="1" applyFill="1" applyBorder="1" applyAlignment="1">
      <x:alignment vertical="center" wrapText="0"/>
    </x:xf>
    <x:xf numFmtId="0" fontId="9" fillId="0" borderId="0" xfId="0" applyNumberFormat="1" applyFont="1" applyFill="1" applyBorder="1" applyAlignment="1">
      <x:alignment vertical="center" wrapText="0"/>
    </x:xf>
    <x:xf numFmtId="164" fontId="9" fillId="0" borderId="0" xfId="0" applyNumberFormat="1" applyFont="1" applyFill="1" applyBorder="1" applyAlignment="1">
      <x:alignment vertical="center"/>
    </x:xf>
    <x:xf numFmtId="200" fontId="9" fillId="0" borderId="0" xfId="0" applyNumberFormat="1" applyFont="1" applyFill="1" applyBorder="1" applyAlignment="1">
      <x:alignment vertical="center"/>
    </x:xf>
    <x:xf numFmtId="200" fontId="10" fillId="0" borderId="0" xfId="0" applyNumberFormat="1" applyFont="1" applyFill="1" applyBorder="1" applyAlignment="1">
      <x:alignment vertical="center"/>
    </x:xf>
    <x:xf numFmtId="200" fontId="10" fillId="8" borderId="3" xfId="0" applyNumberFormat="1" applyFont="1" applyFill="1" applyBorder="1" applyAlignment="1">
      <x:alignment vertical="center"/>
    </x:xf>
    <x:xf numFmtId="200" fontId="10" fillId="8" borderId="4" xfId="0" applyNumberFormat="1" applyFont="1" applyFill="1" applyBorder="1" applyAlignment="1">
      <x:alignment vertical="center"/>
    </x:xf>
    <x:xf numFmtId="168" fontId="10" fillId="0" borderId="0" xfId="0" applyNumberFormat="1" applyFont="1" applyFill="1" applyBorder="1" applyAlignment="1">
      <x:alignment vertical="center"/>
    </x:xf>
    <x:xf numFmtId="201" fontId="9" fillId="0" borderId="0" xfId="0" applyNumberFormat="1" applyFont="1" applyFill="1" applyBorder="1" applyAlignment="1">
      <x:alignment vertical="center"/>
    </x:xf>
    <x:xf numFmtId="164" fontId="10" fillId="8" borderId="3" xfId="0" applyNumberFormat="1" applyFont="1" applyFill="1" applyBorder="1" applyAlignment="1">
      <x:alignment vertical="center"/>
    </x:xf>
    <x:xf numFmtId="0" fontId="10" fillId="8" borderId="4" xfId="0" applyNumberFormat="1" applyFont="1" applyFill="1" applyBorder="1" applyAlignment="1">
      <x:alignment vertical="center" wrapText="0"/>
    </x:xf>
    <x:xf numFmtId="1" fontId="8" fillId="0" borderId="0" xfId="0" applyNumberFormat="1" applyFont="1" applyFill="1" applyBorder="1" applyAlignment="1">
      <x:alignment vertical="center"/>
    </x:xf>
    <x:xf numFmtId="165" fontId="8" fillId="0" borderId="0" xfId="0" applyNumberFormat="1" applyFont="1" applyFill="1" applyBorder="1" applyAlignment="1">
      <x:alignment vertical="center"/>
    </x:xf>
    <x:xf numFmtId="1" fontId="9" fillId="0" borderId="0" xfId="0" applyNumberFormat="1" applyFont="1" applyFill="1" applyBorder="1" applyAlignment="1">
      <x:alignment vertical="center"/>
    </x:xf>
    <x:xf numFmtId="168" fontId="9" fillId="0" borderId="0" xfId="0" applyNumberFormat="1" applyFont="1" applyFill="1" applyBorder="1" applyAlignment="1">
      <x:alignment vertical="center"/>
    </x:xf>
    <x:xf numFmtId="168" fontId="8" fillId="0" borderId="0" xfId="0" applyNumberFormat="1" applyFont="1" applyFill="1" applyBorder="1" applyAlignment="1">
      <x:alignment vertical="center"/>
    </x:xf>
    <x:xf numFmtId="164" fontId="8" fillId="0" borderId="0" xfId="0" applyNumberFormat="1" applyFont="1" applyFill="1" applyBorder="1" applyAlignment="1">
      <x:alignment vertical="center"/>
    </x:xf>
    <x:xf numFmtId="0" fontId="10" fillId="2" borderId="0" xfId="0" applyNumberFormat="1" applyFont="1" applyFill="1" applyBorder="1" applyAlignment="1">
      <x:alignment vertical="center" wrapText="0"/>
    </x:xf>
    <x:xf numFmtId="164" fontId="13" fillId="2" borderId="0" xfId="0" applyNumberFormat="1" applyFont="1" applyFill="1" applyBorder="1" applyAlignment="1">
      <x:alignment vertical="center"/>
    </x:xf>
    <x:xf numFmtId="164" fontId="10" fillId="2" borderId="0" xfId="0" applyNumberFormat="1" applyFont="1" applyFill="1" applyBorder="1" applyAlignment="1">
      <x:alignment vertical="center"/>
    </x:xf>
    <x:xf numFmtId="0" fontId="14" fillId="0" borderId="0" xfId="0" applyNumberFormat="1" applyFont="1" applyFill="1" applyBorder="1" applyAlignment="1">
      <x:alignment vertical="center" wrapText="0"/>
    </x:xf>
    <x:xf numFmtId="0" fontId="15" fillId="2" borderId="0" xfId="0" applyNumberFormat="1" applyFont="1" applyFill="1" applyBorder="1" applyAlignment="1">
      <x:alignment vertical="center" wrapText="0"/>
    </x:xf>
    <x:xf numFmtId="0" fontId="11" fillId="0" borderId="0" xfId="0" applyNumberFormat="1" applyFont="1" applyFill="1" applyBorder="1" applyAlignment="1">
      <x:alignment vertical="center" wrapText="0"/>
    </x:xf>
    <x:xf numFmtId="3" fontId="9" fillId="0" borderId="0" xfId="0" applyNumberFormat="1" applyFont="1" applyFill="1" applyBorder="1" applyAlignment="1">
      <x:alignment vertical="center" wrapText="0"/>
    </x:xf>
    <x:xf numFmtId="2" fontId="9" fillId="0" borderId="0" xfId="0" applyNumberFormat="1" applyFont="1" applyFill="1" applyBorder="1" applyAlignment="1">
      <x:alignment vertical="center" wrapText="0"/>
    </x:xf>
    <x:xf numFmtId="1" fontId="9" fillId="0" borderId="0" xfId="0" applyNumberFormat="1" applyFont="1" applyFill="1" applyBorder="1" applyAlignment="1">
      <x:alignment vertical="center" wrapText="0"/>
    </x:xf>
    <x:xf numFmtId="170" fontId="9" fillId="0" borderId="0" xfId="0" applyNumberFormat="1" applyFont="1" applyFill="1" applyBorder="1" applyAlignment="1">
      <x:alignment vertical="center"/>
    </x:xf>
    <x:xf numFmtId="171" fontId="9" fillId="0" borderId="0" xfId="0" applyNumberFormat="1" applyFont="1" applyFill="1" applyBorder="1" applyAlignment="1">
      <x:alignment vertical="center"/>
    </x:xf>
    <x:xf numFmtId="171" fontId="9" fillId="0" borderId="0" xfId="0" applyNumberFormat="1" applyFont="1" applyFill="1" applyBorder="1" applyAlignment="1">
      <x:alignment vertical="center" wrapText="0"/>
    </x:xf>
    <x:xf numFmtId="165" fontId="9" fillId="0" borderId="0" xfId="0" applyNumberFormat="1" applyFont="1" applyFill="1" applyBorder="1" applyAlignment="1">
      <x:alignment vertical="center"/>
    </x:xf>
    <x:xf numFmtId="164" fontId="9" fillId="0" borderId="0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 applyAlignment="1">
      <x:alignment horizontal="left" vertical="center" wrapText="0"/>
    </x:xf>
    <x:xf numFmtId="0" fontId="9" fillId="0" borderId="0" xfId="0" applyNumberFormat="1" applyFont="1" applyFill="1" applyBorder="1" applyAlignment="1">
      <x:alignment horizontal="left" vertical="center" wrapText="0"/>
    </x:xf>
    <x:xf numFmtId="0" fontId="4" fillId="7" borderId="1" xfId="0" applyNumberFormat="1" applyFont="1" applyFill="1" applyBorder="1" applyAlignment="1">
      <x:alignment horizontal="left" vertical="center" wrapText="0"/>
    </x:xf>
    <x:xf numFmtId="0" fontId="10" fillId="8" borderId="2" xfId="0" applyNumberFormat="1" applyFont="1" applyFill="1" applyBorder="1" applyAlignment="1">
      <x:alignment horizontal="left" vertical="center" wrapText="0"/>
    </x:xf>
    <x:xf numFmtId="0" fontId="10" fillId="8" borderId="3" xfId="0" applyNumberFormat="1" applyFont="1" applyFill="1" applyBorder="1" applyAlignment="1">
      <x:alignment horizontal="left" vertical="center" wrapText="0"/>
    </x:xf>
    <x:xf numFmtId="0" fontId="10" fillId="0" borderId="0" xfId="0" applyNumberFormat="1" applyFont="1" applyFill="1" applyBorder="1" applyAlignment="1">
      <x:alignment horizontal="left" vertical="center" wrapText="0"/>
    </x:xf>
    <x:xf numFmtId="0" fontId="10" fillId="9" borderId="2" xfId="0" applyNumberFormat="1" applyFont="1" applyFill="1" applyBorder="1" applyAlignment="1">
      <x:alignment horizontal="left" vertical="center" wrapText="0"/>
    </x:xf>
    <x:xf numFmtId="0" fontId="10" fillId="9" borderId="3" xfId="0" applyNumberFormat="1" applyFont="1" applyFill="1" applyBorder="1" applyAlignment="1">
      <x:alignment horizontal="left" vertical="center" wrapText="0"/>
    </x:xf>
    <x:xf numFmtId="0" fontId="9" fillId="6" borderId="0" xfId="0" applyNumberFormat="1" applyFont="1" applyFill="1" applyBorder="1" applyAlignment="1">
      <x:alignment horizontal="left" vertical="center" wrapText="0"/>
    </x:xf>
    <x:xf numFmtId="0" fontId="10" fillId="2" borderId="0" xfId="0" applyNumberFormat="1" applyFont="1" applyFill="1" applyBorder="1" applyAlignment="1">
      <x:alignment horizontal="left" vertical="center" wrapText="0"/>
    </x:xf>
    <x:xf numFmtId="0" fontId="14" fillId="0" borderId="0" xfId="0" applyNumberFormat="1" applyFont="1" applyFill="1" applyBorder="1" applyAlignment="1">
      <x:alignment horizontal="left" vertical="center" wrapText="0"/>
    </x:xf>
    <x:xf numFmtId="0" fontId="15" fillId="2" borderId="0" xfId="0" applyNumberFormat="1" applyFont="1" applyFill="1" applyBorder="1" applyAlignment="1">
      <x:alignment horizontal="left" vertical="center" wrapText="0"/>
    </x:xf>
    <x:xf numFmtId="0" fontId="11" fillId="0" borderId="0" xfId="0" applyNumberFormat="1" applyFont="1" applyFill="1" applyBorder="1" applyAlignment="1">
      <x:alignment horizontal="left" vertical="center" wrapText="0"/>
    </x:xf>
    <x:xf numFmtId="164" fontId="9" fillId="0" borderId="0" xfId="0" applyNumberFormat="1" applyFont="1" applyFill="1" applyBorder="1" applyAlignment="1">
      <x:alignment horizontal="right" vertical="center"/>
    </x:xf>
    <x:xf numFmtId="164" fontId="4" fillId="7" borderId="1" xfId="0" applyNumberFormat="1" applyFont="1" applyFill="1" applyBorder="1" applyAlignment="1">
      <x:alignment horizontal="right" vertical="center" wrapText="0"/>
    </x:xf>
    <x:xf numFmtId="49" fontId="4" fillId="7" borderId="1" xfId="0" applyNumberFormat="1" applyFont="1" applyFill="1" applyBorder="1" applyAlignment="1">
      <x:alignment horizontal="right" vertical="center" wrapText="0"/>
    </x:xf>
    <x:xf numFmtId="165" fontId="10" fillId="8" borderId="3" xfId="0" applyNumberFormat="1" applyFont="1" applyFill="1" applyBorder="1" applyAlignment="1">
      <x:alignment horizontal="right" vertical="center" wrapText="0"/>
    </x:xf>
    <x:xf numFmtId="165" fontId="10" fillId="8" borderId="4" xfId="0" applyNumberFormat="1" applyFont="1" applyFill="1" applyBorder="1" applyAlignment="1">
      <x:alignment horizontal="right" vertical="center" wrapText="0"/>
    </x:xf>
    <x:xf numFmtId="200" fontId="9" fillId="0" borderId="0" xfId="0" applyNumberFormat="1" applyFont="1" applyFill="1" applyBorder="1" applyAlignment="1">
      <x:alignment horizontal="right" vertical="center" wrapText="0"/>
    </x:xf>
    <x:xf numFmtId="200" fontId="10" fillId="8" borderId="3" xfId="0" applyNumberFormat="1" applyFont="1" applyFill="1" applyBorder="1" applyAlignment="1">
      <x:alignment horizontal="right" vertical="center" wrapText="0"/>
    </x:xf>
    <x:xf numFmtId="200" fontId="10" fillId="8" borderId="4" xfId="0" applyNumberFormat="1" applyFont="1" applyFill="1" applyBorder="1" applyAlignment="1">
      <x:alignment horizontal="right" vertical="center" wrapText="0"/>
    </x:xf>
    <x:xf numFmtId="200" fontId="10" fillId="9" borderId="3" xfId="0" applyNumberFormat="1" applyFont="1" applyFill="1" applyBorder="1" applyAlignment="1">
      <x:alignment horizontal="right" vertical="center" wrapText="0"/>
    </x:xf>
    <x:xf numFmtId="200" fontId="10" fillId="9" borderId="4" xfId="0" applyNumberFormat="1" applyFont="1" applyFill="1" applyBorder="1" applyAlignment="1">
      <x:alignment horizontal="right" vertical="center" wrapText="0"/>
    </x:xf>
    <x:xf numFmtId="200" fontId="10" fillId="0" borderId="0" xfId="0" applyNumberFormat="1" applyFont="1" applyFill="1" applyBorder="1" applyAlignment="1">
      <x:alignment horizontal="right" vertical="center" wrapText="0"/>
    </x:xf>
    <x:xf numFmtId="200" fontId="9" fillId="6" borderId="0" xfId="0" applyNumberFormat="1" applyFont="1" applyFill="1" applyBorder="1" applyAlignment="1">
      <x:alignment horizontal="right" vertical="center" wrapText="0"/>
    </x:xf>
    <x:xf numFmtId="200" fontId="9" fillId="0" borderId="0" xfId="0" applyNumberFormat="1" applyFont="1" applyFill="1" applyBorder="1" applyAlignment="1">
      <x:alignment horizontal="right" vertical="center"/>
    </x:xf>
    <x:xf numFmtId="200" fontId="10" fillId="0" borderId="0" xfId="0" applyNumberFormat="1" applyFont="1" applyFill="1" applyBorder="1" applyAlignment="1">
      <x:alignment horizontal="right" vertical="center"/>
    </x:xf>
    <x:xf numFmtId="200" fontId="10" fillId="8" borderId="3" xfId="0" applyNumberFormat="1" applyFont="1" applyFill="1" applyBorder="1" applyAlignment="1">
      <x:alignment horizontal="right" vertical="center"/>
    </x:xf>
    <x:xf numFmtId="200" fontId="10" fillId="8" borderId="4" xfId="0" applyNumberFormat="1" applyFont="1" applyFill="1" applyBorder="1" applyAlignment="1">
      <x:alignment horizontal="right" vertical="center"/>
    </x:xf>
    <x:xf numFmtId="168" fontId="10" fillId="0" borderId="0" xfId="0" applyNumberFormat="1" applyFont="1" applyFill="1" applyBorder="1" applyAlignment="1">
      <x:alignment horizontal="right" vertical="center"/>
    </x:xf>
    <x:xf numFmtId="201" fontId="9" fillId="0" borderId="0" xfId="0" applyNumberFormat="1" applyFont="1" applyFill="1" applyBorder="1" applyAlignment="1">
      <x:alignment horizontal="right" vertical="center"/>
    </x:xf>
    <x:xf numFmtId="0" fontId="9" fillId="0" borderId="0" xfId="0" applyNumberFormat="1" applyFont="1" applyFill="1" applyBorder="1" applyAlignment="1">
      <x:alignment horizontal="right" vertical="center" wrapText="0"/>
    </x:xf>
    <x:xf numFmtId="164" fontId="10" fillId="8" borderId="3" xfId="0" applyNumberFormat="1" applyFont="1" applyFill="1" applyBorder="1" applyAlignment="1">
      <x:alignment horizontal="right" vertical="center"/>
    </x:xf>
    <x:xf numFmtId="0" fontId="10" fillId="8" borderId="3" xfId="0" applyNumberFormat="1" applyFont="1" applyFill="1" applyBorder="1" applyAlignment="1">
      <x:alignment horizontal="right" vertical="center" wrapText="0"/>
    </x:xf>
    <x:xf numFmtId="0" fontId="10" fillId="8" borderId="4" xfId="0" applyNumberFormat="1" applyFont="1" applyFill="1" applyBorder="1" applyAlignment="1">
      <x:alignment horizontal="right" vertical="center" wrapText="0"/>
    </x:xf>
    <x:xf numFmtId="1" fontId="8" fillId="0" borderId="0" xfId="0" applyNumberFormat="1" applyFont="1" applyFill="1" applyBorder="1" applyAlignment="1">
      <x:alignment horizontal="right" vertical="center"/>
    </x:xf>
    <x:xf numFmtId="165" fontId="8" fillId="0" borderId="0" xfId="0" applyNumberFormat="1" applyFont="1" applyFill="1" applyBorder="1" applyAlignment="1">
      <x:alignment horizontal="right" vertical="center"/>
    </x:xf>
    <x:xf numFmtId="1" fontId="9" fillId="0" borderId="0" xfId="0" applyNumberFormat="1" applyFont="1" applyFill="1" applyBorder="1" applyAlignment="1">
      <x:alignment horizontal="right" vertical="center"/>
    </x:xf>
    <x:xf numFmtId="168" fontId="9" fillId="0" borderId="0" xfId="0" applyNumberFormat="1" applyFont="1" applyFill="1" applyBorder="1" applyAlignment="1">
      <x:alignment horizontal="right" vertical="center"/>
    </x:xf>
    <x:xf numFmtId="168" fontId="8" fillId="0" borderId="0" xfId="0" applyNumberFormat="1" applyFont="1" applyFill="1" applyBorder="1" applyAlignment="1">
      <x:alignment horizontal="right" vertical="center"/>
    </x:xf>
    <x:xf numFmtId="164" fontId="8" fillId="0" borderId="0" xfId="0" applyNumberFormat="1" applyFont="1" applyFill="1" applyBorder="1" applyAlignment="1">
      <x:alignment horizontal="right" vertical="center"/>
    </x:xf>
    <x:xf numFmtId="164" fontId="13" fillId="2" borderId="0" xfId="0" applyNumberFormat="1" applyFont="1" applyFill="1" applyBorder="1" applyAlignment="1">
      <x:alignment horizontal="right" vertical="center"/>
    </x:xf>
    <x:xf numFmtId="164" fontId="10" fillId="2" borderId="0" xfId="0" applyNumberFormat="1" applyFont="1" applyFill="1" applyBorder="1" applyAlignment="1">
      <x:alignment horizontal="right" vertical="center"/>
    </x:xf>
    <x:xf numFmtId="3" fontId="9" fillId="0" borderId="0" xfId="0" applyNumberFormat="1" applyFont="1" applyFill="1" applyBorder="1" applyAlignment="1">
      <x:alignment horizontal="right" vertical="center" wrapText="0"/>
    </x:xf>
    <x:xf numFmtId="2" fontId="9" fillId="0" borderId="0" xfId="0" applyNumberFormat="1" applyFont="1" applyFill="1" applyBorder="1" applyAlignment="1">
      <x:alignment horizontal="right" vertical="center" wrapText="0"/>
    </x:xf>
    <x:xf numFmtId="1" fontId="9" fillId="0" borderId="0" xfId="0" applyNumberFormat="1" applyFont="1" applyFill="1" applyBorder="1" applyAlignment="1">
      <x:alignment horizontal="right" vertical="center" wrapText="0"/>
    </x:xf>
    <x:xf numFmtId="165" fontId="9" fillId="0" borderId="0" xfId="0" applyNumberFormat="1" applyFont="1" applyFill="1" applyBorder="1" applyAlignment="1">
      <x:alignment horizontal="right" vertical="center" wrapText="0"/>
    </x:xf>
    <x:xf numFmtId="0" fontId="11" fillId="0" borderId="0" xfId="0" applyNumberFormat="1" applyFont="1" applyFill="1" applyBorder="1" applyAlignment="1">
      <x:alignment horizontal="right" vertical="center" wrapText="0"/>
    </x:xf>
    <x:xf numFmtId="170" fontId="9" fillId="0" borderId="0" xfId="0" applyNumberFormat="1" applyFont="1" applyFill="1" applyBorder="1" applyAlignment="1">
      <x:alignment horizontal="right" vertical="center"/>
    </x:xf>
    <x:xf numFmtId="171" fontId="9" fillId="0" borderId="0" xfId="0" applyNumberFormat="1" applyFont="1" applyFill="1" applyBorder="1" applyAlignment="1">
      <x:alignment horizontal="right" vertical="center"/>
    </x:xf>
    <x:xf numFmtId="171" fontId="9" fillId="0" borderId="0" xfId="0" applyNumberFormat="1" applyFont="1" applyFill="1" applyBorder="1" applyAlignment="1">
      <x:alignment horizontal="right" vertical="center" wrapText="0"/>
    </x:xf>
    <x:xf numFmtId="165" fontId="9" fillId="0" borderId="0" xfId="0" applyNumberFormat="1" applyFont="1" applyFill="1" applyBorder="1" applyAlignment="1">
      <x:alignment horizontal="right" vertical="center"/>
    </x:xf>
    <x:xf numFmtId="164" fontId="9" fillId="0" borderId="0" xfId="0" applyNumberFormat="1" applyFont="1" applyFill="1" applyBorder="1" applyAlignment="1">
      <x:alignment horizontal="right" vertical="center" wrapText="1"/>
    </x:xf>
    <x:xf numFmtId="0" fontId="16" fillId="0" borderId="0" xfId="0" applyNumberFormat="1" applyFont="1" applyFill="1" applyBorder="1" applyAlignment="1">
      <x:alignment vertical="bottom" wrapText="0"/>
    </x:xf>
    <x:xf numFmtId="0" fontId="11" fillId="7" borderId="0" xfId="0" applyNumberFormat="1" applyFont="1" applyFill="1" applyBorder="1" applyAlignment="1">
      <x:alignment vertical="bottom" wrapText="0"/>
    </x:xf>
    <x:xf numFmtId="0" fontId="17" fillId="7" borderId="0" xfId="0" applyNumberFormat="1" applyFont="1" applyFill="1" applyBorder="1" applyAlignment="1">
      <x:alignment vertical="bottom" wrapText="0"/>
    </x:xf>
    <x:xf numFmtId="0" fontId="17" fillId="7" borderId="0" xfId="0" applyNumberFormat="1" applyFont="1" applyFill="1" applyBorder="1" applyAlignment="1">
      <x:alignment horizontal="center" vertical="bottom" wrapText="0"/>
    </x:xf>
    <x:xf numFmtId="0" fontId="17" fillId="7" borderId="0" xfId="0" applyNumberFormat="1" applyFont="1" applyFill="1" applyBorder="1" applyAlignment="1">
      <x:alignment horizontal="center" vertical="center" wrapText="0"/>
    </x:xf>
    <x:xf numFmtId="0" fontId="17" fillId="7" borderId="1" xfId="0" applyNumberFormat="1" applyFont="1" applyFill="1" applyBorder="1" applyAlignment="1">
      <x:alignment horizontal="center" vertical="center" wrapText="0"/>
    </x:xf>
    <x:xf numFmtId="0" fontId="11" fillId="10" borderId="0" xfId="0" applyNumberFormat="1" applyFont="1" applyFill="1" applyBorder="1" applyAlignment="1">
      <x:alignment vertical="bottom" wrapText="0"/>
    </x:xf>
    <x:xf numFmtId="0" fontId="18" fillId="10" borderId="0" xfId="0" applyNumberFormat="1" applyFont="1" applyFill="1" applyBorder="1" applyAlignment="1">
      <x:alignment vertical="bottom" wrapText="0"/>
    </x:xf>
    <x:xf numFmtId="0" fontId="18" fillId="10" borderId="2" xfId="0" applyNumberFormat="1" applyFont="1" applyFill="1" applyBorder="1" applyAlignment="1">
      <x:alignment vertical="bottom" wrapText="0"/>
    </x:xf>
    <x:xf numFmtId="0" fontId="18" fillId="10" borderId="3" xfId="0" applyNumberFormat="1" applyFont="1" applyFill="1" applyBorder="1" applyAlignment="1">
      <x:alignment vertical="bottom" wrapText="0"/>
    </x:xf>
    <x:xf numFmtId="0" fontId="18" fillId="10" borderId="4" xfId="0" applyNumberFormat="1" applyFont="1" applyFill="1" applyBorder="1" applyAlignment="1">
      <x:alignment vertical="bottom" wrapText="0"/>
    </x:xf>
    <x:xf numFmtId="0" fontId="11" fillId="11" borderId="0" xfId="0" applyNumberFormat="1" applyFont="1" applyFill="1" applyBorder="1" applyAlignment="1">
      <x:alignment vertical="bottom" wrapText="0"/>
    </x:xf>
    <x:xf numFmtId="0" fontId="19" fillId="11" borderId="0" xfId="0" applyNumberFormat="1" applyFont="1" applyFill="1" applyBorder="1" applyAlignment="1">
      <x:alignment vertical="bottom" wrapText="0"/>
    </x:xf>
    <x:xf numFmtId="0" fontId="20" fillId="0" borderId="0" xfId="0" applyNumberFormat="1" applyFont="1" applyFill="1" applyBorder="1" applyAlignment="1">
      <x:alignment vertical="bottom" wrapText="0"/>
    </x:xf>
    <x:xf numFmtId="0" fontId="11" fillId="8" borderId="0" xfId="0" applyNumberFormat="1" applyFont="1" applyFill="1" applyBorder="1" applyAlignment="1">
      <x:alignment vertical="bottom" wrapText="0"/>
    </x:xf>
    <x:xf numFmtId="168" fontId="11" fillId="0" borderId="0" xfId="0" applyNumberFormat="1" applyFont="1" applyFill="1" applyBorder="1" applyAlignment="1">
      <x:alignment vertical="bottom" wrapText="0"/>
    </x:xf>
    <x:xf numFmtId="168" fontId="11" fillId="8" borderId="0" xfId="0" applyNumberFormat="1" applyFont="1" applyFill="1" applyBorder="1" applyAlignment="1">
      <x:alignment vertical="bottom" wrapText="0"/>
    </x:xf>
    <x:xf numFmtId="202" fontId="11" fillId="0" borderId="0" xfId="0" applyNumberFormat="1" applyFont="1" applyFill="1" applyBorder="1" applyAlignment="1">
      <x:alignment vertical="bottom" wrapText="0"/>
    </x:xf>
    <x:xf numFmtId="203" fontId="18" fillId="10" borderId="3" xfId="0" applyNumberFormat="1" applyFont="1" applyFill="1" applyBorder="1" applyAlignment="1">
      <x:alignment vertical="bottom" wrapText="0"/>
    </x:xf>
    <x:xf numFmtId="203" fontId="18" fillId="10" borderId="4" xfId="0" applyNumberFormat="1" applyFont="1" applyFill="1" applyBorder="1" applyAlignment="1">
      <x:alignment vertical="bottom" wrapText="0"/>
    </x:xf>
    <x:xf numFmtId="204" fontId="11" fillId="8" borderId="0" xfId="0" applyNumberFormat="1" applyFont="1" applyFill="1" applyBorder="1" applyAlignment="1">
      <x:alignment vertical="bottom" wrapText="0"/>
    </x:xf>
    <x:xf numFmtId="204" fontId="11" fillId="0" borderId="0" xfId="0" applyNumberFormat="1" applyFont="1" applyFill="1" applyBorder="1" applyAlignment="1">
      <x:alignment vertical="bottom" wrapText="0"/>
    </x:xf>
    <x:xf numFmtId="0" fontId="21" fillId="0" borderId="0" xfId="0" applyNumberFormat="1" applyFont="1" applyFill="1" applyBorder="1" applyAlignment="1">
      <x:alignment vertical="bottom" wrapText="0"/>
    </x:xf>
    <x:xf numFmtId="0" fontId="22" fillId="0" borderId="0" xfId="0" applyNumberFormat="1" applyFont="1" applyFill="1" applyBorder="1" applyAlignment="1">
      <x:alignment vertical="bottom" wrapText="0"/>
    </x:xf>
    <x:xf numFmtId="0" fontId="22" fillId="7" borderId="0" xfId="0" applyNumberFormat="1" applyFont="1" applyFill="1" applyBorder="1" applyAlignment="1">
      <x:alignment vertical="bottom" wrapText="0"/>
    </x:xf>
    <x:xf numFmtId="0" fontId="22" fillId="8" borderId="0" xfId="0" applyNumberFormat="1" applyFont="1" applyFill="1" applyBorder="1" applyAlignment="1">
      <x:alignment vertical="bottom" wrapText="0"/>
    </x:xf>
    <x:xf numFmtId="0" fontId="23" fillId="8" borderId="0" xfId="0" applyNumberFormat="1" applyFont="1" applyFill="1" applyBorder="1" applyAlignment="1">
      <x:alignment vertical="bottom" wrapText="0"/>
    </x:xf>
    <x:xf numFmtId="0" fontId="23" fillId="8" borderId="2" xfId="0" applyNumberFormat="1" applyFont="1" applyFill="1" applyBorder="1" applyAlignment="1">
      <x:alignment vertical="bottom" wrapText="0"/>
    </x:xf>
    <x:xf numFmtId="0" fontId="23" fillId="8" borderId="3" xfId="0" applyNumberFormat="1" applyFont="1" applyFill="1" applyBorder="1" applyAlignment="1">
      <x:alignment vertical="bottom" wrapText="0"/>
    </x:xf>
    <x:xf numFmtId="0" fontId="23" fillId="8" borderId="4" xfId="0" applyNumberFormat="1" applyFont="1" applyFill="1" applyBorder="1" applyAlignment="1">
      <x:alignment vertical="bottom" wrapText="0"/>
    </x:xf>
    <x:xf numFmtId="0" fontId="24" fillId="0" borderId="0" xfId="0" applyNumberFormat="1" applyFont="1" applyFill="1" applyBorder="1" applyAlignment="1">
      <x:alignment vertical="bottom" wrapText="0"/>
    </x:xf>
    <x:xf numFmtId="0" fontId="24" fillId="0" borderId="0" xfId="0" applyNumberFormat="1" applyFont="1" applyFill="1" applyBorder="1" applyAlignment="1">
      <x:alignment horizontal="center" vertical="bottom" wrapText="0"/>
    </x:xf>
    <x:xf numFmtId="0" fontId="25" fillId="0" borderId="0" xfId="0" applyNumberFormat="1" applyFont="1" applyFill="1" applyBorder="1" applyAlignment="1">
      <x:alignment horizontal="center" vertical="bottom" wrapText="0"/>
    </x:xf>
    <x:xf numFmtId="205" fontId="22" fillId="0" borderId="0" xfId="0" applyNumberFormat="1" applyFont="1" applyFill="1" applyBorder="1" applyAlignment="1">
      <x:alignment vertical="bottom" wrapText="0"/>
    </x:xf>
    <x:xf numFmtId="0" fontId="22" fillId="0" borderId="0" xfId="0" applyNumberFormat="1" applyFont="1" applyFill="1" applyBorder="1" applyAlignment="1">
      <x:alignment vertical="bottom" wrapText="1"/>
    </x:xf>
    <x:xf numFmtId="0" fontId="22" fillId="0" borderId="5" xfId="0" applyNumberFormat="1" applyFont="1" applyFill="1" applyBorder="1" applyAlignment="1">
      <x:alignment vertical="bottom" wrapText="0"/>
    </x:xf>
    <x:xf numFmtId="0" fontId="22" fillId="0" borderId="6" xfId="0" applyNumberFormat="1" applyFont="1" applyFill="1" applyBorder="1" applyAlignment="1">
      <x:alignment vertical="bottom" wrapText="0"/>
    </x:xf>
    <x:xf numFmtId="205" fontId="22" fillId="0" borderId="6" xfId="0" applyNumberFormat="1" applyFont="1" applyFill="1" applyBorder="1" applyAlignment="1">
      <x:alignment vertical="bottom" wrapText="0"/>
    </x:xf>
    <x:xf numFmtId="0" fontId="22" fillId="0" borderId="7" xfId="0" applyNumberFormat="1" applyFont="1" applyFill="1" applyBorder="1" applyAlignment="1">
      <x:alignment vertical="bottom" wrapText="0"/>
    </x:xf>
    <x:xf numFmtId="0" fontId="22" fillId="0" borderId="8" xfId="0" applyNumberFormat="1" applyFont="1" applyFill="1" applyBorder="1" applyAlignment="1">
      <x:alignment vertical="bottom" wrapText="0"/>
    </x:xf>
    <x:xf numFmtId="0" fontId="22" fillId="0" borderId="9" xfId="0" applyNumberFormat="1" applyFont="1" applyFill="1" applyBorder="1" applyAlignment="1">
      <x:alignment vertical="bottom" wrapText="0"/>
    </x:xf>
    <x:xf numFmtId="205" fontId="22" fillId="0" borderId="9" xfId="0" applyNumberFormat="1" applyFont="1" applyFill="1" applyBorder="1" applyAlignment="1">
      <x:alignment vertical="bottom" wrapText="0"/>
    </x:xf>
    <x:xf numFmtId="0" fontId="22" fillId="0" borderId="10" xfId="0" applyNumberFormat="1" applyFont="1" applyFill="1" applyBorder="1" applyAlignment="1">
      <x:alignment vertical="bottom" wrapText="0"/>
    </x:xf>
    <x:xf numFmtId="0" fontId="22" fillId="0" borderId="11" xfId="0" applyNumberFormat="1" applyFont="1" applyFill="1" applyBorder="1" applyAlignment="1">
      <x:alignment vertical="bottom" wrapText="0"/>
    </x:xf>
    <x:xf numFmtId="0" fontId="22" fillId="0" borderId="12" xfId="0" applyNumberFormat="1" applyFont="1" applyFill="1" applyBorder="1" applyAlignment="1">
      <x:alignment vertical="bottom" wrapText="0"/>
    </x:xf>
    <x:xf numFmtId="205" fontId="22" fillId="0" borderId="12" xfId="0" applyNumberFormat="1" applyFont="1" applyFill="1" applyBorder="1" applyAlignment="1">
      <x:alignment vertical="bottom" wrapText="0"/>
    </x:xf>
    <x:xf numFmtId="0" fontId="22" fillId="0" borderId="13" xfId="0" applyNumberFormat="1" applyFont="1" applyFill="1" applyBorder="1" applyAlignment="1">
      <x:alignment vertical="bottom" wrapText="0"/>
    </x:xf>
  </x:cellXfs>
  <x:cellStyles count="1">
    <x:cellStyle name="Normal" xfId="0"/>
  </x:cellStyles>
  <x:dxfs count="5">
    <x:dxf>
      <x:fill>
        <x:patternFill patternType="none"/>
      </x:fill>
      <x:border/>
    </x:dxf>
    <x:dxf>
      <x:fill>
        <x:patternFill>
          <x:bgColor theme="4"/>
        </x:patternFill>
      </x:fill>
      <x:border/>
    </x:dxf>
    <x:dxf>
      <x:fill>
        <x:patternFill>
          <x:bgColor rgb="FFFFFFFF"/>
        </x:patternFill>
      </x:fill>
      <x:border/>
    </x:dxf>
    <x:dxf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ont>
        <x:color rgb="FF9C0006"/>
      </x:font>
      <x:fill>
        <x:patternFill>
          <x:bgColor rgb="FFFFC7CE"/>
        </x:patternFill>
      </x:fill>
      <x:border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91c6752595444d" /><Relationship Type="http://schemas.openxmlformats.org/officeDocument/2006/relationships/theme" Target="/xl/theme/theme1.xml" Id="R18499c99b29b48a9" /><Relationship Type="http://schemas.openxmlformats.org/officeDocument/2006/relationships/sharedStrings" Target="/xl/sharedStrings.xml" Id="Rabdad9a741034a57" /><Relationship Type="http://schemas.openxmlformats.org/officeDocument/2006/relationships/worksheet" Target="/xl/worksheets/sheet1.xml" Id="R3ebbd16bcc9f4bf7" /><Relationship Type="http://schemas.openxmlformats.org/officeDocument/2006/relationships/worksheet" Target="/xl/worksheets/sheet2.xml" Id="Rcb71abc98dcb4553" /><Relationship Type="http://schemas.openxmlformats.org/officeDocument/2006/relationships/worksheet" Target="/xl/worksheets/sheet3.xml" Id="R290b868c09044f98" /></Relationships>
</file>

<file path=xl/tables/table1.xml><?xml version="1.0" encoding="utf-8"?>
<x:table xmlns:x="http://schemas.openxmlformats.org/spreadsheetml/2006/main" id="1" name="FlujoCaja" displayName="FlujoCaja" ref="A2:R43">
  <x:tableColumns count="18">
    <x:tableColumn id="1" name="Concepto"/>
    <x:tableColumn id="2" name="Unidad"/>
    <x:tableColumn id="3" name="Mes 1"/>
    <x:tableColumn id="4" name="Mes 2"/>
    <x:tableColumn id="5" name="Mes 3"/>
    <x:tableColumn id="6" name="Mes 4"/>
    <x:tableColumn id="7" name="Mes 5"/>
    <x:tableColumn id="8" name="Mes 6"/>
    <x:tableColumn id="9" name="Mes 7"/>
    <x:tableColumn id="10" name="Mes 8"/>
    <x:tableColumn id="11" name="Mes 9"/>
    <x:tableColumn id="12" name="Mes 10"/>
    <x:tableColumn id="13" name="Mes 11"/>
    <x:tableColumn id="14" name="Mes 12"/>
    <x:tableColumn id="15" name="Año 1"/>
    <x:tableColumn id="16" name="Año 2"/>
    <x:tableColumn id="17" name="Año 3"/>
    <x:tableColumn id="18" name="Año 4"/>
  </x:tableColumns>
  <x:tableStyleInfo name="Flujo de caja-style" showFirstColumn="1" showLastColumn="1" showRowStripes="1" showColumnStripes="0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a4faa63bd1d24802" /><Relationship Type="http://schemas.openxmlformats.org/officeDocument/2006/relationships/vmlDrawing" Target="/xl/drawings/vmldrawing.vml" Id="Re05b6a7b337a400f" /><Relationship Type="http://schemas.openxmlformats.org/officeDocument/2006/relationships/table" Target="/xl/tables/table1.xml" Id="R5aaa2a725407429d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2" ySplit="2" topLeftCell="C3" activePane="bottomRight" state="frozen"/>
    </x:sheetView>
  </x:sheetViews>
  <x:sheetFormatPr defaultColWidth="12.630000114440918" defaultRowHeight="15"/>
  <x:cols>
    <x:col min="1" max="1" width="48" hidden="0" customWidth="1"/>
    <x:col min="2" max="2" width="13" hidden="0" customWidth="1"/>
    <x:col min="3" max="14" width="14" customWidth="1"/>
    <x:col min="15" max="19" width="16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</x:cols>
  <x:sheetData>
    <x:row r="1" ht="21" customHeight="1">
      <x:c r="A1" s="195" t="str">
        <x:v>Flujo de caja a 4 años (USD) - escenario activo</x:v>
      </x:c>
      <x:c r="B1" s="196"/>
      <x:c r="C1" s="208"/>
      <x:c r="D1" s="208"/>
      <x:c r="E1" s="208"/>
      <x:c r="F1" s="208"/>
      <x:c r="G1" s="208"/>
      <x:c r="H1" s="208"/>
      <x:c r="I1" s="208"/>
      <x:c r="J1" s="208"/>
      <x:c r="K1" s="208"/>
      <x:c r="L1" s="208"/>
      <x:c r="M1" s="208"/>
      <x:c r="N1" s="208"/>
      <x:c r="O1" s="208"/>
      <x:c r="P1" s="208"/>
      <x:c r="Q1" s="208"/>
      <x:c r="R1" s="208"/>
    </x:row>
    <x:row r="2" ht="21" customHeight="1">
      <x:c r="A2" s="113" t="str">
        <x:v>Concepto</x:v>
      </x:c>
      <x:c r="B2" s="113" t="str">
        <x:v>Unidad</x:v>
      </x:c>
      <x:c r="C2" s="114" t="str">
        <x:v>Mes 1</x:v>
      </x:c>
      <x:c r="D2" s="114" t="str">
        <x:v>Mes 2</x:v>
      </x:c>
      <x:c r="E2" s="114" t="str">
        <x:v>Mes 3</x:v>
      </x:c>
      <x:c r="F2" s="114" t="str">
        <x:v>Mes 4</x:v>
      </x:c>
      <x:c r="G2" s="114" t="str">
        <x:v>Mes 5</x:v>
      </x:c>
      <x:c r="H2" s="114" t="str">
        <x:v>Mes 6</x:v>
      </x:c>
      <x:c r="I2" s="114" t="str">
        <x:v>Mes 7</x:v>
      </x:c>
      <x:c r="J2" s="114" t="str">
        <x:v>Mes 8</x:v>
      </x:c>
      <x:c r="K2" s="114" t="str">
        <x:v>Mes 9</x:v>
      </x:c>
      <x:c r="L2" s="114" t="str">
        <x:v>Mes 10</x:v>
      </x:c>
      <x:c r="M2" s="114" t="str">
        <x:v>Mes 11</x:v>
      </x:c>
      <x:c r="N2" s="114" t="str">
        <x:v>Mes 12</x:v>
      </x:c>
      <x:c r="O2" s="115" t="str">
        <x:v>Año 1</x:v>
      </x:c>
      <x:c r="P2" s="114" t="str">
        <x:v>Año 2</x:v>
      </x:c>
      <x:c r="Q2" s="114" t="str">
        <x:v>Año 3</x:v>
      </x:c>
      <x:c r="R2" s="114" t="str">
        <x:v>Año 4</x:v>
      </x:c>
    </x:row>
    <x:row r="3" ht="21" customHeight="1">
      <x:c r="A3" s="198" t="str">
        <x:v>Ingresos</x:v>
      </x:c>
      <x:c r="B3" s="199" t="str"/>
      <x:c r="C3" s="211"/>
      <x:c r="D3" s="211"/>
      <x:c r="E3" s="211"/>
      <x:c r="F3" s="211"/>
      <x:c r="G3" s="211"/>
      <x:c r="H3" s="211"/>
      <x:c r="I3" s="211"/>
      <x:c r="J3" s="211"/>
      <x:c r="K3" s="211"/>
      <x:c r="L3" s="211"/>
      <x:c r="M3" s="211"/>
      <x:c r="N3" s="211"/>
      <x:c r="O3" s="211"/>
      <x:c r="P3" s="211"/>
      <x:c r="Q3" s="211"/>
      <x:c r="R3" s="212"/>
      <x:c r="S3" s="9"/>
      <x:c r="T3" s="9"/>
      <x:c r="U3" s="9"/>
      <x:c r="V3" s="9"/>
      <x:c r="W3" s="9"/>
      <x:c r="X3" s="9"/>
      <x:c r="Y3" s="9"/>
      <x:c r="Z3" s="9"/>
      <x:c r="AA3" s="9"/>
    </x:row>
    <x:row r="4" ht="21" customHeight="1">
      <x:c r="A4" s="200" t="str">
        <x:v>Aporte de capital estimado</x:v>
      </x:c>
      <x:c r="B4" s="196" t="str">
        <x:v>USD</x:v>
      </x:c>
      <x:c r="C4" s="213" t="n">
        <x:f>$C$53</x:f>
        <x:v>300920.0943065033</x:v>
      </x:c>
      <x:c r="D4" s="213" t="n">
        <x:f t="shared" ref="D4:N4" si="1">0</x:f>
        <x:v>0</x:v>
      </x:c>
      <x:c r="E4" s="213" t="n">
        <x:f t="shared" si="1"/>
        <x:v>0</x:v>
      </x:c>
      <x:c r="F4" s="213" t="n">
        <x:f t="shared" si="1"/>
        <x:v>0</x:v>
      </x:c>
      <x:c r="G4" s="213" t="n">
        <x:f t="shared" si="1"/>
        <x:v>0</x:v>
      </x:c>
      <x:c r="H4" s="213" t="n">
        <x:f t="shared" si="1"/>
        <x:v>0</x:v>
      </x:c>
      <x:c r="I4" s="213" t="n">
        <x:f t="shared" si="1"/>
        <x:v>0</x:v>
      </x:c>
      <x:c r="J4" s="213" t="n">
        <x:f t="shared" si="1"/>
        <x:v>0</x:v>
      </x:c>
      <x:c r="K4" s="213" t="n">
        <x:f t="shared" si="1"/>
        <x:v>0</x:v>
      </x:c>
      <x:c r="L4" s="213" t="n">
        <x:f t="shared" si="1"/>
        <x:v>0</x:v>
      </x:c>
      <x:c r="M4" s="213" t="n">
        <x:f t="shared" si="1"/>
        <x:v>0</x:v>
      </x:c>
      <x:c r="N4" s="213" t="n">
        <x:f t="shared" si="1"/>
        <x:v>0</x:v>
      </x:c>
      <x:c r="O4" s="213" t="n">
        <x:f>SUM(C4:N4)</x:f>
        <x:v>300920.0943065033</x:v>
      </x:c>
      <x:c r="P4" s="213" t="n">
        <x:f>0</x:f>
        <x:v>0</x:v>
      </x:c>
      <x:c r="Q4" s="213" t="n">
        <x:f>0</x:f>
        <x:v>0</x:v>
      </x:c>
      <x:c r="R4" s="213" t="n">
        <x:f>0</x:f>
        <x:v>0</x:v>
      </x:c>
    </x:row>
    <x:row r="5" ht="21" customHeight="1">
      <x:c r="A5" s="200" t="str">
        <x:v>Cobros por kits</x:v>
      </x:c>
      <x:c r="B5" s="196" t="str">
        <x:v>USD</x:v>
      </x:c>
      <x:c r="C5" s="213" t="n">
        <x:f t="shared" ref="C5:N5" si="2">C59*$C$77</x:f>
        <x:v>0</x:v>
      </x:c>
      <x:c r="D5" s="213" t="n">
        <x:f t="shared" si="2"/>
        <x:v>0</x:v>
      </x:c>
      <x:c r="E5" s="213" t="n">
        <x:f t="shared" si="2"/>
        <x:v>0</x:v>
      </x:c>
      <x:c r="F5" s="213" t="n">
        <x:f t="shared" si="2"/>
        <x:v>0</x:v>
      </x:c>
      <x:c r="G5" s="213" t="n">
        <x:f t="shared" si="2"/>
        <x:v>0</x:v>
      </x:c>
      <x:c r="H5" s="213" t="n">
        <x:f t="shared" si="2"/>
        <x:v>0</x:v>
      </x:c>
      <x:c r="I5" s="213" t="n">
        <x:f t="shared" si="2"/>
        <x:v>0</x:v>
      </x:c>
      <x:c r="J5" s="213" t="n">
        <x:f t="shared" si="2"/>
        <x:v>0</x:v>
      </x:c>
      <x:c r="K5" s="213" t="n">
        <x:f t="shared" si="2"/>
        <x:v>0</x:v>
      </x:c>
      <x:c r="L5" s="213" t="n">
        <x:f t="shared" si="2"/>
        <x:v>0</x:v>
      </x:c>
      <x:c r="M5" s="213" t="n">
        <x:f t="shared" si="2"/>
        <x:v>0</x:v>
      </x:c>
      <x:c r="N5" s="213" t="n">
        <x:f t="shared" si="2"/>
        <x:v>0</x:v>
      </x:c>
      <x:c r="O5" s="213" t="n">
        <x:f>SUM(C5:N5)</x:f>
        <x:v>0</x:v>
      </x:c>
      <x:c r="P5" s="213" t="n">
        <x:f t="shared" ref="P5:R5" si="3">P59*$C$98</x:f>
        <x:v>120000</x:v>
      </x:c>
      <x:c r="Q5" s="213" t="n">
        <x:f t="shared" si="3">Q59*$C$98</x:f>
        <x:v>320000</x:v>
      </x:c>
      <x:c r="R5" s="213" t="n">
        <x:f t="shared" si="3">R59*$C$98</x:f>
        <x:v>672000</x:v>
      </x:c>
    </x:row>
    <x:row r="6" ht="21" customHeight="1">
      <x:c r="A6" s="200" t="str">
        <x:v>Cobros por parches de recambio</x:v>
      </x:c>
      <x:c r="B6" s="196" t="str">
        <x:v>USD</x:v>
      </x:c>
      <x:c r="C6" s="213" t="n">
        <x:f t="shared" ref="C6:N6" si="4">C61*$C$78</x:f>
        <x:v>0</x:v>
      </x:c>
      <x:c r="D6" s="213" t="n">
        <x:f t="shared" si="4"/>
        <x:v>0</x:v>
      </x:c>
      <x:c r="E6" s="213" t="n">
        <x:f t="shared" si="4"/>
        <x:v>0</x:v>
      </x:c>
      <x:c r="F6" s="213" t="n">
        <x:f t="shared" si="4"/>
        <x:v>0</x:v>
      </x:c>
      <x:c r="G6" s="213" t="n">
        <x:f t="shared" si="4"/>
        <x:v>0</x:v>
      </x:c>
      <x:c r="H6" s="213" t="n">
        <x:f t="shared" si="4"/>
        <x:v>0</x:v>
      </x:c>
      <x:c r="I6" s="213" t="n">
        <x:f t="shared" si="4"/>
        <x:v>0</x:v>
      </x:c>
      <x:c r="J6" s="213" t="n">
        <x:f t="shared" si="4"/>
        <x:v>0</x:v>
      </x:c>
      <x:c r="K6" s="213" t="n">
        <x:f t="shared" si="4"/>
        <x:v>0</x:v>
      </x:c>
      <x:c r="L6" s="213" t="n">
        <x:f t="shared" si="4"/>
        <x:v>0</x:v>
      </x:c>
      <x:c r="M6" s="213" t="n">
        <x:f t="shared" si="4"/>
        <x:v>0</x:v>
      </x:c>
      <x:c r="N6" s="213" t="n">
        <x:f t="shared" si="4"/>
        <x:v>0</x:v>
      </x:c>
      <x:c r="O6" s="213" t="n">
        <x:f>SUM(C6:N6)</x:f>
        <x:v>0</x:v>
      </x:c>
      <x:c r="P6" s="213" t="n">
        <x:f t="shared" ref="P6:R6" si="5">P61*$C$99</x:f>
        <x:v>163350</x:v>
      </x:c>
      <x:c r="Q6" s="213" t="n">
        <x:f t="shared" si="5">Q61*$C$99</x:f>
        <x:v>636275</x:v>
      </x:c>
      <x:c r="R6" s="213" t="n">
        <x:f t="shared" si="5">R61*$C$99</x:f>
        <x:v>1558375</x:v>
      </x:c>
    </x:row>
    <x:row r="7" ht="21" customHeight="1">
      <x:c r="A7" s="200" t="str">
        <x:v>Otros ingresos</x:v>
      </x:c>
      <x:c r="B7" s="196" t="str">
        <x:v>USD</x:v>
      </x:c>
      <x:c r="C7" s="213" t="n">
        <x:v>0</x:v>
      </x:c>
      <x:c r="D7" s="213" t="n">
        <x:v>0</x:v>
      </x:c>
      <x:c r="E7" s="213" t="n">
        <x:v>0</x:v>
      </x:c>
      <x:c r="F7" s="213" t="n">
        <x:v>0</x:v>
      </x:c>
      <x:c r="G7" s="213" t="n">
        <x:v>0</x:v>
      </x:c>
      <x:c r="H7" s="213" t="n">
        <x:v>0</x:v>
      </x:c>
      <x:c r="I7" s="213" t="n">
        <x:v>0</x:v>
      </x:c>
      <x:c r="J7" s="213" t="n">
        <x:v>0</x:v>
      </x:c>
      <x:c r="K7" s="213" t="n">
        <x:v>0</x:v>
      </x:c>
      <x:c r="L7" s="213" t="n">
        <x:v>0</x:v>
      </x:c>
      <x:c r="M7" s="213" t="n">
        <x:v>0</x:v>
      </x:c>
      <x:c r="N7" s="213" t="n">
        <x:v>0</x:v>
      </x:c>
      <x:c r="O7" s="213" t="n">
        <x:f>SUM(C7:N7)</x:f>
        <x:v>0</x:v>
      </x:c>
      <x:c r="P7" s="213" t="n">
        <x:f>0</x:f>
        <x:v>0</x:v>
      </x:c>
      <x:c r="Q7" s="213" t="n">
        <x:f>0</x:f>
        <x:v>0</x:v>
      </x:c>
      <x:c r="R7" s="213" t="n">
        <x:f>0</x:f>
        <x:v>0</x:v>
      </x:c>
    </x:row>
    <x:row r="8" ht="21" customHeight="1">
      <x:c r="A8" s="196"/>
      <x:c r="B8" s="196"/>
      <x:c r="C8" s="213"/>
      <x:c r="D8" s="213"/>
      <x:c r="E8" s="213"/>
      <x:c r="F8" s="213"/>
      <x:c r="G8" s="213"/>
      <x:c r="H8" s="213"/>
      <x:c r="I8" s="213"/>
      <x:c r="J8" s="213"/>
      <x:c r="K8" s="213"/>
      <x:c r="L8" s="213"/>
      <x:c r="M8" s="213"/>
      <x:c r="N8" s="213"/>
      <x:c r="O8" s="213"/>
      <x:c r="P8" s="213"/>
      <x:c r="Q8" s="213"/>
      <x:c r="R8" s="213"/>
    </x:row>
    <x:row r="9" ht="21" customHeight="1">
      <x:c r="A9" s="198" t="str">
        <x:v>Total ingresos y financiamiento</x:v>
      </x:c>
      <x:c r="B9" s="199" t="str">
        <x:v>USD</x:v>
      </x:c>
      <x:c r="C9" s="214" t="n">
        <x:f t="shared" ref="C9:N9" si="6">SUM(C4:C7)</x:f>
        <x:v>300920.0943065033</x:v>
      </x:c>
      <x:c r="D9" s="214" t="n">
        <x:f t="shared" si="6">SUM(D4:D7)</x:f>
        <x:v>0</x:v>
      </x:c>
      <x:c r="E9" s="214" t="n">
        <x:f t="shared" si="6">SUM(E4:E7)</x:f>
        <x:v>0</x:v>
      </x:c>
      <x:c r="F9" s="214" t="n">
        <x:f t="shared" si="6">SUM(F4:F7)</x:f>
        <x:v>0</x:v>
      </x:c>
      <x:c r="G9" s="214" t="n">
        <x:f t="shared" si="6">SUM(G4:G7)</x:f>
        <x:v>0</x:v>
      </x:c>
      <x:c r="H9" s="214" t="n">
        <x:f t="shared" si="6">SUM(H4:H7)</x:f>
        <x:v>0</x:v>
      </x:c>
      <x:c r="I9" s="214" t="n">
        <x:f t="shared" si="6">SUM(I4:I7)</x:f>
        <x:v>0</x:v>
      </x:c>
      <x:c r="J9" s="214" t="n">
        <x:f t="shared" si="6">SUM(J4:J7)</x:f>
        <x:v>0</x:v>
      </x:c>
      <x:c r="K9" s="214" t="n">
        <x:f t="shared" si="6">SUM(K4:K7)</x:f>
        <x:v>0</x:v>
      </x:c>
      <x:c r="L9" s="214" t="n">
        <x:f t="shared" si="6">SUM(L4:L7)</x:f>
        <x:v>0</x:v>
      </x:c>
      <x:c r="M9" s="214" t="n">
        <x:f t="shared" si="6">SUM(M4:M7)</x:f>
        <x:v>0</x:v>
      </x:c>
      <x:c r="N9" s="214" t="n">
        <x:f t="shared" si="6">SUM(N4:N7)</x:f>
        <x:v>0</x:v>
      </x:c>
      <x:c r="O9" s="214" t="n">
        <x:f>SUM(C9:N9)</x:f>
        <x:v>300920.0943065033</x:v>
      </x:c>
      <x:c r="P9" s="214" t="n">
        <x:f t="shared" ref="P9:R9" si="7">SUM(P4:P7)</x:f>
        <x:v>283350</x:v>
      </x:c>
      <x:c r="Q9" s="214" t="n">
        <x:f t="shared" si="7">SUM(Q4:Q7)</x:f>
        <x:v>956275</x:v>
      </x:c>
      <x:c r="R9" s="215" t="n">
        <x:f t="shared" si="7">SUM(R4:R7)</x:f>
        <x:v>2230375</x:v>
      </x:c>
      <x:c r="S9" s="9"/>
      <x:c r="T9" s="9"/>
      <x:c r="U9" s="9"/>
      <x:c r="V9" s="9"/>
      <x:c r="W9" s="9"/>
      <x:c r="X9" s="9"/>
      <x:c r="Y9" s="9"/>
      <x:c r="Z9" s="9"/>
      <x:c r="AA9" s="9"/>
    </x:row>
    <x:row r="10" ht="21" customHeight="1">
      <x:c r="A10" s="196"/>
      <x:c r="B10" s="196"/>
      <x:c r="C10" s="213"/>
      <x:c r="D10" s="213"/>
      <x:c r="E10" s="213"/>
      <x:c r="F10" s="213"/>
      <x:c r="G10" s="213"/>
      <x:c r="H10" s="213"/>
      <x:c r="I10" s="213"/>
      <x:c r="J10" s="213"/>
      <x:c r="K10" s="213"/>
      <x:c r="L10" s="213"/>
      <x:c r="M10" s="213"/>
      <x:c r="N10" s="213"/>
      <x:c r="O10" s="213"/>
      <x:c r="P10" s="213"/>
      <x:c r="Q10" s="213"/>
      <x:c r="R10" s="213"/>
    </x:row>
    <x:row r="11" ht="21" customHeight="1">
      <x:c r="A11" s="201" t="str">
        <x:v>Egresos</x:v>
      </x:c>
      <x:c r="B11" s="202" t="str"/>
      <x:c r="C11" s="216"/>
      <x:c r="D11" s="216"/>
      <x:c r="E11" s="216"/>
      <x:c r="F11" s="216"/>
      <x:c r="G11" s="216"/>
      <x:c r="H11" s="216"/>
      <x:c r="I11" s="216"/>
      <x:c r="J11" s="216"/>
      <x:c r="K11" s="216"/>
      <x:c r="L11" s="216"/>
      <x:c r="M11" s="216"/>
      <x:c r="N11" s="216"/>
      <x:c r="O11" s="216"/>
      <x:c r="P11" s="216"/>
      <x:c r="Q11" s="216"/>
      <x:c r="R11" s="217"/>
      <x:c r="S11" s="17"/>
      <x:c r="T11" s="17"/>
      <x:c r="U11" s="17"/>
      <x:c r="V11" s="17"/>
      <x:c r="W11" s="17"/>
      <x:c r="X11" s="17"/>
      <x:c r="Y11" s="17"/>
      <x:c r="Z11" s="17"/>
      <x:c r="AA11" s="17"/>
    </x:row>
    <x:row r="12" ht="21" customHeight="1">
      <x:c r="A12" s="198" t="str">
        <x:v>Infraestructura</x:v>
      </x:c>
      <x:c r="B12" s="199" t="str">
        <x:v>USD</x:v>
      </x:c>
      <x:c r="C12" s="214" t="n">
        <x:f t="shared" ref="C12:N12" si="8">SUM(C13:C15)</x:f>
        <x:v>2000</x:v>
      </x:c>
      <x:c r="D12" s="214" t="n">
        <x:f t="shared" si="8">SUM(D13:D15)</x:f>
        <x:v>2000</x:v>
      </x:c>
      <x:c r="E12" s="214" t="n">
        <x:f t="shared" si="8">SUM(E13:E15)</x:f>
        <x:v>2000</x:v>
      </x:c>
      <x:c r="F12" s="214" t="n">
        <x:f t="shared" si="8">SUM(F13:F15)</x:f>
        <x:v>2000</x:v>
      </x:c>
      <x:c r="G12" s="214" t="n">
        <x:f t="shared" si="8">SUM(G13:G15)</x:f>
        <x:v>2000</x:v>
      </x:c>
      <x:c r="H12" s="214" t="n">
        <x:f t="shared" si="8">SUM(H13:H15)</x:f>
        <x:v>2000</x:v>
      </x:c>
      <x:c r="I12" s="214" t="n">
        <x:f t="shared" si="8">SUM(I13:I15)</x:f>
        <x:v>2000</x:v>
      </x:c>
      <x:c r="J12" s="214" t="n">
        <x:f t="shared" si="8">SUM(J13:J15)</x:f>
        <x:v>2000</x:v>
      </x:c>
      <x:c r="K12" s="214" t="n">
        <x:f t="shared" si="8">SUM(K13:K15)</x:f>
        <x:v>2000</x:v>
      </x:c>
      <x:c r="L12" s="214" t="n">
        <x:f t="shared" si="8">SUM(L13:L15)</x:f>
        <x:v>2000</x:v>
      </x:c>
      <x:c r="M12" s="214" t="n">
        <x:f t="shared" si="8">SUM(M13:M15)</x:f>
        <x:v>2000</x:v>
      </x:c>
      <x:c r="N12" s="214" t="n">
        <x:f t="shared" si="8">SUM(N13:N15)</x:f>
        <x:v>2000</x:v>
      </x:c>
      <x:c r="O12" s="214" t="n">
        <x:f>SUM(C12:N12)</x:f>
        <x:v>24000</x:v>
      </x:c>
      <x:c r="P12" s="214" t="n">
        <x:f t="shared" ref="P12:R12" si="9">SUM(P13:P15)</x:f>
        <x:v>24000</x:v>
      </x:c>
      <x:c r="Q12" s="214" t="n">
        <x:f t="shared" si="9">SUM(Q13:Q15)</x:f>
        <x:v>24000</x:v>
      </x:c>
      <x:c r="R12" s="215" t="n">
        <x:f t="shared" si="9">SUM(R13:R15)</x:f>
        <x:v>24000</x:v>
      </x:c>
    </x:row>
    <x:row r="13" ht="21" customHeight="1">
      <x:c r="A13" s="200" t="str">
        <x:v>Alquiler de oficina y taller</x:v>
      </x:c>
      <x:c r="B13" s="196" t="str">
        <x:v>USD</x:v>
      </x:c>
      <x:c r="C13" s="213" t="n">
        <x:f t="shared" ref="C13:N13" si="10">$C$82</x:f>
        <x:v>500</x:v>
      </x:c>
      <x:c r="D13" s="213" t="n">
        <x:f t="shared" si="10">$C$82</x:f>
        <x:v>500</x:v>
      </x:c>
      <x:c r="E13" s="213" t="n">
        <x:f t="shared" si="10">$C$82</x:f>
        <x:v>500</x:v>
      </x:c>
      <x:c r="F13" s="213" t="n">
        <x:f t="shared" si="10">$C$82</x:f>
        <x:v>500</x:v>
      </x:c>
      <x:c r="G13" s="213" t="n">
        <x:f t="shared" si="10">$C$82</x:f>
        <x:v>500</x:v>
      </x:c>
      <x:c r="H13" s="213" t="n">
        <x:f t="shared" si="10">$C$82</x:f>
        <x:v>500</x:v>
      </x:c>
      <x:c r="I13" s="213" t="n">
        <x:f t="shared" si="10">$C$82</x:f>
        <x:v>500</x:v>
      </x:c>
      <x:c r="J13" s="213" t="n">
        <x:f t="shared" si="10">$C$82</x:f>
        <x:v>500</x:v>
      </x:c>
      <x:c r="K13" s="213" t="n">
        <x:f t="shared" si="10">$C$82</x:f>
        <x:v>500</x:v>
      </x:c>
      <x:c r="L13" s="213" t="n">
        <x:f t="shared" si="10">$C$82</x:f>
        <x:v>500</x:v>
      </x:c>
      <x:c r="M13" s="213" t="n">
        <x:f t="shared" si="10">$C$82</x:f>
        <x:v>500</x:v>
      </x:c>
      <x:c r="N13" s="213" t="n">
        <x:f t="shared" si="10">$C$82</x:f>
        <x:v>500</x:v>
      </x:c>
      <x:c r="O13" s="213" t="n">
        <x:f>SUM(C13:N13)</x:f>
        <x:v>6000</x:v>
      </x:c>
      <x:c r="P13" s="213" t="n">
        <x:f t="shared" ref="P13:R13" si="11">$C$82*12</x:f>
        <x:v>6000</x:v>
      </x:c>
      <x:c r="Q13" s="213" t="n">
        <x:f t="shared" si="11">$C$82*12</x:f>
        <x:v>6000</x:v>
      </x:c>
      <x:c r="R13" s="213" t="n">
        <x:f t="shared" si="11">$C$82*12</x:f>
        <x:v>6000</x:v>
      </x:c>
    </x:row>
    <x:row r="14" ht="21" customHeight="1">
      <x:c r="A14" s="200" t="str">
        <x:v>Servicios generales</x:v>
      </x:c>
      <x:c r="B14" s="196" t="str">
        <x:v>USD</x:v>
      </x:c>
      <x:c r="C14" s="213" t="n">
        <x:f t="shared" ref="C14:N14" si="12">$C$81</x:f>
        <x:v>500</x:v>
      </x:c>
      <x:c r="D14" s="213" t="n">
        <x:f t="shared" si="12">$C$81</x:f>
        <x:v>500</x:v>
      </x:c>
      <x:c r="E14" s="213" t="n">
        <x:f t="shared" si="12">$C$81</x:f>
        <x:v>500</x:v>
      </x:c>
      <x:c r="F14" s="213" t="n">
        <x:f t="shared" si="12">$C$81</x:f>
        <x:v>500</x:v>
      </x:c>
      <x:c r="G14" s="213" t="n">
        <x:f t="shared" si="12">$C$81</x:f>
        <x:v>500</x:v>
      </x:c>
      <x:c r="H14" s="213" t="n">
        <x:f t="shared" si="12">$C$81</x:f>
        <x:v>500</x:v>
      </x:c>
      <x:c r="I14" s="213" t="n">
        <x:f t="shared" si="12">$C$81</x:f>
        <x:v>500</x:v>
      </x:c>
      <x:c r="J14" s="213" t="n">
        <x:f t="shared" si="12">$C$81</x:f>
        <x:v>500</x:v>
      </x:c>
      <x:c r="K14" s="213" t="n">
        <x:f t="shared" si="12">$C$81</x:f>
        <x:v>500</x:v>
      </x:c>
      <x:c r="L14" s="213" t="n">
        <x:f t="shared" si="12">$C$81</x:f>
        <x:v>500</x:v>
      </x:c>
      <x:c r="M14" s="213" t="n">
        <x:f t="shared" si="12">$C$81</x:f>
        <x:v>500</x:v>
      </x:c>
      <x:c r="N14" s="213" t="n">
        <x:f t="shared" si="12">$C$81</x:f>
        <x:v>500</x:v>
      </x:c>
      <x:c r="O14" s="213" t="n">
        <x:f>SUM(C14:N14)</x:f>
        <x:v>6000</x:v>
      </x:c>
      <x:c r="P14" s="213" t="n">
        <x:f t="shared" ref="P14:R14" si="13">$C$81*12</x:f>
        <x:v>6000</x:v>
      </x:c>
      <x:c r="Q14" s="213" t="n">
        <x:f t="shared" si="13">$C$81*12</x:f>
        <x:v>6000</x:v>
      </x:c>
      <x:c r="R14" s="213" t="n">
        <x:f t="shared" si="13">$C$81*12</x:f>
        <x:v>6000</x:v>
      </x:c>
    </x:row>
    <x:row r="15" ht="21" customHeight="1">
      <x:c r="A15" s="200" t="str">
        <x:v>Alquiler de equipamiento y laboratorio</x:v>
      </x:c>
      <x:c r="B15" s="196" t="str">
        <x:v>USD</x:v>
      </x:c>
      <x:c r="C15" s="213" t="n">
        <x:f t="shared" ref="C15:N15" si="14">$C$83</x:f>
        <x:v>1000</x:v>
      </x:c>
      <x:c r="D15" s="213" t="n">
        <x:f t="shared" si="14">$C$83</x:f>
        <x:v>1000</x:v>
      </x:c>
      <x:c r="E15" s="213" t="n">
        <x:f t="shared" si="14">$C$83</x:f>
        <x:v>1000</x:v>
      </x:c>
      <x:c r="F15" s="213" t="n">
        <x:f t="shared" si="14">$C$83</x:f>
        <x:v>1000</x:v>
      </x:c>
      <x:c r="G15" s="213" t="n">
        <x:f t="shared" si="14">$C$83</x:f>
        <x:v>1000</x:v>
      </x:c>
      <x:c r="H15" s="213" t="n">
        <x:f t="shared" si="14">$C$83</x:f>
        <x:v>1000</x:v>
      </x:c>
      <x:c r="I15" s="213" t="n">
        <x:f t="shared" si="14">$C$83</x:f>
        <x:v>1000</x:v>
      </x:c>
      <x:c r="J15" s="213" t="n">
        <x:f t="shared" si="14">$C$83</x:f>
        <x:v>1000</x:v>
      </x:c>
      <x:c r="K15" s="213" t="n">
        <x:f t="shared" si="14">$C$83</x:f>
        <x:v>1000</x:v>
      </x:c>
      <x:c r="L15" s="213" t="n">
        <x:f t="shared" si="14">$C$83</x:f>
        <x:v>1000</x:v>
      </x:c>
      <x:c r="M15" s="213" t="n">
        <x:f t="shared" si="14">$C$83</x:f>
        <x:v>1000</x:v>
      </x:c>
      <x:c r="N15" s="213" t="n">
        <x:f t="shared" si="14">$C$83</x:f>
        <x:v>1000</x:v>
      </x:c>
      <x:c r="O15" s="213" t="n">
        <x:f>SUM(C15:N15)</x:f>
        <x:v>12000</x:v>
      </x:c>
      <x:c r="P15" s="213" t="n">
        <x:f t="shared" ref="P15:R15" si="15">$C$83*12</x:f>
        <x:v>12000</x:v>
      </x:c>
      <x:c r="Q15" s="213" t="n">
        <x:f t="shared" si="15">$C$83*12</x:f>
        <x:v>12000</x:v>
      </x:c>
      <x:c r="R15" s="213" t="n">
        <x:f t="shared" si="15">$C$83*12</x:f>
        <x:v>12000</x:v>
      </x:c>
    </x:row>
    <x:row r="16" ht="21" customHeight="1">
      <x:c r="A16" s="200"/>
      <x:c r="B16" s="196"/>
      <x:c r="C16" s="213"/>
      <x:c r="D16" s="213"/>
      <x:c r="E16" s="213"/>
      <x:c r="F16" s="213"/>
      <x:c r="G16" s="213"/>
      <x:c r="H16" s="213"/>
      <x:c r="I16" s="213"/>
      <x:c r="J16" s="213"/>
      <x:c r="K16" s="213"/>
      <x:c r="L16" s="213"/>
      <x:c r="M16" s="213"/>
      <x:c r="N16" s="213"/>
      <x:c r="O16" s="213"/>
      <x:c r="P16" s="213"/>
      <x:c r="Q16" s="213"/>
      <x:c r="R16" s="213"/>
    </x:row>
    <x:row r="17" ht="21" customHeight="1">
      <x:c r="A17" s="198" t="str">
        <x:v>Diseño, prototipos y ensayos</x:v>
      </x:c>
      <x:c r="B17" s="199" t="str">
        <x:v>USD</x:v>
      </x:c>
      <x:c r="C17" s="214" t="n">
        <x:f t="shared" ref="C17:N17" si="16">SUM(C18:C20)</x:f>
        <x:v>0</x:v>
      </x:c>
      <x:c r="D17" s="214" t="n">
        <x:f t="shared" si="16">SUM(D18:D20)</x:f>
        <x:v>1800</x:v>
      </x:c>
      <x:c r="E17" s="214" t="n">
        <x:f t="shared" si="16">SUM(E18:E20)</x:f>
        <x:v>0</x:v>
      </x:c>
      <x:c r="F17" s="214" t="n">
        <x:f t="shared" si="16">SUM(F18:F20)</x:f>
        <x:v>2800</x:v>
      </x:c>
      <x:c r="G17" s="214" t="n">
        <x:f t="shared" si="16">SUM(G18:G20)</x:f>
        <x:v>1000</x:v>
      </x:c>
      <x:c r="H17" s="214" t="n">
        <x:f t="shared" si="16">SUM(H18:H20)</x:f>
        <x:v>2200</x:v>
      </x:c>
      <x:c r="I17" s="214" t="n">
        <x:f t="shared" si="16">SUM(I18:I20)</x:f>
        <x:v>0</x:v>
      </x:c>
      <x:c r="J17" s="214" t="n">
        <x:f t="shared" si="16">SUM(J18:J20)</x:f>
        <x:v>3200</x:v>
      </x:c>
      <x:c r="K17" s="214" t="n">
        <x:f t="shared" si="16">SUM(K18:K20)</x:f>
        <x:v>0</x:v>
      </x:c>
      <x:c r="L17" s="214" t="n">
        <x:f t="shared" si="16">SUM(L18:L20)</x:f>
        <x:v>1000</x:v>
      </x:c>
      <x:c r="M17" s="214" t="n">
        <x:f t="shared" si="16">SUM(M18:M20)</x:f>
        <x:v>0</x:v>
      </x:c>
      <x:c r="N17" s="214" t="n">
        <x:f t="shared" si="16">SUM(N18:N20)</x:f>
        <x:v>0</x:v>
      </x:c>
      <x:c r="O17" s="214" t="n">
        <x:f>SUM(C17:N17)</x:f>
        <x:v>12000</x:v>
      </x:c>
      <x:c r="P17" s="214" t="n">
        <x:f t="shared" ref="P17:R17" si="17">SUM(P18:P20)</x:f>
        <x:v>0</x:v>
      </x:c>
      <x:c r="Q17" s="214" t="n">
        <x:f t="shared" si="17">SUM(Q18:Q20)</x:f>
        <x:v>0</x:v>
      </x:c>
      <x:c r="R17" s="215" t="n">
        <x:f t="shared" si="17">SUM(R18:R20)</x:f>
        <x:v>0</x:v>
      </x:c>
    </x:row>
    <x:row r="18" ht="21" customHeight="1">
      <x:c r="A18" s="200" t="str">
        <x:v>Componentes de prototipos</x:v>
      </x:c>
      <x:c r="B18" s="196" t="str">
        <x:v>USD</x:v>
      </x:c>
      <x:c r="C18" s="213" t="n">
        <x:f t="shared" ref="C18:C20" si="19">$C$84*0</x:f>
        <x:v>0</x:v>
      </x:c>
      <x:c r="D18" s="213" t="n">
        <x:f>$C$84*0.3</x:f>
        <x:v>1800</x:v>
      </x:c>
      <x:c r="E18" s="213" t="n">
        <x:f t="shared" ref="E18:N18" si="18">$C$84*0</x:f>
        <x:v>0</x:v>
      </x:c>
      <x:c r="F18" s="213" t="n">
        <x:f t="shared" si="18">$C$84*0.3</x:f>
        <x:v>1800</x:v>
      </x:c>
      <x:c r="G18" s="213" t="n">
        <x:f t="shared" si="18">$C$84*0</x:f>
        <x:v>0</x:v>
      </x:c>
      <x:c r="H18" s="213" t="n">
        <x:f t="shared" si="18">$C$84*0.2</x:f>
        <x:v>1200</x:v>
      </x:c>
      <x:c r="I18" s="213" t="n">
        <x:f t="shared" si="18">$C$84*0</x:f>
        <x:v>0</x:v>
      </x:c>
      <x:c r="J18" s="213" t="n">
        <x:f t="shared" si="18">$C$84*0.2</x:f>
        <x:v>1200</x:v>
      </x:c>
      <x:c r="K18" s="213" t="n">
        <x:f t="shared" si="18">$C$84*0</x:f>
        <x:v>0</x:v>
      </x:c>
      <x:c r="L18" s="213" t="n">
        <x:f t="shared" si="18">$C$84*0</x:f>
        <x:v>0</x:v>
      </x:c>
      <x:c r="M18" s="213" t="n">
        <x:f t="shared" si="18">$C$84*0</x:f>
        <x:v>0</x:v>
      </x:c>
      <x:c r="N18" s="213" t="n">
        <x:f t="shared" si="18">$C$84*0</x:f>
        <x:v>0</x:v>
      </x:c>
      <x:c r="O18" s="213" t="n">
        <x:f>SUM(C18:N18)</x:f>
        <x:v>6000</x:v>
      </x:c>
      <x:c r="P18" s="213" t="n">
        <x:f>0</x:f>
        <x:v>0</x:v>
      </x:c>
      <x:c r="Q18" s="213" t="n">
        <x:f>0</x:f>
        <x:v>0</x:v>
      </x:c>
      <x:c r="R18" s="213" t="n">
        <x:f>0</x:f>
        <x:v>0</x:v>
      </x:c>
    </x:row>
    <x:row r="19" ht="21" customHeight="1">
      <x:c r="A19" s="200" t="str">
        <x:v>Carcasas y montajes de prototipos</x:v>
      </x:c>
      <x:c r="B19" s="196" t="str">
        <x:v>USD</x:v>
      </x:c>
      <x:c r="C19" s="213" t="n">
        <x:f t="shared" si="19">$C$85*0</x:f>
        <x:v>0</x:v>
      </x:c>
      <x:c r="D19" s="213" t="n">
        <x:f t="shared" ref="D19:D20" si="21">$C$85*0</x:f>
        <x:v>0</x:v>
      </x:c>
      <x:c r="E19" s="213" t="n">
        <x:f>$C$85*0</x:f>
        <x:v>0</x:v>
      </x:c>
      <x:c r="F19" s="213" t="n">
        <x:f t="shared" ref="F19:N19" si="20">$C$85*0</x:f>
        <x:v>0</x:v>
      </x:c>
      <x:c r="G19" s="213" t="n">
        <x:f t="shared" si="20">$C$85*0.5</x:f>
        <x:v>1000</x:v>
      </x:c>
      <x:c r="H19" s="213" t="n">
        <x:f t="shared" si="20">$C$85*0</x:f>
        <x:v>0</x:v>
      </x:c>
      <x:c r="I19" s="213" t="n">
        <x:f t="shared" si="20">$C$85*0</x:f>
        <x:v>0</x:v>
      </x:c>
      <x:c r="J19" s="213" t="n">
        <x:f t="shared" si="20">$C$85*0.5</x:f>
        <x:v>1000</x:v>
      </x:c>
      <x:c r="K19" s="213" t="n">
        <x:f t="shared" si="20">$C$85*0</x:f>
        <x:v>0</x:v>
      </x:c>
      <x:c r="L19" s="213" t="n">
        <x:f t="shared" si="20">$C$85*0</x:f>
        <x:v>0</x:v>
      </x:c>
      <x:c r="M19" s="213" t="n">
        <x:f t="shared" si="20">$C$85*0</x:f>
        <x:v>0</x:v>
      </x:c>
      <x:c r="N19" s="213" t="n">
        <x:f t="shared" si="20">$C$85*0</x:f>
        <x:v>0</x:v>
      </x:c>
      <x:c r="O19" s="213" t="n">
        <x:f>SUM(C19:N19)</x:f>
        <x:v>2000</x:v>
      </x:c>
      <x:c r="P19" s="213" t="n">
        <x:f>0</x:f>
        <x:v>0</x:v>
      </x:c>
      <x:c r="Q19" s="213" t="n">
        <x:f>0</x:f>
        <x:v>0</x:v>
      </x:c>
      <x:c r="R19" s="213" t="n">
        <x:f>0</x:f>
        <x:v>0</x:v>
      </x:c>
    </x:row>
    <x:row r="20" ht="21" customHeight="1">
      <x:c r="A20" s="200" t="str">
        <x:v>Insumos de pruebas</x:v>
      </x:c>
      <x:c r="B20" s="196" t="str">
        <x:v>USD</x:v>
      </x:c>
      <x:c r="C20" s="213" t="n">
        <x:f t="shared" si="19">$C$86*0</x:f>
        <x:v>0</x:v>
      </x:c>
      <x:c r="D20" s="213" t="n">
        <x:f t="shared" si="21">$C$86*0</x:f>
        <x:v>0</x:v>
      </x:c>
      <x:c r="E20" s="213" t="n">
        <x:f>$C$86*0</x:f>
        <x:v>0</x:v>
      </x:c>
      <x:c r="F20" s="213" t="n">
        <x:f t="shared" ref="F20:N20" si="22">$C$86*0.25</x:f>
        <x:v>1000</x:v>
      </x:c>
      <x:c r="G20" s="213" t="n">
        <x:f t="shared" si="22">$C$86*0</x:f>
        <x:v>0</x:v>
      </x:c>
      <x:c r="H20" s="213" t="n">
        <x:f t="shared" si="22">$C$86*0.25</x:f>
        <x:v>1000</x:v>
      </x:c>
      <x:c r="I20" s="213" t="n">
        <x:f t="shared" si="22">$C$86*0</x:f>
        <x:v>0</x:v>
      </x:c>
      <x:c r="J20" s="213" t="n">
        <x:f t="shared" si="22">$C$86*0.25</x:f>
        <x:v>1000</x:v>
      </x:c>
      <x:c r="K20" s="213" t="n">
        <x:f t="shared" si="22">$C$86*0</x:f>
        <x:v>0</x:v>
      </x:c>
      <x:c r="L20" s="213" t="n">
        <x:f t="shared" si="22">$C$86*0.25</x:f>
        <x:v>1000</x:v>
      </x:c>
      <x:c r="M20" s="213" t="n">
        <x:f t="shared" si="22">$C$86*0</x:f>
        <x:v>0</x:v>
      </x:c>
      <x:c r="N20" s="213" t="n">
        <x:f t="shared" si="22">$C$86*0</x:f>
        <x:v>0</x:v>
      </x:c>
      <x:c r="O20" s="213" t="n">
        <x:f>SUM(C20:N20)</x:f>
        <x:v>4000</x:v>
      </x:c>
      <x:c r="P20" s="213" t="n">
        <x:f>0</x:f>
        <x:v>0</x:v>
      </x:c>
      <x:c r="Q20" s="213" t="n">
        <x:f>0</x:f>
        <x:v>0</x:v>
      </x:c>
      <x:c r="R20" s="213" t="n">
        <x:f>0</x:f>
        <x:v>0</x:v>
      </x:c>
    </x:row>
    <x:row r="21" ht="21" customHeight="1">
      <x:c r="A21" s="200"/>
      <x:c r="B21" s="196"/>
      <x:c r="C21" s="213"/>
      <x:c r="D21" s="213"/>
      <x:c r="E21" s="213"/>
      <x:c r="F21" s="213"/>
      <x:c r="G21" s="213"/>
      <x:c r="H21" s="213"/>
      <x:c r="I21" s="213"/>
      <x:c r="J21" s="213"/>
      <x:c r="K21" s="213"/>
      <x:c r="L21" s="213"/>
      <x:c r="M21" s="213"/>
      <x:c r="N21" s="213"/>
      <x:c r="O21" s="213"/>
      <x:c r="P21" s="213"/>
      <x:c r="Q21" s="213"/>
      <x:c r="R21" s="213"/>
    </x:row>
    <x:row r="22" ht="21" customHeight="1">
      <x:c r="A22" s="198" t="str">
        <x:v>Producción y comercialización variable</x:v>
      </x:c>
      <x:c r="B22" s="199" t="str">
        <x:v>USD</x:v>
      </x:c>
      <x:c r="C22" s="214" t="n">
        <x:f t="shared" ref="C22:N22" si="23">SUM(C23:C27)</x:f>
        <x:v>0</x:v>
      </x:c>
      <x:c r="D22" s="214" t="n">
        <x:f t="shared" si="23">SUM(D23:D27)</x:f>
        <x:v>0</x:v>
      </x:c>
      <x:c r="E22" s="214" t="n">
        <x:f t="shared" si="23">SUM(E23:E27)</x:f>
        <x:v>0</x:v>
      </x:c>
      <x:c r="F22" s="214" t="n">
        <x:f t="shared" si="23">SUM(F23:F27)</x:f>
        <x:v>0</x:v>
      </x:c>
      <x:c r="G22" s="214" t="n">
        <x:f t="shared" si="23">SUM(G23:G27)</x:f>
        <x:v>0</x:v>
      </x:c>
      <x:c r="H22" s="214" t="n">
        <x:f t="shared" si="23">SUM(H23:H27)</x:f>
        <x:v>0</x:v>
      </x:c>
      <x:c r="I22" s="214" t="n">
        <x:f t="shared" si="23">SUM(I23:I27)</x:f>
        <x:v>0</x:v>
      </x:c>
      <x:c r="J22" s="214" t="n">
        <x:f t="shared" si="23">SUM(J23:J27)</x:f>
        <x:v>0</x:v>
      </x:c>
      <x:c r="K22" s="214" t="n">
        <x:f t="shared" si="23">SUM(K23:K27)</x:f>
        <x:v>8456.666666666666</x:v>
      </x:c>
      <x:c r="L22" s="214" t="n">
        <x:f t="shared" si="23">SUM(L23:L27)</x:f>
        <x:v>14798</x:v>
      </x:c>
      <x:c r="M22" s="214" t="n">
        <x:f t="shared" si="23">SUM(M23:M27)</x:f>
        <x:v>4527.555555555557</x:v>
      </x:c>
      <x:c r="N22" s="214" t="n">
        <x:f t="shared" si="23">SUM(N23:N27)</x:f>
        <x:v>0</x:v>
      </x:c>
      <x:c r="O22" s="214" t="n">
        <x:f>SUM(C22:N22)</x:f>
        <x:v>27782.22222222222</x:v>
      </x:c>
      <x:c r="P22" s="214" t="n">
        <x:f t="shared" ref="P22:R22" si="24">SUM(P23:P27)</x:f>
        <x:v>217247.11111111112</x:v>
      </x:c>
      <x:c r="Q22" s="214" t="n">
        <x:f t="shared" si="24">SUM(Q23:Q27)</x:f>
        <x:v>821670.8888888889</x:v>
      </x:c>
      <x:c r="R22" s="215" t="n">
        <x:f t="shared" si="24">SUM(R23:R27)</x:f>
        <x:v>1916319.6888888888</x:v>
      </x:c>
    </x:row>
    <x:row r="23" ht="21" customHeight="1">
      <x:c r="A23" s="200" t="str">
        <x:v>Fabricación de kits</x:v>
      </x:c>
      <x:c r="B23" s="196" t="str">
        <x:v>USD</x:v>
      </x:c>
      <x:c r="C23" s="213" t="n">
        <x:f t="shared" ref="C23:N23" si="25">0</x:f>
        <x:v>0</x:v>
      </x:c>
      <x:c r="D23" s="213" t="n">
        <x:f t="shared" si="25">0</x:f>
        <x:v>0</x:v>
      </x:c>
      <x:c r="E23" s="213" t="n">
        <x:f t="shared" si="25">0</x:f>
        <x:v>0</x:v>
      </x:c>
      <x:c r="F23" s="213" t="n">
        <x:f t="shared" si="25">0</x:f>
        <x:v>0</x:v>
      </x:c>
      <x:c r="G23" s="213" t="n">
        <x:f t="shared" si="25">0</x:f>
        <x:v>0</x:v>
      </x:c>
      <x:c r="H23" s="213" t="n">
        <x:f t="shared" si="25">0</x:f>
        <x:v>0</x:v>
      </x:c>
      <x:c r="I23" s="213" t="n">
        <x:f t="shared" si="25">0</x:f>
        <x:v>0</x:v>
      </x:c>
      <x:c r="J23" s="213" t="n">
        <x:f t="shared" si="25">0</x:f>
        <x:v>0</x:v>
      </x:c>
      <x:c r="K23" s="213" t="n">
        <x:f t="shared" si="25">$C$65/(1-$C$90)*$C$66*0.5</x:f>
        <x:v>8456.666666666666</x:v>
      </x:c>
      <x:c r="L23" s="213" t="n">
        <x:f t="shared" si="25">$C$65/(1-$C$90)*$C$66*0.5</x:f>
        <x:v>8456.666666666666</x:v>
      </x:c>
      <x:c r="M23" s="213" t="n">
        <x:f t="shared" si="25">0</x:f>
        <x:v>0</x:v>
      </x:c>
      <x:c r="N23" s="213" t="n">
        <x:f t="shared" si="25">0</x:f>
        <x:v>0</x:v>
      </x:c>
      <x:c r="O23" s="213" t="n">
        <x:f>SUM(C23:N23)</x:f>
        <x:v>16913.333333333332</x:v>
      </x:c>
      <x:c r="P23" s="213" t="n">
        <x:f t="shared" ref="P23:R23" si="26">P132/(1-$C$90)*$C$66</x:f>
        <x:v>38900.666666666664</x:v>
      </x:c>
      <x:c r="Q23" s="213" t="n">
        <x:f t="shared" si="26">Q132/(1-$C$90)*$C$66</x:f>
        <x:v>143763.33333333334</x:v>
      </x:c>
      <x:c r="R23" s="213" t="n">
        <x:f t="shared" si="26">R132/(1-$C$90)*$C$66</x:f>
        <x:v>299027.73333333334</x:v>
      </x:c>
    </x:row>
    <x:row r="24" ht="21" customHeight="1">
      <x:c r="A24" s="200" t="str">
        <x:v>Importación, flete y recepción</x:v>
      </x:c>
      <x:c r="B24" s="196" t="str">
        <x:v>USD</x:v>
      </x:c>
      <x:c r="C24" s="213" t="n">
        <x:f t="shared" ref="C24:N24" si="27">0</x:f>
        <x:v>0</x:v>
      </x:c>
      <x:c r="D24" s="213" t="n">
        <x:f t="shared" si="27">0</x:f>
        <x:v>0</x:v>
      </x:c>
      <x:c r="E24" s="213" t="n">
        <x:f t="shared" si="27">0</x:f>
        <x:v>0</x:v>
      </x:c>
      <x:c r="F24" s="213" t="n">
        <x:f t="shared" si="27">0</x:f>
        <x:v>0</x:v>
      </x:c>
      <x:c r="G24" s="213" t="n">
        <x:f t="shared" si="27">0</x:f>
        <x:v>0</x:v>
      </x:c>
      <x:c r="H24" s="213" t="n">
        <x:f t="shared" si="27">0</x:f>
        <x:v>0</x:v>
      </x:c>
      <x:c r="I24" s="213" t="n">
        <x:f t="shared" si="27">0</x:f>
        <x:v>0</x:v>
      </x:c>
      <x:c r="J24" s="213" t="n">
        <x:f t="shared" si="27">0</x:f>
        <x:v>0</x:v>
      </x:c>
      <x:c r="K24" s="213" t="n">
        <x:f t="shared" si="27">0</x:f>
        <x:v>0</x:v>
      </x:c>
      <x:c r="L24" s="213" t="n">
        <x:f t="shared" si="27">$C$65/(1-$C$90)*$C$67*0.6</x:f>
        <x:v>6341.333333333334</x:v>
      </x:c>
      <x:c r="M24" s="213" t="n">
        <x:f t="shared" si="27">$C$65/(1-$C$90)*$C$67*0.4</x:f>
        <x:v>4227.555555555557</x:v>
      </x:c>
      <x:c r="N24" s="213" t="n">
        <x:f t="shared" si="27">0</x:f>
        <x:v>0</x:v>
      </x:c>
      <x:c r="O24" s="213" t="n">
        <x:f>SUM(C24:N24)</x:f>
        <x:v>10568.88888888889</x:v>
      </x:c>
      <x:c r="P24" s="213" t="n">
        <x:f t="shared" ref="P24:R24" si="28">P132/(1-$C$90)*$C$67</x:f>
        <x:v>24308.444444444445</x:v>
      </x:c>
      <x:c r="Q24" s="213" t="n">
        <x:f t="shared" si="28">Q132/(1-$C$90)*$C$67</x:f>
        <x:v>89835.55555555556</x:v>
      </x:c>
      <x:c r="R24" s="213" t="n">
        <x:f t="shared" si="28">R132/(1-$C$90)*$C$67</x:f>
        <x:v>186857.95555555556</x:v>
      </x:c>
    </x:row>
    <x:row r="25" ht="21" customHeight="1">
      <x:c r="A25" s="200" t="str">
        <x:v>Almacenamiento de kits</x:v>
      </x:c>
      <x:c r="B25" s="196" t="str">
        <x:v>USD</x:v>
      </x:c>
      <x:c r="C25" s="213" t="n">
        <x:f t="shared" ref="C25:N25" si="29">0</x:f>
        <x:v>0</x:v>
      </x:c>
      <x:c r="D25" s="213" t="n">
        <x:f t="shared" si="29">0</x:f>
        <x:v>0</x:v>
      </x:c>
      <x:c r="E25" s="213" t="n">
        <x:f t="shared" si="29">0</x:f>
        <x:v>0</x:v>
      </x:c>
      <x:c r="F25" s="213" t="n">
        <x:f t="shared" si="29">0</x:f>
        <x:v>0</x:v>
      </x:c>
      <x:c r="G25" s="213" t="n">
        <x:f t="shared" si="29">0</x:f>
        <x:v>0</x:v>
      </x:c>
      <x:c r="H25" s="213" t="n">
        <x:f t="shared" si="29">0</x:f>
        <x:v>0</x:v>
      </x:c>
      <x:c r="I25" s="213" t="n">
        <x:f t="shared" si="29">0</x:f>
        <x:v>0</x:v>
      </x:c>
      <x:c r="J25" s="213" t="n">
        <x:f t="shared" si="29">0</x:f>
        <x:v>0</x:v>
      </x:c>
      <x:c r="K25" s="213" t="n">
        <x:f t="shared" si="29">0</x:f>
        <x:v>0</x:v>
      </x:c>
      <x:c r="L25" s="213" t="n">
        <x:f t="shared" si="29">0</x:f>
        <x:v>0</x:v>
      </x:c>
      <x:c r="M25" s="213" t="n">
        <x:f t="shared" si="29">$C$68</x:f>
        <x:v>300</x:v>
      </x:c>
      <x:c r="N25" s="213" t="n">
        <x:f t="shared" si="29">0</x:f>
        <x:v>0</x:v>
      </x:c>
      <x:c r="O25" s="213" t="n">
        <x:f>SUM(C25:N25)</x:f>
        <x:v>300</x:v>
      </x:c>
      <x:c r="P25" s="213" t="n">
        <x:f t="shared" ref="P25:R25" si="30">P132*$C$68/$C$65</x:f>
        <x:v>690</x:v>
      </x:c>
      <x:c r="Q25" s="213" t="n">
        <x:f t="shared" si="30">Q132*$C$68/$C$65</x:f>
        <x:v>2550</x:v>
      </x:c>
      <x:c r="R25" s="213" t="n">
        <x:f t="shared" si="30">R132*$C$68/$C$65</x:f>
        <x:v>5304</x:v>
      </x:c>
    </x:row>
    <x:row r="26" ht="21" customHeight="1">
      <x:c r="A26" s="200" t="str">
        <x:v>Fabricación y entrega de recambios</x:v>
      </x:c>
      <x:c r="B26" s="196" t="str">
        <x:v>USD</x:v>
      </x:c>
      <x:c r="C26" s="213" t="n">
        <x:f t="shared" ref="C26:N26" si="31">C61*SUM($C$69:$C$70)</x:f>
        <x:v>0</x:v>
      </x:c>
      <x:c r="D26" s="213" t="n">
        <x:f t="shared" si="31">D61*SUM($C$69:$C$70)</x:f>
        <x:v>0</x:v>
      </x:c>
      <x:c r="E26" s="213" t="n">
        <x:f t="shared" si="31">E61*SUM($C$69:$C$70)</x:f>
        <x:v>0</x:v>
      </x:c>
      <x:c r="F26" s="213" t="n">
        <x:f t="shared" si="31">F61*SUM($C$69:$C$70)</x:f>
        <x:v>0</x:v>
      </x:c>
      <x:c r="G26" s="213" t="n">
        <x:f t="shared" si="31">G61*SUM($C$69:$C$70)</x:f>
        <x:v>0</x:v>
      </x:c>
      <x:c r="H26" s="213" t="n">
        <x:f t="shared" si="31">H61*SUM($C$69:$C$70)</x:f>
        <x:v>0</x:v>
      </x:c>
      <x:c r="I26" s="213" t="n">
        <x:f t="shared" si="31">I61*SUM($C$69:$C$70)</x:f>
        <x:v>0</x:v>
      </x:c>
      <x:c r="J26" s="213" t="n">
        <x:f t="shared" si="31">J61*SUM($C$69:$C$70)</x:f>
        <x:v>0</x:v>
      </x:c>
      <x:c r="K26" s="213" t="n">
        <x:f t="shared" si="31">K61*SUM($C$69:$C$70)</x:f>
        <x:v>0</x:v>
      </x:c>
      <x:c r="L26" s="213" t="n">
        <x:f t="shared" si="31">L61*SUM($C$69:$C$70)</x:f>
        <x:v>0</x:v>
      </x:c>
      <x:c r="M26" s="213" t="n">
        <x:f t="shared" si="31">M61*SUM($C$69:$C$70)</x:f>
        <x:v>0</x:v>
      </x:c>
      <x:c r="N26" s="213" t="n">
        <x:f t="shared" si="31">N61*SUM($C$69:$C$70)</x:f>
        <x:v>0</x:v>
      </x:c>
      <x:c r="O26" s="213" t="n">
        <x:f>SUM(C26:N26)</x:f>
        <x:v>0</x:v>
      </x:c>
      <x:c r="P26" s="213" t="n">
        <x:f t="shared" ref="P26:R26" si="32">P61*SUM($C$69:$C$70)</x:f>
        <x:v>130680</x:v>
      </x:c>
      <x:c r="Q26" s="213" t="n">
        <x:f t="shared" si="32">Q61*SUM($C$69:$C$70)</x:f>
        <x:v>509020</x:v>
      </x:c>
      <x:c r="R26" s="213" t="n">
        <x:f t="shared" si="32">R61*SUM($C$69:$C$70)</x:f>
        <x:v>1246700</x:v>
      </x:c>
    </x:row>
    <x:row r="27" ht="21" customHeight="1">
      <x:c r="A27" s="200" t="str">
        <x:v>Costos comerciales variables</x:v>
      </x:c>
      <x:c r="B27" s="196" t="str">
        <x:v>USD</x:v>
      </x:c>
      <x:c r="C27" s="213" t="n">
        <x:f t="shared" ref="C27:N27" si="33">SUM(C5:C6)*$C$91</x:f>
        <x:v>0</x:v>
      </x:c>
      <x:c r="D27" s="213" t="n">
        <x:f t="shared" si="33">SUM(D5:D6)*$C$91</x:f>
        <x:v>0</x:v>
      </x:c>
      <x:c r="E27" s="213" t="n">
        <x:f t="shared" si="33">SUM(E5:E6)*$C$91</x:f>
        <x:v>0</x:v>
      </x:c>
      <x:c r="F27" s="213" t="n">
        <x:f t="shared" si="33">SUM(F5:F6)*$C$91</x:f>
        <x:v>0</x:v>
      </x:c>
      <x:c r="G27" s="213" t="n">
        <x:f t="shared" si="33">SUM(G5:G6)*$C$91</x:f>
        <x:v>0</x:v>
      </x:c>
      <x:c r="H27" s="213" t="n">
        <x:f t="shared" si="33">SUM(H5:H6)*$C$91</x:f>
        <x:v>0</x:v>
      </x:c>
      <x:c r="I27" s="213" t="n">
        <x:f t="shared" si="33">SUM(I5:I6)*$C$91</x:f>
        <x:v>0</x:v>
      </x:c>
      <x:c r="J27" s="213" t="n">
        <x:f t="shared" si="33">SUM(J5:J6)*$C$91</x:f>
        <x:v>0</x:v>
      </x:c>
      <x:c r="K27" s="213" t="n">
        <x:f t="shared" si="33">SUM(K5:K6)*$C$91</x:f>
        <x:v>0</x:v>
      </x:c>
      <x:c r="L27" s="213" t="n">
        <x:f t="shared" si="33">SUM(L5:L6)*$C$91</x:f>
        <x:v>0</x:v>
      </x:c>
      <x:c r="M27" s="213" t="n">
        <x:f t="shared" si="33">SUM(M5:M6)*$C$91</x:f>
        <x:v>0</x:v>
      </x:c>
      <x:c r="N27" s="213" t="n">
        <x:f t="shared" si="33">SUM(N5:N6)*$C$91</x:f>
        <x:v>0</x:v>
      </x:c>
      <x:c r="O27" s="213" t="n">
        <x:f>SUM(C27:N27)</x:f>
        <x:v>0</x:v>
      </x:c>
      <x:c r="P27" s="213" t="n">
        <x:f t="shared" ref="P27:R27" si="34">SUM(P5:P6)*$C$91</x:f>
        <x:v>22668</x:v>
      </x:c>
      <x:c r="Q27" s="213" t="n">
        <x:f t="shared" si="34">SUM(Q5:Q6)*$C$91</x:f>
        <x:v>76502</x:v>
      </x:c>
      <x:c r="R27" s="213" t="n">
        <x:f t="shared" si="34">SUM(R5:R6)*$C$91</x:f>
        <x:v>178430</x:v>
      </x:c>
    </x:row>
    <x:row r="28" ht="21" customHeight="1">
      <x:c r="A28" s="198" t="str">
        <x:v>Equipo y servicios de desarrollo</x:v>
      </x:c>
      <x:c r="B28" s="199" t="str">
        <x:v>USD</x:v>
      </x:c>
      <x:c r="C28" s="214" t="n">
        <x:f t="shared" ref="C28:N28" si="35">SUM(C29:C37)</x:f>
        <x:v>13700</x:v>
      </x:c>
      <x:c r="D28" s="214" t="n">
        <x:f t="shared" si="35">SUM(D29:D37)</x:f>
        <x:v>13200</x:v>
      </x:c>
      <x:c r="E28" s="214" t="n">
        <x:f t="shared" si="35">SUM(E29:E37)</x:f>
        <x:v>13200</x:v>
      </x:c>
      <x:c r="F28" s="214" t="n">
        <x:f t="shared" si="35">SUM(F29:F37)</x:f>
        <x:v>15200</x:v>
      </x:c>
      <x:c r="G28" s="214" t="n">
        <x:f t="shared" si="35">SUM(G29:G37)</x:f>
        <x:v>13200</x:v>
      </x:c>
      <x:c r="H28" s="214" t="n">
        <x:f t="shared" si="35">SUM(H29:H37)</x:f>
        <x:v>13200</x:v>
      </x:c>
      <x:c r="I28" s="214" t="n">
        <x:f t="shared" si="35">SUM(I29:I37)</x:f>
        <x:v>17200</x:v>
      </x:c>
      <x:c r="J28" s="214" t="n">
        <x:f t="shared" si="35">SUM(J29:J37)</x:f>
        <x:v>15200</x:v>
      </x:c>
      <x:c r="K28" s="214" t="n">
        <x:f t="shared" si="35">SUM(K29:K37)</x:f>
        <x:v>15200</x:v>
      </x:c>
      <x:c r="L28" s="214" t="n">
        <x:f t="shared" si="35">SUM(L29:L37)</x:f>
        <x:v>15700</x:v>
      </x:c>
      <x:c r="M28" s="214" t="n">
        <x:f t="shared" si="35">SUM(M29:M37)</x:f>
        <x:v>11700</x:v>
      </x:c>
      <x:c r="N28" s="214" t="n">
        <x:f t="shared" si="35">SUM(N29:N37)</x:f>
        <x:v>18500</x:v>
      </x:c>
      <x:c r="O28" s="214" t="n">
        <x:f>SUM(C28:N28)</x:f>
        <x:v>175200</x:v>
      </x:c>
      <x:c r="P28" s="214" t="n">
        <x:f t="shared" ref="P28:R28" si="36">SUM(P29:P37)</x:f>
        <x:v>15528.288191304466</x:v>
      </x:c>
      <x:c r="Q28" s="214" t="n">
        <x:f t="shared" si="36">SUM(Q29:Q37)</x:f>
        <x:v>43116.58389297663</x:v>
      </x:c>
      <x:c r="R28" s="215" t="n">
        <x:f t="shared" si="36">SUM(R29:R37)</x:f>
        <x:v>96905.69103879345</x:v>
      </x:c>
    </x:row>
    <x:row r="29" ht="21" customHeight="1">
      <x:c r="A29" s="200" t="str">
        <x:v>Equipo de ingeniería (2 FTE)</x:v>
      </x:c>
      <x:c r="B29" s="196" t="str">
        <x:v>USD</x:v>
      </x:c>
      <x:c r="C29" s="213" t="n">
        <x:f t="shared" ref="C29:N29" si="37">$C$71*$C$73*$C$77/$C$78</x:f>
        <x:v>6533.333333333333</x:v>
      </x:c>
      <x:c r="D29" s="213" t="n">
        <x:f t="shared" si="37">$C$71*$C$73*$C$77/$C$78</x:f>
        <x:v>6533.333333333333</x:v>
      </x:c>
      <x:c r="E29" s="213" t="n">
        <x:f t="shared" si="37">$C$71*$C$73*$C$77/$C$78</x:f>
        <x:v>6533.333333333333</x:v>
      </x:c>
      <x:c r="F29" s="213" t="n">
        <x:f t="shared" si="37">$C$71*$C$73*$C$77/$C$78</x:f>
        <x:v>6533.333333333333</x:v>
      </x:c>
      <x:c r="G29" s="213" t="n">
        <x:f t="shared" si="37">$C$71*$C$73*$C$77/$C$78</x:f>
        <x:v>6533.333333333333</x:v>
      </x:c>
      <x:c r="H29" s="213" t="n">
        <x:f t="shared" si="37">$C$71*$C$73*$C$77/$C$78</x:f>
        <x:v>6533.333333333333</x:v>
      </x:c>
      <x:c r="I29" s="213" t="n">
        <x:f t="shared" si="37">$C$71*$C$73*$C$77/$C$78</x:f>
        <x:v>6533.333333333333</x:v>
      </x:c>
      <x:c r="J29" s="213" t="n">
        <x:f t="shared" si="37">$C$71*$C$73*$C$77/$C$78</x:f>
        <x:v>6533.333333333333</x:v>
      </x:c>
      <x:c r="K29" s="213" t="n">
        <x:f t="shared" si="37">$C$71*$C$73*$C$77/$C$78</x:f>
        <x:v>6533.333333333333</x:v>
      </x:c>
      <x:c r="L29" s="213" t="n">
        <x:f t="shared" si="37">$C$71*$C$73*$C$77/$C$78</x:f>
        <x:v>6533.333333333333</x:v>
      </x:c>
      <x:c r="M29" s="213" t="n">
        <x:f t="shared" si="37">$C$71*$C$73*$C$77/$C$78</x:f>
        <x:v>6533.333333333333</x:v>
      </x:c>
      <x:c r="N29" s="213" t="n">
        <x:f t="shared" si="37">$C$71*$C$73*$C$77/$C$78</x:f>
        <x:v>6533.333333333333</x:v>
      </x:c>
      <x:c r="O29" s="213" t="n">
        <x:f>SUM(C29:N29)</x:f>
        <x:v>78400</x:v>
      </x:c>
      <x:c r="P29" s="213" t="n">
        <x:f>0</x:f>
        <x:v>0</x:v>
      </x:c>
      <x:c r="Q29" s="213" t="n">
        <x:f>0</x:f>
        <x:v>0</x:v>
      </x:c>
      <x:c r="R29" s="213" t="n">
        <x:f>0</x:f>
        <x:v>0</x:v>
      </x:c>
    </x:row>
    <x:row r="30" ht="21" customHeight="1">
      <x:c r="A30" s="200" t="str">
        <x:v>Equipo técnico/administrativo (2 FTE)</x:v>
      </x:c>
      <x:c r="B30" s="196" t="str">
        <x:v>USD</x:v>
      </x:c>
      <x:c r="C30" s="213" t="n">
        <x:f t="shared" ref="C30:N30" si="38">$C$72*$C$74*$C$77/$C$78</x:f>
        <x:v>4666.666666666667</x:v>
      </x:c>
      <x:c r="D30" s="213" t="n">
        <x:f t="shared" si="38">$C$72*$C$74*$C$77/$C$78</x:f>
        <x:v>4666.666666666667</x:v>
      </x:c>
      <x:c r="E30" s="213" t="n">
        <x:f t="shared" si="38">$C$72*$C$74*$C$77/$C$78</x:f>
        <x:v>4666.666666666667</x:v>
      </x:c>
      <x:c r="F30" s="213" t="n">
        <x:f t="shared" si="38">$C$72*$C$74*$C$77/$C$78</x:f>
        <x:v>4666.666666666667</x:v>
      </x:c>
      <x:c r="G30" s="213" t="n">
        <x:f t="shared" si="38">$C$72*$C$74*$C$77/$C$78</x:f>
        <x:v>4666.666666666667</x:v>
      </x:c>
      <x:c r="H30" s="213" t="n">
        <x:f t="shared" si="38">$C$72*$C$74*$C$77/$C$78</x:f>
        <x:v>4666.666666666667</x:v>
      </x:c>
      <x:c r="I30" s="213" t="n">
        <x:f t="shared" si="38">$C$72*$C$74*$C$77/$C$78</x:f>
        <x:v>4666.666666666667</x:v>
      </x:c>
      <x:c r="J30" s="213" t="n">
        <x:f t="shared" si="38">$C$72*$C$74*$C$77/$C$78</x:f>
        <x:v>4666.666666666667</x:v>
      </x:c>
      <x:c r="K30" s="213" t="n">
        <x:f t="shared" si="38">$C$72*$C$74*$C$77/$C$78</x:f>
        <x:v>4666.666666666667</x:v>
      </x:c>
      <x:c r="L30" s="213" t="n">
        <x:f t="shared" si="38">$C$72*$C$74*$C$77/$C$78</x:f>
        <x:v>4666.666666666667</x:v>
      </x:c>
      <x:c r="M30" s="213" t="n">
        <x:f t="shared" si="38">$C$72*$C$74*$C$77/$C$78</x:f>
        <x:v>4666.666666666667</x:v>
      </x:c>
      <x:c r="N30" s="213" t="n">
        <x:f t="shared" si="38">$C$72*$C$74*$C$77/$C$78</x:f>
        <x:v>4666.666666666667</x:v>
      </x:c>
      <x:c r="O30" s="213" t="n">
        <x:f>SUM(C30:N30)</x:f>
        <x:v>55999.99999999999</x:v>
      </x:c>
      <x:c r="P30" s="213" t="n">
        <x:f>0</x:f>
        <x:v>0</x:v>
      </x:c>
      <x:c r="Q30" s="213" t="n">
        <x:f>0</x:f>
        <x:v>0</x:v>
      </x:c>
      <x:c r="R30" s="213" t="n">
        <x:f>0</x:f>
        <x:v>0</x:v>
      </x:c>
    </x:row>
    <x:row r="31" ht="21" customHeight="1">
      <x:c r="A31" s="200" t="str">
        <x:v>Laboratorio y asesoramiento bioquímico</x:v>
      </x:c>
      <x:c r="B31" s="196" t="str">
        <x:v>USD</x:v>
      </x:c>
      <x:c r="C31" s="213" t="n">
        <x:f t="shared" ref="C31:N31" si="39">0</x:f>
        <x:v>0</x:v>
      </x:c>
      <x:c r="D31" s="213" t="n">
        <x:f t="shared" si="39">$C$87/8</x:f>
        <x:v>1500</x:v>
      </x:c>
      <x:c r="E31" s="213" t="n">
        <x:f t="shared" si="39">$C$87/8</x:f>
        <x:v>1500</x:v>
      </x:c>
      <x:c r="F31" s="213" t="n">
        <x:f t="shared" si="39">$C$87/8</x:f>
        <x:v>1500</x:v>
      </x:c>
      <x:c r="G31" s="213" t="n">
        <x:f t="shared" si="39">$C$87/8</x:f>
        <x:v>1500</x:v>
      </x:c>
      <x:c r="H31" s="213" t="n">
        <x:f t="shared" si="39">$C$87/8</x:f>
        <x:v>1500</x:v>
      </x:c>
      <x:c r="I31" s="213" t="n">
        <x:f t="shared" si="39">$C$87/8</x:f>
        <x:v>1500</x:v>
      </x:c>
      <x:c r="J31" s="213" t="n">
        <x:f t="shared" si="39">$C$87/8</x:f>
        <x:v>1500</x:v>
      </x:c>
      <x:c r="K31" s="213" t="n">
        <x:f t="shared" si="39">$C$87/8</x:f>
        <x:v>1500</x:v>
      </x:c>
      <x:c r="L31" s="213" t="n">
        <x:f t="shared" si="39">0</x:f>
        <x:v>0</x:v>
      </x:c>
      <x:c r="M31" s="213" t="n">
        <x:f t="shared" si="39">0</x:f>
        <x:v>0</x:v>
      </x:c>
      <x:c r="N31" s="213" t="n">
        <x:f t="shared" si="39">0</x:f>
        <x:v>0</x:v>
      </x:c>
      <x:c r="O31" s="213" t="n">
        <x:f>SUM(C31:N31)</x:f>
        <x:v>12000</x:v>
      </x:c>
      <x:c r="P31" s="213" t="n">
        <x:f>0</x:f>
        <x:v>0</x:v>
      </x:c>
      <x:c r="Q31" s="213" t="n">
        <x:f>0</x:f>
        <x:v>0</x:v>
      </x:c>
      <x:c r="R31" s="213" t="n">
        <x:f>0</x:f>
        <x:v>0</x:v>
      </x:c>
    </x:row>
    <x:row r="32" ht="21" customHeight="1">
      <x:c r="A32" s="200" t="str">
        <x:v>Consultas médicas, legales y regulatorias</x:v>
      </x:c>
      <x:c r="B32" s="196" t="str">
        <x:v>USD</x:v>
      </x:c>
      <x:c r="C32" s="213" t="n">
        <x:f t="shared" ref="C32:N32" si="40">$C$88/5</x:f>
        <x:v>2000</x:v>
      </x:c>
      <x:c r="D32" s="213" t="n">
        <x:f t="shared" si="40">0</x:f>
        <x:v>0</x:v>
      </x:c>
      <x:c r="E32" s="213" t="n">
        <x:f t="shared" si="40">0</x:f>
        <x:v>0</x:v>
      </x:c>
      <x:c r="F32" s="213" t="n">
        <x:f t="shared" si="40">$C$88/5</x:f>
        <x:v>2000</x:v>
      </x:c>
      <x:c r="G32" s="213" t="n">
        <x:f t="shared" si="40">0</x:f>
        <x:v>0</x:v>
      </x:c>
      <x:c r="H32" s="213" t="n">
        <x:f t="shared" si="40">0</x:f>
        <x:v>0</x:v>
      </x:c>
      <x:c r="I32" s="213" t="n">
        <x:f t="shared" si="40">$C$88/5</x:f>
        <x:v>2000</x:v>
      </x:c>
      <x:c r="J32" s="213" t="n">
        <x:f t="shared" si="40">0</x:f>
        <x:v>0</x:v>
      </x:c>
      <x:c r="K32" s="213" t="n">
        <x:f t="shared" si="40">0</x:f>
        <x:v>0</x:v>
      </x:c>
      <x:c r="L32" s="213" t="n">
        <x:f t="shared" si="40">$C$88/5</x:f>
        <x:v>2000</x:v>
      </x:c>
      <x:c r="M32" s="213" t="n">
        <x:f t="shared" si="40">0</x:f>
        <x:v>0</x:v>
      </x:c>
      <x:c r="N32" s="213" t="n">
        <x:f t="shared" si="40">$C$88/5</x:f>
        <x:v>2000</x:v>
      </x:c>
      <x:c r="O32" s="213" t="n">
        <x:f>SUM(C32:N32)</x:f>
        <x:v>10000</x:v>
      </x:c>
      <x:c r="P32" s="213" t="n">
        <x:f>0</x:f>
        <x:v>0</x:v>
      </x:c>
      <x:c r="Q32" s="213" t="n">
        <x:f>0</x:f>
        <x:v>0</x:v>
      </x:c>
      <x:c r="R32" s="213" t="n">
        <x:f>0</x:f>
        <x:v>0</x:v>
      </x:c>
    </x:row>
    <x:row r="33" ht="21" customHeight="1">
      <x:c r="A33" s="200" t="str">
        <x:v>QA y validación técnica externa</x:v>
      </x:c>
      <x:c r="B33" s="196" t="str">
        <x:v>USD</x:v>
      </x:c>
      <x:c r="C33" s="213" t="n">
        <x:f t="shared" ref="C33:N33" si="41">0</x:f>
        <x:v>0</x:v>
      </x:c>
      <x:c r="D33" s="213" t="n">
        <x:f t="shared" si="41">0</x:f>
        <x:v>0</x:v>
      </x:c>
      <x:c r="E33" s="213" t="n">
        <x:f t="shared" si="41">0</x:f>
        <x:v>0</x:v>
      </x:c>
      <x:c r="F33" s="213" t="n">
        <x:f t="shared" si="41">0</x:f>
        <x:v>0</x:v>
      </x:c>
      <x:c r="G33" s="213" t="n">
        <x:f t="shared" si="41">0</x:f>
        <x:v>0</x:v>
      </x:c>
      <x:c r="H33" s="213" t="n">
        <x:f t="shared" si="41">0</x:f>
        <x:v>0</x:v>
      </x:c>
      <x:c r="I33" s="213" t="n">
        <x:f t="shared" si="41">$C$89/4</x:f>
        <x:v>2000</x:v>
      </x:c>
      <x:c r="J33" s="213" t="n">
        <x:f t="shared" si="41">$C$89/4</x:f>
        <x:v>2000</x:v>
      </x:c>
      <x:c r="K33" s="213" t="n">
        <x:f t="shared" si="41">$C$89/4</x:f>
        <x:v>2000</x:v>
      </x:c>
      <x:c r="L33" s="213" t="n">
        <x:f t="shared" si="41">$C$89/4</x:f>
        <x:v>2000</x:v>
      </x:c>
      <x:c r="M33" s="213" t="n">
        <x:f t="shared" si="41">0</x:f>
        <x:v>0</x:v>
      </x:c>
      <x:c r="N33" s="213" t="n">
        <x:f t="shared" si="41">0</x:f>
        <x:v>0</x:v>
      </x:c>
      <x:c r="O33" s="213" t="n">
        <x:f>SUM(C33:N33)</x:f>
        <x:v>8000</x:v>
      </x:c>
      <x:c r="P33" s="213" t="n">
        <x:f>0</x:f>
        <x:v>0</x:v>
      </x:c>
      <x:c r="Q33" s="213" t="n">
        <x:f>0</x:f>
        <x:v>0</x:v>
      </x:c>
      <x:c r="R33" s="213" t="n">
        <x:f>0</x:f>
        <x:v>0</x:v>
      </x:c>
    </x:row>
    <x:row r="34" ht="21" customHeight="1">
      <x:c r="A34" s="200" t="str">
        <x:v>Herramientas, nube y licencias</x:v>
      </x:c>
      <x:c r="B34" s="196" t="str">
        <x:v>USD</x:v>
      </x:c>
      <x:c r="C34" s="213" t="n">
        <x:f t="shared" ref="C34:N34" si="42">$C$103</x:f>
        <x:v>500</x:v>
      </x:c>
      <x:c r="D34" s="213" t="n">
        <x:f t="shared" si="42">$C$103</x:f>
        <x:v>500</x:v>
      </x:c>
      <x:c r="E34" s="213" t="n">
        <x:f t="shared" si="42">$C$103</x:f>
        <x:v>500</x:v>
      </x:c>
      <x:c r="F34" s="213" t="n">
        <x:f t="shared" si="42">$C$103</x:f>
        <x:v>500</x:v>
      </x:c>
      <x:c r="G34" s="213" t="n">
        <x:f t="shared" si="42">$C$103</x:f>
        <x:v>500</x:v>
      </x:c>
      <x:c r="H34" s="213" t="n">
        <x:f t="shared" si="42">$C$103</x:f>
        <x:v>500</x:v>
      </x:c>
      <x:c r="I34" s="213" t="n">
        <x:f t="shared" si="42">$C$103</x:f>
        <x:v>500</x:v>
      </x:c>
      <x:c r="J34" s="213" t="n">
        <x:f t="shared" si="42">$C$103</x:f>
        <x:v>500</x:v>
      </x:c>
      <x:c r="K34" s="213" t="n">
        <x:f t="shared" si="42">$C$103</x:f>
        <x:v>500</x:v>
      </x:c>
      <x:c r="L34" s="213" t="n">
        <x:f t="shared" si="42">$C$103</x:f>
        <x:v>500</x:v>
      </x:c>
      <x:c r="M34" s="213" t="n">
        <x:f t="shared" si="42">$C$103</x:f>
        <x:v>500</x:v>
      </x:c>
      <x:c r="N34" s="213" t="n">
        <x:f t="shared" si="42">$C$103</x:f>
        <x:v>500</x:v>
      </x:c>
      <x:c r="O34" s="213" t="n">
        <x:f>SUM(C34:N34)</x:f>
        <x:v>6000</x:v>
      </x:c>
      <x:c r="P34" s="213" t="n">
        <x:f>$C$103*12</x:f>
        <x:v>6000</x:v>
      </x:c>
      <x:c r="Q34" s="213" t="n">
        <x:f>$C$103*12</x:f>
        <x:v>6000</x:v>
      </x:c>
      <x:c r="R34" s="213" t="n">
        <x:f>$C$103*12</x:f>
        <x:v>6000</x:v>
      </x:c>
    </x:row>
    <x:row r="35" ht="21" customHeight="1">
      <x:c r="A35" s="200" t="str">
        <x:v>Reserva de contingencia técnica</x:v>
      </x:c>
      <x:c r="B35" s="196" t="str">
        <x:v>USD</x:v>
      </x:c>
      <x:c r="C35" s="213" t="n">
        <x:f t="shared" ref="C35:N35" si="43">0</x:f>
        <x:v>0</x:v>
      </x:c>
      <x:c r="D35" s="213" t="n">
        <x:f t="shared" si="43">0</x:f>
        <x:v>0</x:v>
      </x:c>
      <x:c r="E35" s="213" t="n">
        <x:f t="shared" si="43">0</x:f>
        <x:v>0</x:v>
      </x:c>
      <x:c r="F35" s="213" t="n">
        <x:f t="shared" si="43">0</x:f>
        <x:v>0</x:v>
      </x:c>
      <x:c r="G35" s="213" t="n">
        <x:f t="shared" si="43">0</x:f>
        <x:v>0</x:v>
      </x:c>
      <x:c r="H35" s="213" t="n">
        <x:f t="shared" si="43">0</x:f>
        <x:v>0</x:v>
      </x:c>
      <x:c r="I35" s="213" t="n">
        <x:f t="shared" si="43">0</x:f>
        <x:v>0</x:v>
      </x:c>
      <x:c r="J35" s="213" t="n">
        <x:f t="shared" si="43">0</x:f>
        <x:v>0</x:v>
      </x:c>
      <x:c r="K35" s="213" t="n">
        <x:f t="shared" si="43">0</x:f>
        <x:v>0</x:v>
      </x:c>
      <x:c r="L35" s="213" t="n">
        <x:f t="shared" si="43">0</x:f>
        <x:v>0</x:v>
      </x:c>
      <x:c r="M35" s="213" t="n">
        <x:f t="shared" si="43">0</x:f>
        <x:v>0</x:v>
      </x:c>
      <x:c r="N35" s="213" t="n">
        <x:f t="shared" si="43">SUM(C18:N20,C31:N34)*$C$104</x:f>
        <x:v>4800</x:v>
      </x:c>
      <x:c r="O35" s="213" t="n">
        <x:f>SUM(C35:N35)</x:f>
        <x:v>4800</x:v>
      </x:c>
      <x:c r="P35" s="213" t="n">
        <x:f>0</x:f>
        <x:v>0</x:v>
      </x:c>
      <x:c r="Q35" s="213" t="n">
        <x:f>0</x:f>
        <x:v>0</x:v>
      </x:c>
      <x:c r="R35" s="213" t="n">
        <x:f>0</x:f>
        <x:v>0</x:v>
      </x:c>
    </x:row>
    <x:row r="36" ht="21" customHeight="1">
      <x:c r="A36" s="200" t="str">
        <x:v>Coordinación y documentación (incluida en FTE)</x:v>
      </x:c>
      <x:c r="B36" s="196" t="str">
        <x:v>USD</x:v>
      </x:c>
      <x:c r="C36" s="213" t="n">
        <x:f t="shared" ref="C36:N36" si="44">0</x:f>
        <x:v>0</x:v>
      </x:c>
      <x:c r="D36" s="213" t="n">
        <x:f t="shared" si="44">0</x:f>
        <x:v>0</x:v>
      </x:c>
      <x:c r="E36" s="213" t="n">
        <x:f t="shared" si="44">0</x:f>
        <x:v>0</x:v>
      </x:c>
      <x:c r="F36" s="213" t="n">
        <x:f t="shared" si="44">0</x:f>
        <x:v>0</x:v>
      </x:c>
      <x:c r="G36" s="213" t="n">
        <x:f t="shared" si="44">0</x:f>
        <x:v>0</x:v>
      </x:c>
      <x:c r="H36" s="213" t="n">
        <x:f t="shared" si="44">0</x:f>
        <x:v>0</x:v>
      </x:c>
      <x:c r="I36" s="213" t="n">
        <x:f t="shared" si="44">0</x:f>
        <x:v>0</x:v>
      </x:c>
      <x:c r="J36" s="213" t="n">
        <x:f t="shared" si="44">0</x:f>
        <x:v>0</x:v>
      </x:c>
      <x:c r="K36" s="213" t="n">
        <x:f t="shared" si="44">0</x:f>
        <x:v>0</x:v>
      </x:c>
      <x:c r="L36" s="213" t="n">
        <x:f t="shared" si="44">0</x:f>
        <x:v>0</x:v>
      </x:c>
      <x:c r="M36" s="213" t="n">
        <x:f t="shared" si="44">0</x:f>
        <x:v>0</x:v>
      </x:c>
      <x:c r="N36" s="213" t="n">
        <x:f t="shared" si="44">0</x:f>
        <x:v>0</x:v>
      </x:c>
      <x:c r="O36" s="213" t="n">
        <x:f>SUM(C36:N36)</x:f>
        <x:v>0</x:v>
      </x:c>
      <x:c r="P36" s="213" t="n">
        <x:f>0</x:f>
        <x:v>0</x:v>
      </x:c>
      <x:c r="Q36" s="213" t="n">
        <x:f>0</x:f>
        <x:v>0</x:v>
      </x:c>
      <x:c r="R36" s="213" t="n">
        <x:f>0</x:f>
        <x:v>0</x:v>
      </x:c>
    </x:row>
    <x:row r="37" ht="21" customHeight="1">
      <x:c r="A37" s="200" t="str">
        <x:v>Soporte y mantenimiento</x:v>
      </x:c>
      <x:c r="B37" s="196" t="str">
        <x:v>USD</x:v>
      </x:c>
      <x:c r="C37" s="213" t="n">
        <x:f t="shared" ref="C37:H37" si="45">0</x:f>
        <x:v>0</x:v>
      </x:c>
      <x:c r="D37" s="213" t="n">
        <x:f t="shared" si="45">0</x:f>
        <x:v>0</x:v>
      </x:c>
      <x:c r="E37" s="213" t="n">
        <x:f t="shared" si="45">0</x:f>
        <x:v>0</x:v>
      </x:c>
      <x:c r="F37" s="213" t="n">
        <x:f t="shared" si="45">0</x:f>
        <x:v>0</x:v>
      </x:c>
      <x:c r="G37" s="213" t="n">
        <x:f t="shared" si="45">0</x:f>
        <x:v>0</x:v>
      </x:c>
      <x:c r="H37" s="213" t="n">
        <x:f t="shared" si="45">0</x:f>
        <x:v>0</x:v>
      </x:c>
      <x:c r="I37" s="213" t="n">
        <x:f t="shared" ref="I37:N37" si="46">0</x:f>
        <x:v>0</x:v>
      </x:c>
      <x:c r="J37" s="213" t="n">
        <x:f t="shared" si="46">0</x:f>
        <x:v>0</x:v>
      </x:c>
      <x:c r="K37" s="213" t="n">
        <x:f t="shared" si="46">0</x:f>
        <x:v>0</x:v>
      </x:c>
      <x:c r="L37" s="213" t="n">
        <x:f t="shared" si="46">0</x:f>
        <x:v>0</x:v>
      </x:c>
      <x:c r="M37" s="213" t="n">
        <x:f t="shared" si="46">0</x:f>
        <x:v>0</x:v>
      </x:c>
      <x:c r="N37" s="213" t="n">
        <x:f t="shared" si="46">0</x:f>
        <x:v>0</x:v>
      </x:c>
      <x:c r="O37" s="213" t="n">
        <x:f>SUM(C37:N37)</x:f>
        <x:v>0</x:v>
      </x:c>
      <x:c r="P37" s="213" t="n">
        <x:f t="shared" ref="P37:R37" si="47">P60*$C$94/100*$C$95*12</x:f>
        <x:v>9528.288191304466</x:v>
      </x:c>
      <x:c r="Q37" s="213" t="n">
        <x:f t="shared" si="47">Q60*$C$94/100*$C$95*12</x:f>
        <x:v>37116.58389297663</x:v>
      </x:c>
      <x:c r="R37" s="213" t="n">
        <x:f t="shared" si="47">R60*$C$94/100*$C$95*12</x:f>
        <x:v>90905.69103879345</x:v>
      </x:c>
    </x:row>
    <x:row r="38" ht="21" customHeight="1">
      <x:c r="A38" s="198" t="str">
        <x:v>Administración y lanzamiento</x:v>
      </x:c>
      <x:c r="B38" s="199" t="str">
        <x:v>USD</x:v>
      </x:c>
      <x:c r="C38" s="214" t="n">
        <x:f t="shared" ref="C38:N38" si="48">SUM(C39:C40)</x:f>
        <x:v>0</x:v>
      </x:c>
      <x:c r="D38" s="214" t="n">
        <x:f t="shared" si="48">SUM(D39:D40)</x:f>
        <x:v>0</x:v>
      </x:c>
      <x:c r="E38" s="214" t="n">
        <x:f t="shared" si="48">SUM(E39:E40)</x:f>
        <x:v>0</x:v>
      </x:c>
      <x:c r="F38" s="214" t="n">
        <x:f t="shared" si="48">SUM(F39:F40)</x:f>
        <x:v>0</x:v>
      </x:c>
      <x:c r="G38" s="214" t="n">
        <x:f t="shared" si="48">SUM(G39:G40)</x:f>
        <x:v>0</x:v>
      </x:c>
      <x:c r="H38" s="214" t="n">
        <x:f t="shared" si="48">SUM(H39:H40)</x:f>
        <x:v>0</x:v>
      </x:c>
      <x:c r="I38" s="214" t="n">
        <x:f t="shared" si="48">SUM(I39:I40)</x:f>
        <x:v>0</x:v>
      </x:c>
      <x:c r="J38" s="214" t="n">
        <x:f t="shared" si="48">SUM(J39:J40)</x:f>
        <x:v>0</x:v>
      </x:c>
      <x:c r="K38" s="214" t="n">
        <x:f t="shared" si="48">SUM(K39:K40)</x:f>
        <x:v>0</x:v>
      </x:c>
      <x:c r="L38" s="214" t="n">
        <x:f t="shared" si="48">SUM(L39:L40)</x:f>
        <x:v>0</x:v>
      </x:c>
      <x:c r="M38" s="214" t="n">
        <x:f t="shared" si="48">SUM(M39:M40)</x:f>
        <x:v>0</x:v>
      </x:c>
      <x:c r="N38" s="214" t="n">
        <x:f t="shared" si="48">SUM(N39:N40)</x:f>
        <x:v>0</x:v>
      </x:c>
      <x:c r="O38" s="214" t="n">
        <x:f>SUM(C38:N38)</x:f>
        <x:v>0</x:v>
      </x:c>
      <x:c r="P38" s="214" t="n">
        <x:f t="shared" ref="P38:R38" si="49">SUM(P39:P40)</x:f>
        <x:v>54000</x:v>
      </x:c>
      <x:c r="Q38" s="214" t="n">
        <x:f t="shared" si="49">SUM(Q39:Q40)</x:f>
        <x:v>102000</x:v>
      </x:c>
      <x:c r="R38" s="215" t="n">
        <x:f t="shared" si="49">SUM(R39:R40)</x:f>
        <x:v>150000</x:v>
      </x:c>
    </x:row>
    <x:row r="39" ht="21" customHeight="1">
      <x:c r="A39" s="196" t="str">
        <x:v>Equipo comercial fijo</x:v>
      </x:c>
      <x:c r="B39" s="196" t="str">
        <x:v>USD</x:v>
      </x:c>
      <x:c r="C39" s="213" t="n">
        <x:f t="shared" ref="C39:N39" si="50">0</x:f>
        <x:v>0</x:v>
      </x:c>
      <x:c r="D39" s="213" t="n">
        <x:f t="shared" si="50">0</x:f>
        <x:v>0</x:v>
      </x:c>
      <x:c r="E39" s="213" t="n">
        <x:f t="shared" si="50">0</x:f>
        <x:v>0</x:v>
      </x:c>
      <x:c r="F39" s="213" t="n">
        <x:f t="shared" si="50">0</x:f>
        <x:v>0</x:v>
      </x:c>
      <x:c r="G39" s="213" t="n">
        <x:f t="shared" si="50">0</x:f>
        <x:v>0</x:v>
      </x:c>
      <x:c r="H39" s="213" t="n">
        <x:f t="shared" si="50">0</x:f>
        <x:v>0</x:v>
      </x:c>
      <x:c r="I39" s="213" t="n">
        <x:f t="shared" si="50">0</x:f>
        <x:v>0</x:v>
      </x:c>
      <x:c r="J39" s="213" t="n">
        <x:f t="shared" si="50">0</x:f>
        <x:v>0</x:v>
      </x:c>
      <x:c r="K39" s="213" t="n">
        <x:f t="shared" si="50">0</x:f>
        <x:v>0</x:v>
      </x:c>
      <x:c r="L39" s="213" t="n">
        <x:f t="shared" si="50">0</x:f>
        <x:v>0</x:v>
      </x:c>
      <x:c r="M39" s="213" t="n">
        <x:f t="shared" si="50">0</x:f>
        <x:v>0</x:v>
      </x:c>
      <x:c r="N39" s="213" t="n">
        <x:f t="shared" si="50">0</x:f>
        <x:v>0</x:v>
      </x:c>
      <x:c r="O39" s="213" t="n">
        <x:f>SUM(C39:N39)</x:f>
        <x:v>0</x:v>
      </x:c>
      <x:c r="P39" s="213" t="n">
        <x:f t="shared" ref="P39:R39" si="51">P133*$C$92*12</x:f>
        <x:v>30000</x:v>
      </x:c>
      <x:c r="Q39" s="213" t="n">
        <x:f t="shared" si="51">Q133*$C$92*12</x:f>
        <x:v>60000</x:v>
      </x:c>
      <x:c r="R39" s="213" t="n">
        <x:f t="shared" si="51">R133*$C$92*12</x:f>
        <x:v>90000</x:v>
      </x:c>
    </x:row>
    <x:row r="40" ht="21" customHeight="1">
      <x:c r="A40" s="196" t="str">
        <x:v>Difusión y desarrollo de canales</x:v>
      </x:c>
      <x:c r="B40" s="196" t="str">
        <x:v>USD</x:v>
      </x:c>
      <x:c r="C40" s="213" t="n">
        <x:f t="shared" ref="C40:H40" si="52">0</x:f>
        <x:v>0</x:v>
      </x:c>
      <x:c r="D40" s="213" t="n">
        <x:f t="shared" si="52">0</x:f>
        <x:v>0</x:v>
      </x:c>
      <x:c r="E40" s="213" t="n">
        <x:f t="shared" si="52">0</x:f>
        <x:v>0</x:v>
      </x:c>
      <x:c r="F40" s="213" t="n">
        <x:f t="shared" si="52">0</x:f>
        <x:v>0</x:v>
      </x:c>
      <x:c r="G40" s="213" t="n">
        <x:f t="shared" si="52">0</x:f>
        <x:v>0</x:v>
      </x:c>
      <x:c r="H40" s="213" t="n">
        <x:f t="shared" si="52">0</x:f>
        <x:v>0</x:v>
      </x:c>
      <x:c r="I40" s="213" t="n">
        <x:f t="shared" ref="I40:N40" si="53">0</x:f>
        <x:v>0</x:v>
      </x:c>
      <x:c r="J40" s="213" t="n">
        <x:f t="shared" si="53">0</x:f>
        <x:v>0</x:v>
      </x:c>
      <x:c r="K40" s="213" t="n">
        <x:f t="shared" si="53">0</x:f>
        <x:v>0</x:v>
      </x:c>
      <x:c r="L40" s="213" t="n">
        <x:f t="shared" si="53">0</x:f>
        <x:v>0</x:v>
      </x:c>
      <x:c r="M40" s="213" t="n">
        <x:f t="shared" si="53">0</x:f>
        <x:v>0</x:v>
      </x:c>
      <x:c r="N40" s="213" t="n">
        <x:f t="shared" si="53">0</x:f>
        <x:v>0</x:v>
      </x:c>
      <x:c r="O40" s="213" t="n">
        <x:f>SUM(C40:N40)</x:f>
        <x:v>0</x:v>
      </x:c>
      <x:c r="P40" s="213" t="n">
        <x:f t="shared" ref="P40:R40" si="54">P134*12</x:f>
        <x:v>24000</x:v>
      </x:c>
      <x:c r="Q40" s="213" t="n">
        <x:f t="shared" si="54">Q134*12</x:f>
        <x:v>42000</x:v>
      </x:c>
      <x:c r="R40" s="213" t="n">
        <x:f t="shared" si="54">R134*12</x:f>
        <x:v>60000</x:v>
      </x:c>
    </x:row>
    <x:row r="41" ht="21" customHeight="1">
      <x:c r="A41" s="201" t="str">
        <x:v>Total egresos</x:v>
      </x:c>
      <x:c r="B41" s="202" t="str">
        <x:v>USD</x:v>
      </x:c>
      <x:c r="C41" s="216" t="n">
        <x:f t="shared" ref="C41:N41" si="55">SUM(C12,C17,C22,C28,C38)</x:f>
        <x:v>15700</x:v>
      </x:c>
      <x:c r="D41" s="216" t="n">
        <x:f t="shared" si="55">SUM(D12,D17,D22,D28,D38)</x:f>
        <x:v>17000</x:v>
      </x:c>
      <x:c r="E41" s="216" t="n">
        <x:f t="shared" si="55">SUM(E12,E17,E22,E28,E38)</x:f>
        <x:v>15200</x:v>
      </x:c>
      <x:c r="F41" s="216" t="n">
        <x:f t="shared" si="55">SUM(F12,F17,F22,F28,F38)</x:f>
        <x:v>20000</x:v>
      </x:c>
      <x:c r="G41" s="216" t="n">
        <x:f t="shared" si="55">SUM(G12,G17,G22,G28,G38)</x:f>
        <x:v>16200</x:v>
      </x:c>
      <x:c r="H41" s="216" t="n">
        <x:f t="shared" si="55">SUM(H12,H17,H22,H28,H38)</x:f>
        <x:v>17400</x:v>
      </x:c>
      <x:c r="I41" s="216" t="n">
        <x:f t="shared" si="55">SUM(I12,I17,I22,I28,I38)</x:f>
        <x:v>19200</x:v>
      </x:c>
      <x:c r="J41" s="216" t="n">
        <x:f t="shared" si="55">SUM(J12,J17,J22,J28,J38)</x:f>
        <x:v>20400</x:v>
      </x:c>
      <x:c r="K41" s="216" t="n">
        <x:f t="shared" si="55">SUM(K12,K17,K22,K28,K38)</x:f>
        <x:v>25656.666666666664</x:v>
      </x:c>
      <x:c r="L41" s="216" t="n">
        <x:f t="shared" si="55">SUM(L12,L17,L22,L28,L38)</x:f>
        <x:v>33498</x:v>
      </x:c>
      <x:c r="M41" s="216" t="n">
        <x:f t="shared" si="55">SUM(M12,M17,M22,M28,M38)</x:f>
        <x:v>18227.555555555555</x:v>
      </x:c>
      <x:c r="N41" s="216" t="n">
        <x:f t="shared" si="55">SUM(N12,N17,N22,N28,N38)</x:f>
        <x:v>20500</x:v>
      </x:c>
      <x:c r="O41" s="216" t="n">
        <x:f>SUM(C41:N41)</x:f>
        <x:v>238982.22222222222</x:v>
      </x:c>
      <x:c r="P41" s="216" t="n">
        <x:f t="shared" ref="P41:R41" si="56">SUM(P12,P17,P22,P28,P38)</x:f>
        <x:v>310775.39930241555</x:v>
      </x:c>
      <x:c r="Q41" s="216" t="n">
        <x:f t="shared" si="56">SUM(Q12,Q17,Q22,Q28,Q38)</x:f>
        <x:v>990787.4727818655</x:v>
      </x:c>
      <x:c r="R41" s="217" t="n">
        <x:f t="shared" si="56">SUM(R12,R17,R22,R28,R38)</x:f>
        <x:v>2187225.379927682</x:v>
      </x:c>
      <x:c r="S41" s="17"/>
      <x:c r="T41" s="17"/>
      <x:c r="U41" s="17"/>
      <x:c r="V41" s="17"/>
      <x:c r="W41" s="17"/>
      <x:c r="X41" s="17"/>
      <x:c r="Y41" s="17"/>
      <x:c r="Z41" s="17"/>
      <x:c r="AA41" s="17"/>
    </x:row>
    <x:row r="42" ht="21" customHeight="1">
      <x:c r="A42" s="200" t="str">
        <x:v>Flujo neto con financiamiento</x:v>
      </x:c>
      <x:c r="B42" s="200" t="str">
        <x:v>USD</x:v>
      </x:c>
      <x:c r="C42" s="218" t="n">
        <x:f t="shared" ref="C42:N42" si="57">C9-C41</x:f>
        <x:v>285220.0943065033</x:v>
      </x:c>
      <x:c r="D42" s="218" t="n">
        <x:f t="shared" si="57">D9-D41</x:f>
        <x:v>-17000</x:v>
      </x:c>
      <x:c r="E42" s="218" t="n">
        <x:f t="shared" si="57">E9-E41</x:f>
        <x:v>-15200</x:v>
      </x:c>
      <x:c r="F42" s="218" t="n">
        <x:f t="shared" si="57">F9-F41</x:f>
        <x:v>-20000</x:v>
      </x:c>
      <x:c r="G42" s="218" t="n">
        <x:f t="shared" si="57">G9-G41</x:f>
        <x:v>-16200</x:v>
      </x:c>
      <x:c r="H42" s="218" t="n">
        <x:f t="shared" si="57">H9-H41</x:f>
        <x:v>-17400</x:v>
      </x:c>
      <x:c r="I42" s="218" t="n">
        <x:f t="shared" si="57">I9-I41</x:f>
        <x:v>-19200</x:v>
      </x:c>
      <x:c r="J42" s="218" t="n">
        <x:f t="shared" si="57">J9-J41</x:f>
        <x:v>-20400</x:v>
      </x:c>
      <x:c r="K42" s="218" t="n">
        <x:f t="shared" si="57">K9-K41</x:f>
        <x:v>-25656.666666666664</x:v>
      </x:c>
      <x:c r="L42" s="218" t="n">
        <x:f t="shared" si="57">L9-L41</x:f>
        <x:v>-33498</x:v>
      </x:c>
      <x:c r="M42" s="218" t="n">
        <x:f t="shared" si="57">M9-M41</x:f>
        <x:v>-18227.555555555555</x:v>
      </x:c>
      <x:c r="N42" s="218" t="n">
        <x:f t="shared" si="57">N9-N41</x:f>
        <x:v>-20500</x:v>
      </x:c>
      <x:c r="O42" s="218" t="n">
        <x:f>SUM(C42:N42)</x:f>
        <x:v>61937.87208428109</x:v>
      </x:c>
      <x:c r="P42" s="218" t="n">
        <x:f t="shared" ref="P42:R42" si="58">P9-P41</x:f>
        <x:v>-27425.39930241555</x:v>
      </x:c>
      <x:c r="Q42" s="218" t="n">
        <x:f t="shared" si="58">Q9-Q41</x:f>
        <x:v>-34512.47278186551</x:v>
      </x:c>
      <x:c r="R42" s="218" t="n">
        <x:f t="shared" si="58">R9-R41</x:f>
        <x:v>43149.620072317775</x:v>
      </x:c>
    </x:row>
    <x:row r="43" ht="21" customHeight="1">
      <x:c r="A43" s="203" t="str">
        <x:v>Saldo de caja acumulado</x:v>
      </x:c>
      <x:c r="B43" s="203" t="str">
        <x:v>USD</x:v>
      </x:c>
      <x:c r="C43" s="219" t="n">
        <x:f>C42</x:f>
        <x:v>285220.0943065033</x:v>
      </x:c>
      <x:c r="D43" s="219" t="n">
        <x:f t="shared" ref="D43:N43" si="59">C43+D42</x:f>
        <x:v>268220.0943065033</x:v>
      </x:c>
      <x:c r="E43" s="219" t="n">
        <x:f t="shared" si="59">D43+E42</x:f>
        <x:v>253020.0943065033</x:v>
      </x:c>
      <x:c r="F43" s="219" t="n">
        <x:f t="shared" si="59">E43+F42</x:f>
        <x:v>233020.0943065033</x:v>
      </x:c>
      <x:c r="G43" s="219" t="n">
        <x:f t="shared" si="59">F43+G42</x:f>
        <x:v>216820.0943065033</x:v>
      </x:c>
      <x:c r="H43" s="219" t="n">
        <x:f t="shared" si="59">G43+H42</x:f>
        <x:v>199420.0943065033</x:v>
      </x:c>
      <x:c r="I43" s="219" t="n">
        <x:f t="shared" si="59">H43+I42</x:f>
        <x:v>180220.0943065033</x:v>
      </x:c>
      <x:c r="J43" s="219" t="n">
        <x:f t="shared" si="59">I43+J42</x:f>
        <x:v>159820.0943065033</x:v>
      </x:c>
      <x:c r="K43" s="219" t="n">
        <x:f t="shared" si="59">J43+K42</x:f>
        <x:v>134163.42763983665</x:v>
      </x:c>
      <x:c r="L43" s="219" t="n">
        <x:f t="shared" si="59">K43+L42</x:f>
        <x:v>100665.42763983665</x:v>
      </x:c>
      <x:c r="M43" s="219" t="n">
        <x:f t="shared" si="59">L43+M42</x:f>
        <x:v>82437.87208428109</x:v>
      </x:c>
      <x:c r="N43" s="219" t="n">
        <x:f t="shared" si="59">M43+N42</x:f>
        <x:v>61937.87208428109</x:v>
      </x:c>
      <x:c r="O43" s="219" t="n">
        <x:f>N43</x:f>
        <x:v>61937.87208428109</x:v>
      </x:c>
      <x:c r="P43" s="219" t="n">
        <x:f>N43+P42</x:f>
        <x:v>34512.47278186554</x:v>
      </x:c>
      <x:c r="Q43" s="219" t="n">
        <x:f t="shared" ref="Q43:R43" si="60">P43+Q42</x:f>
        <x:v>2.9103830456733704e-11</x:v>
      </x:c>
      <x:c r="R43" s="219" t="n">
        <x:f t="shared" si="60">Q43+R42</x:f>
        <x:v>43149.620072317804</x:v>
      </x:c>
      <x:c r="S43" s="27"/>
      <x:c r="T43" s="27"/>
      <x:c r="U43" s="27"/>
      <x:c r="V43" s="27"/>
      <x:c r="W43" s="27"/>
      <x:c r="X43" s="27"/>
      <x:c r="Y43" s="27"/>
      <x:c r="Z43" s="27"/>
      <x:c r="AA43" s="27"/>
    </x:row>
    <x:row r="44" ht="21" customHeight="1">
      <x:c r="A44" s="196"/>
      <x:c r="B44" s="196"/>
      <x:c r="C44" s="220"/>
      <x:c r="D44" s="220"/>
      <x:c r="E44" s="220"/>
      <x:c r="F44" s="220"/>
      <x:c r="G44" s="220"/>
      <x:c r="H44" s="220"/>
      <x:c r="I44" s="220"/>
      <x:c r="J44" s="220"/>
      <x:c r="K44" s="220"/>
      <x:c r="L44" s="220"/>
      <x:c r="M44" s="220"/>
      <x:c r="N44" s="220"/>
      <x:c r="O44" s="220"/>
      <x:c r="P44" s="220"/>
      <x:c r="Q44" s="220"/>
      <x:c r="R44" s="220"/>
    </x:row>
    <x:row r="45" ht="21" customHeight="1">
      <x:c r="A45" s="200" t="str">
        <x:v>Flujo del proyecto sin financiamiento</x:v>
      </x:c>
      <x:c r="B45" s="200" t="str">
        <x:v>USD</x:v>
      </x:c>
      <x:c r="C45" s="221" t="n">
        <x:f t="shared" ref="C45:N45" si="61">SUM(C5:C7)-C41</x:f>
        <x:v>-15700</x:v>
      </x:c>
      <x:c r="D45" s="221" t="n">
        <x:f t="shared" si="61">SUM(D5:D7)-D41</x:f>
        <x:v>-17000</x:v>
      </x:c>
      <x:c r="E45" s="221" t="n">
        <x:f t="shared" si="61">SUM(E5:E7)-E41</x:f>
        <x:v>-15200</x:v>
      </x:c>
      <x:c r="F45" s="221" t="n">
        <x:f t="shared" si="61">SUM(F5:F7)-F41</x:f>
        <x:v>-20000</x:v>
      </x:c>
      <x:c r="G45" s="221" t="n">
        <x:f t="shared" si="61">SUM(G5:G7)-G41</x:f>
        <x:v>-16200</x:v>
      </x:c>
      <x:c r="H45" s="221" t="n">
        <x:f t="shared" si="61">SUM(H5:H7)-H41</x:f>
        <x:v>-17400</x:v>
      </x:c>
      <x:c r="I45" s="221" t="n">
        <x:f t="shared" si="61">SUM(I5:I7)-I41</x:f>
        <x:v>-19200</x:v>
      </x:c>
      <x:c r="J45" s="221" t="n">
        <x:f t="shared" si="61">SUM(J5:J7)-J41</x:f>
        <x:v>-20400</x:v>
      </x:c>
      <x:c r="K45" s="221" t="n">
        <x:f t="shared" si="61">SUM(K5:K7)-K41</x:f>
        <x:v>-25656.666666666664</x:v>
      </x:c>
      <x:c r="L45" s="221" t="n">
        <x:f t="shared" si="61">SUM(L5:L7)-L41</x:f>
        <x:v>-33498</x:v>
      </x:c>
      <x:c r="M45" s="221" t="n">
        <x:f t="shared" si="61">SUM(M5:M7)-M41</x:f>
        <x:v>-18227.555555555555</x:v>
      </x:c>
      <x:c r="N45" s="221" t="n">
        <x:f t="shared" si="61">SUM(N5:N7)-N41</x:f>
        <x:v>-20500</x:v>
      </x:c>
      <x:c r="O45" s="221" t="n">
        <x:f>SUM(C45:N45)</x:f>
        <x:v>-238982.22222222222</x:v>
      </x:c>
      <x:c r="P45" s="221" t="n">
        <x:f t="shared" ref="P45:R45" si="62">SUM(P5:P7)-P41</x:f>
        <x:v>-27425.39930241555</x:v>
      </x:c>
      <x:c r="Q45" s="221" t="n">
        <x:f t="shared" si="62">SUM(Q5:Q7)-Q41</x:f>
        <x:v>-34512.47278186551</x:v>
      </x:c>
      <x:c r="R45" s="221" t="n">
        <x:f t="shared" si="62">SUM(R5:R7)-R41</x:f>
        <x:v>43149.620072317775</x:v>
      </x:c>
    </x:row>
    <x:row r="46" ht="21" customHeight="1">
      <x:c r="A46" s="200" t="str">
        <x:v>Acumulado sin financiamiento</x:v>
      </x:c>
      <x:c r="B46" s="200" t="str">
        <x:v>USD</x:v>
      </x:c>
      <x:c r="C46" s="221" t="n">
        <x:f>C45</x:f>
        <x:v>-15700</x:v>
      </x:c>
      <x:c r="D46" s="221" t="n">
        <x:f t="shared" ref="D46:N46" si="63">C46+D45</x:f>
        <x:v>-32700</x:v>
      </x:c>
      <x:c r="E46" s="221" t="n">
        <x:f t="shared" si="63">D46+E45</x:f>
        <x:v>-47900</x:v>
      </x:c>
      <x:c r="F46" s="221" t="n">
        <x:f t="shared" si="63">E46+F45</x:f>
        <x:v>-67900</x:v>
      </x:c>
      <x:c r="G46" s="221" t="n">
        <x:f t="shared" si="63">F46+G45</x:f>
        <x:v>-84100</x:v>
      </x:c>
      <x:c r="H46" s="221" t="n">
        <x:f t="shared" si="63">G46+H45</x:f>
        <x:v>-101500</x:v>
      </x:c>
      <x:c r="I46" s="221" t="n">
        <x:f t="shared" si="63">H46+I45</x:f>
        <x:v>-120700</x:v>
      </x:c>
      <x:c r="J46" s="221" t="n">
        <x:f t="shared" si="63">I46+J45</x:f>
        <x:v>-141100</x:v>
      </x:c>
      <x:c r="K46" s="221" t="n">
        <x:f t="shared" si="63">J46+K45</x:f>
        <x:v>-166756.66666666666</x:v>
      </x:c>
      <x:c r="L46" s="221" t="n">
        <x:f t="shared" si="63">K46+L45</x:f>
        <x:v>-200254.66666666666</x:v>
      </x:c>
      <x:c r="M46" s="221" t="n">
        <x:f t="shared" si="63">L46+M45</x:f>
        <x:v>-218482.22222222222</x:v>
      </x:c>
      <x:c r="N46" s="221" t="n">
        <x:f t="shared" si="63">M46+N45</x:f>
        <x:v>-238982.22222222222</x:v>
      </x:c>
      <x:c r="O46" s="221" t="n">
        <x:f>N46</x:f>
        <x:v>-238982.22222222222</x:v>
      </x:c>
      <x:c r="P46" s="221" t="n">
        <x:f>N46+P45</x:f>
        <x:v>-266407.6215246378</x:v>
      </x:c>
      <x:c r="Q46" s="221" t="n">
        <x:f t="shared" ref="Q46:R46" si="64">P46+Q45</x:f>
        <x:v>-300920.0943065033</x:v>
      </x:c>
      <x:c r="R46" s="221" t="n">
        <x:f t="shared" si="64">Q46+R45</x:f>
        <x:v>-257770.47423418553</x:v>
      </x:c>
    </x:row>
    <x:row r="47" ht="21" customHeight="1">
      <x:c r="A47" s="196"/>
      <x:c r="B47" s="196"/>
      <x:c r="C47" s="220"/>
      <x:c r="D47" s="220"/>
      <x:c r="E47" s="220"/>
      <x:c r="F47" s="220"/>
      <x:c r="G47" s="220"/>
      <x:c r="H47" s="220"/>
      <x:c r="I47" s="220"/>
      <x:c r="J47" s="220"/>
      <x:c r="K47" s="220"/>
      <x:c r="L47" s="220"/>
      <x:c r="M47" s="220"/>
      <x:c r="N47" s="220"/>
      <x:c r="O47" s="220"/>
      <x:c r="P47" s="220"/>
      <x:c r="Q47" s="220"/>
      <x:c r="R47" s="220"/>
    </x:row>
    <x:row r="48" ht="21" customHeight="1">
      <x:c r="A48" s="198" t="str">
        <x:v>Resumen de los 4 años</x:v>
      </x:c>
      <x:c r="B48" s="199" t="str"/>
      <x:c r="C48" s="222"/>
      <x:c r="D48" s="222"/>
      <x:c r="E48" s="222"/>
      <x:c r="F48" s="222"/>
      <x:c r="G48" s="222"/>
      <x:c r="H48" s="222"/>
      <x:c r="I48" s="222"/>
      <x:c r="J48" s="222"/>
      <x:c r="K48" s="222"/>
      <x:c r="L48" s="222"/>
      <x:c r="M48" s="222"/>
      <x:c r="N48" s="222"/>
      <x:c r="O48" s="222"/>
      <x:c r="P48" s="222"/>
      <x:c r="Q48" s="222"/>
      <x:c r="R48" s="223"/>
    </x:row>
    <x:row r="49" ht="21" customHeight="1">
      <x:c r="A49" s="196" t="str">
        <x:v>Cobros por ventas</x:v>
      </x:c>
      <x:c r="B49" s="196" t="str">
        <x:v>USD</x:v>
      </x:c>
      <x:c r="C49" s="220" t="n">
        <x:f>SUM(O5:R6)</x:f>
        <x:v>3470000</x:v>
      </x:c>
      <x:c r="D49" s="220"/>
      <x:c r="E49" s="221" t="str">
        <x:v>VAN (USD)</x:v>
      </x:c>
      <x:c r="F49" s="221" t="str"/>
      <x:c r="G49" s="221" t="n">
        <x:f>XNPV(C153,G166:G181,F166:F181)</x:f>
        <x:v>-233388.96863044554</x:v>
      </x:c>
      <x:c r="H49" s="220"/>
      <x:c r="I49" s="220"/>
      <x:c r="J49" s="220"/>
      <x:c r="K49" s="220"/>
      <x:c r="L49" s="220"/>
      <x:c r="M49" s="220"/>
      <x:c r="N49" s="220"/>
      <x:c r="O49" s="220"/>
      <x:c r="P49" s="220"/>
      <x:c r="Q49" s="220"/>
      <x:c r="R49" s="220"/>
    </x:row>
    <x:row r="50" ht="21" customHeight="1">
      <x:c r="A50" s="196" t="str">
        <x:v>Egresos totales</x:v>
      </x:c>
      <x:c r="B50" s="196" t="str">
        <x:v>USD</x:v>
      </x:c>
      <x:c r="C50" s="220" t="n">
        <x:f>SUM(O41:R41)</x:f>
        <x:v>3727770.4742341856</x:v>
      </x:c>
      <x:c r="D50" s="220"/>
      <x:c r="E50" s="221" t="str">
        <x:v>TIR anual</x:v>
      </x:c>
      <x:c r="F50" s="221"/>
      <x:c r="G50" s="221" t="str">
        <x:f>IF(C51&lt;0,"No determinada",XIRR(G166:G181,F166:F181))</x:f>
        <x:v>No determinada</x:v>
      </x:c>
      <x:c r="H50" s="220"/>
      <x:c r="I50" s="220"/>
      <x:c r="J50" s="220"/>
      <x:c r="K50" s="220"/>
      <x:c r="L50" s="220"/>
      <x:c r="M50" s="220"/>
      <x:c r="N50" s="220"/>
      <x:c r="O50" s="220"/>
      <x:c r="P50" s="220"/>
      <x:c r="Q50" s="220"/>
      <x:c r="R50" s="220"/>
    </x:row>
    <x:row r="51" ht="21" customHeight="1">
      <x:c r="A51" s="196" t="str">
        <x:v>Resultado sin financiamiento</x:v>
      </x:c>
      <x:c r="B51" s="196" t="str">
        <x:v>USD</x:v>
      </x:c>
      <x:c r="C51" s="220" t="n">
        <x:f>SUM(O45:R45)</x:f>
        <x:v>-257770.47423418553</x:v>
      </x:c>
      <x:c r="D51" s="220"/>
      <x:c r="E51" s="221" t="str">
        <x:v>Descuento anual</x:v>
      </x:c>
      <x:c r="F51" s="221"/>
      <x:c r="G51" s="224" t="n">
        <x:f>$C$96</x:f>
        <x:v>0.2</x:v>
      </x:c>
      <x:c r="H51" s="220"/>
      <x:c r="I51" s="220"/>
      <x:c r="J51" s="220"/>
      <x:c r="K51" s="220"/>
      <x:c r="L51" s="220"/>
      <x:c r="M51" s="220"/>
      <x:c r="N51" s="220"/>
      <x:c r="O51" s="220"/>
      <x:c r="P51" s="220"/>
      <x:c r="Q51" s="220"/>
      <x:c r="R51" s="220"/>
    </x:row>
    <x:row r="52" ht="21" customHeight="1">
      <x:c r="A52" s="200" t="str">
        <x:v>Capital mínimo necesario</x:v>
      </x:c>
      <x:c r="B52" s="200" t="str">
        <x:v>USD</x:v>
      </x:c>
      <x:c r="C52" s="221" t="n">
        <x:f>MAX(0,-MIN(C46:N46,P46:R46))</x:f>
        <x:v>300920.0943065033</x:v>
      </x:c>
      <x:c r="D52" s="221"/>
      <x:c r="E52" s="221" t="str">
        <x:v>FTE desarrollo</x:v>
      </x:c>
      <x:c r="F52" s="221"/>
      <x:c r="G52" s="221" t="n">
        <x:f>$C$73+$C$74</x:f>
        <x:v>4</x:v>
      </x:c>
      <x:c r="H52" s="221"/>
      <x:c r="I52" s="221"/>
      <x:c r="J52" s="221"/>
      <x:c r="K52" s="221"/>
      <x:c r="L52" s="221"/>
      <x:c r="M52" s="221"/>
      <x:c r="N52" s="221"/>
      <x:c r="O52" s="221"/>
      <x:c r="P52" s="221"/>
      <x:c r="Q52" s="221"/>
      <x:c r="R52" s="221"/>
    </x:row>
    <x:row r="53" ht="21" customHeight="1">
      <x:c r="A53" s="196" t="str">
        <x:v>Aporte previsto</x:v>
      </x:c>
      <x:c r="B53" s="196" t="str">
        <x:v>USD</x:v>
      </x:c>
      <x:c r="C53" s="220" t="n">
        <x:f>C52+C97</x:f>
        <x:v>300920.0943065033</x:v>
      </x:c>
      <x:c r="D53" s="220"/>
      <x:c r="E53" s="220" t="str">
        <x:v>Horas brutas año 1</x:v>
      </x:c>
      <x:c r="F53" s="220"/>
      <x:c r="G53" s="220" t="n">
        <x:f>($C$73+$C$74)*$C$75*$C$76</x:f>
        <x:v>7680</x:v>
      </x:c>
      <x:c r="H53" s="220"/>
      <x:c r="I53" s="220"/>
      <x:c r="J53" s="220"/>
      <x:c r="K53" s="220"/>
      <x:c r="L53" s="220"/>
      <x:c r="M53" s="220"/>
      <x:c r="N53" s="220"/>
      <x:c r="O53" s="220"/>
      <x:c r="P53" s="220"/>
      <x:c r="Q53" s="220"/>
      <x:c r="R53" s="220"/>
    </x:row>
    <x:row r="54" ht="21" customHeight="1">
      <x:c r="A54" s="200" t="str">
        <x:v>Caja al cierre</x:v>
      </x:c>
      <x:c r="B54" s="200" t="str">
        <x:v>USD</x:v>
      </x:c>
      <x:c r="C54" s="221" t="n">
        <x:f>R43</x:f>
        <x:v>43149.620072317804</x:v>
      </x:c>
      <x:c r="D54" s="221"/>
      <x:c r="E54" s="221" t="str">
        <x:v>Inicio de ventas</x:v>
      </x:c>
      <x:c r="F54" s="221"/>
      <x:c r="G54" s="221" t="str">
        <x:v>Año 2</x:v>
      </x:c>
      <x:c r="H54" s="221"/>
      <x:c r="I54" s="221"/>
      <x:c r="J54" s="221"/>
      <x:c r="K54" s="221"/>
      <x:c r="L54" s="221"/>
      <x:c r="M54" s="221"/>
      <x:c r="N54" s="221"/>
      <x:c r="O54" s="221"/>
      <x:c r="P54" s="221"/>
      <x:c r="Q54" s="221"/>
      <x:c r="R54" s="221"/>
    </x:row>
    <x:row r="55" ht="21" customHeight="1">
      <x:c r="A55" s="196" t="str">
        <x:v>Presupuesto total del año 1</x:v>
      </x:c>
      <x:c r="B55" s="196" t="str">
        <x:v>USD</x:v>
      </x:c>
      <x:c r="C55" s="220" t="n">
        <x:f>O41</x:f>
        <x:v>238982.22222222222</x:v>
      </x:c>
      <x:c r="D55" s="220"/>
      <x:c r="E55" s="220"/>
      <x:c r="F55" s="220"/>
      <x:c r="G55" s="220"/>
      <x:c r="H55" s="220"/>
      <x:c r="I55" s="220"/>
      <x:c r="J55" s="220"/>
      <x:c r="K55" s="220"/>
      <x:c r="L55" s="220"/>
      <x:c r="M55" s="220"/>
      <x:c r="N55" s="220"/>
      <x:c r="O55" s="220"/>
      <x:c r="P55" s="220"/>
      <x:c r="Q55" s="220"/>
      <x:c r="R55" s="220"/>
    </x:row>
    <x:row r="56" ht="21" customHeight="1">
      <x:c r="A56" s="196" t="str">
        <x:v>Control: Año 1 menos suma mensual</x:v>
      </x:c>
      <x:c r="B56" s="196" t="str">
        <x:v>USD</x:v>
      </x:c>
      <x:c r="C56" s="220" t="n">
        <x:f>O41-SUM(C41:N41)</x:f>
        <x:v>0</x:v>
      </x:c>
      <x:c r="D56" s="220"/>
      <x:c r="E56" s="220"/>
      <x:c r="F56" s="220"/>
      <x:c r="G56" s="220"/>
      <x:c r="H56" s="220"/>
      <x:c r="I56" s="220"/>
      <x:c r="J56" s="220"/>
      <x:c r="K56" s="220"/>
      <x:c r="L56" s="220"/>
      <x:c r="M56" s="220"/>
      <x:c r="N56" s="220"/>
      <x:c r="O56" s="220"/>
      <x:c r="P56" s="220"/>
      <x:c r="Q56" s="220"/>
      <x:c r="R56" s="220"/>
    </x:row>
    <x:row r="57" ht="21" customHeight="1">
      <x:c r="A57" s="196"/>
      <x:c r="B57" s="196"/>
      <x:c r="C57" s="220"/>
      <x:c r="D57" s="220"/>
      <x:c r="E57" s="220"/>
      <x:c r="F57" s="220"/>
      <x:c r="G57" s="220"/>
      <x:c r="H57" s="220"/>
      <x:c r="I57" s="220"/>
      <x:c r="J57" s="220"/>
      <x:c r="K57" s="220"/>
      <x:c r="L57" s="220"/>
      <x:c r="M57" s="220"/>
      <x:c r="N57" s="220"/>
      <x:c r="O57" s="220"/>
      <x:c r="P57" s="220"/>
      <x:c r="Q57" s="220"/>
      <x:c r="R57" s="220"/>
    </x:row>
    <x:row r="58" ht="21" customHeight="1">
      <x:c r="A58" s="198" t="str">
        <x:v>Actividad comercial y existencias</x:v>
      </x:c>
      <x:c r="B58" s="199" t="str"/>
      <x:c r="C58" s="222"/>
      <x:c r="D58" s="222"/>
      <x:c r="E58" s="222"/>
      <x:c r="F58" s="222"/>
      <x:c r="G58" s="222"/>
      <x:c r="H58" s="222"/>
      <x:c r="I58" s="222"/>
      <x:c r="J58" s="222"/>
      <x:c r="K58" s="222"/>
      <x:c r="L58" s="222"/>
      <x:c r="M58" s="222"/>
      <x:c r="N58" s="222"/>
      <x:c r="O58" s="222"/>
      <x:c r="P58" s="222"/>
      <x:c r="Q58" s="222"/>
      <x:c r="R58" s="223"/>
    </x:row>
    <x:row r="59" ht="21" customHeight="1">
      <x:c r="A59" s="196" t="str">
        <x:v>Kits vendidos</x:v>
      </x:c>
      <x:c r="B59" s="196" t="str">
        <x:v>unidades</x:v>
      </x:c>
      <x:c r="C59" s="225" t="n">
        <x:f t="shared" ref="C59:N59" si="65">0</x:f>
        <x:v>0</x:v>
      </x:c>
      <x:c r="D59" s="225" t="n">
        <x:f t="shared" si="65">0</x:f>
        <x:v>0</x:v>
      </x:c>
      <x:c r="E59" s="225" t="n">
        <x:f t="shared" si="65">0</x:f>
        <x:v>0</x:v>
      </x:c>
      <x:c r="F59" s="225" t="n">
        <x:f t="shared" si="65">0</x:f>
        <x:v>0</x:v>
      </x:c>
      <x:c r="G59" s="225" t="n">
        <x:f t="shared" si="65">0</x:f>
        <x:v>0</x:v>
      </x:c>
      <x:c r="H59" s="225" t="n">
        <x:f t="shared" si="65">0</x:f>
        <x:v>0</x:v>
      </x:c>
      <x:c r="I59" s="225" t="n">
        <x:f t="shared" si="65">0</x:f>
        <x:v>0</x:v>
      </x:c>
      <x:c r="J59" s="225" t="n">
        <x:f t="shared" si="65">0</x:f>
        <x:v>0</x:v>
      </x:c>
      <x:c r="K59" s="225" t="n">
        <x:f t="shared" si="65">0</x:f>
        <x:v>0</x:v>
      </x:c>
      <x:c r="L59" s="225" t="n">
        <x:f t="shared" si="65">0</x:f>
        <x:v>0</x:v>
      </x:c>
      <x:c r="M59" s="225" t="n">
        <x:f t="shared" si="65">0</x:f>
        <x:v>0</x:v>
      </x:c>
      <x:c r="N59" s="225" t="n">
        <x:f t="shared" si="65">0</x:f>
        <x:v>0</x:v>
      </x:c>
      <x:c r="O59" s="225" t="n">
        <x:f>SUM(C59:N59)</x:f>
        <x:v>0</x:v>
      </x:c>
      <x:c r="P59" s="225" t="n">
        <x:f t="shared" ref="P59:R59" si="66">P131</x:f>
        <x:v>300</x:v>
      </x:c>
      <x:c r="Q59" s="225" t="n">
        <x:f t="shared" si="66">Q131</x:f>
        <x:v>800</x:v>
      </x:c>
      <x:c r="R59" s="225" t="n">
        <x:f t="shared" si="66">R131</x:f>
        <x:v>1680</x:v>
      </x:c>
    </x:row>
    <x:row r="60" ht="21" customHeight="1">
      <x:c r="A60" s="196" t="str">
        <x:v>Clientes activos: mes / promedio anual</x:v>
      </x:c>
      <x:c r="B60" s="196" t="str">
        <x:v>clientes</x:v>
      </x:c>
      <x:c r="C60" s="225" t="n">
        <x:f>0</x:f>
        <x:v>0</x:v>
      </x:c>
      <x:c r="D60" s="225" t="n">
        <x:f t="shared" ref="D60:N60" si="67">C60*$C$101+C59</x:f>
        <x:v>0</x:v>
      </x:c>
      <x:c r="E60" s="225" t="n">
        <x:f t="shared" si="67">D60*$C$101+D59</x:f>
        <x:v>0</x:v>
      </x:c>
      <x:c r="F60" s="225" t="n">
        <x:f t="shared" si="67">E60*$C$101+E59</x:f>
        <x:v>0</x:v>
      </x:c>
      <x:c r="G60" s="225" t="n">
        <x:f t="shared" si="67">F60*$C$101+F59</x:f>
        <x:v>0</x:v>
      </x:c>
      <x:c r="H60" s="225" t="n">
        <x:f t="shared" si="67">G60*$C$101+G59</x:f>
        <x:v>0</x:v>
      </x:c>
      <x:c r="I60" s="225" t="n">
        <x:f t="shared" si="67">H60*$C$101+H59</x:f>
        <x:v>0</x:v>
      </x:c>
      <x:c r="J60" s="225" t="n">
        <x:f t="shared" si="67">I60*$C$101+I59</x:f>
        <x:v>0</x:v>
      </x:c>
      <x:c r="K60" s="225" t="n">
        <x:f t="shared" si="67">J60*$C$101+J59</x:f>
        <x:v>0</x:v>
      </x:c>
      <x:c r="L60" s="225" t="n">
        <x:f t="shared" si="67">K60*$C$101+K59</x:f>
        <x:v>0</x:v>
      </x:c>
      <x:c r="M60" s="225" t="n">
        <x:f t="shared" si="67">L60*$C$101+L59</x:f>
        <x:v>0</x:v>
      </x:c>
      <x:c r="N60" s="225" t="n">
        <x:f t="shared" si="67">M60*$C$101+M59</x:f>
        <x:v>0</x:v>
      </x:c>
      <x:c r="O60" s="225" t="n">
        <x:f>AVERAGE(C60:N60)</x:f>
        <x:v>0</x:v>
      </x:c>
      <x:c r="P60" s="225" t="n">
        <x:f t="shared" ref="P60:R60" si="68">(P140*P138+P131/P137*P139)/P137</x:f>
        <x:v>136.1184027329209</x:v>
      </x:c>
      <x:c r="Q60" s="225" t="n">
        <x:f t="shared" si="68">(Q140*Q138+Q131/Q137*Q139)/Q137</x:f>
        <x:v>530.2369127568089</x:v>
      </x:c>
      <x:c r="R60" s="225" t="n">
        <x:f t="shared" si="68">(R140*R138+R131/R137*R139)/R137</x:f>
        <x:v>1298.6527291256205</x:v>
      </x:c>
    </x:row>
    <x:row r="61" ht="21" customHeight="1">
      <x:c r="A61" s="196" t="str">
        <x:v>Parches de recambio vendidos</x:v>
      </x:c>
      <x:c r="B61" s="196" t="str">
        <x:v>unidades</x:v>
      </x:c>
      <x:c r="C61" s="225" t="n">
        <x:f t="shared" ref="C61:N61" si="69">ROUND(C60*$C$100,0)</x:f>
        <x:v>0</x:v>
      </x:c>
      <x:c r="D61" s="225" t="n">
        <x:f t="shared" si="69">ROUND(D60*$C$100,0)</x:f>
        <x:v>0</x:v>
      </x:c>
      <x:c r="E61" s="225" t="n">
        <x:f t="shared" si="69">ROUND(E60*$C$100,0)</x:f>
        <x:v>0</x:v>
      </x:c>
      <x:c r="F61" s="225" t="n">
        <x:f t="shared" si="69">ROUND(F60*$C$100,0)</x:f>
        <x:v>0</x:v>
      </x:c>
      <x:c r="G61" s="225" t="n">
        <x:f t="shared" si="69">ROUND(G60*$C$100,0)</x:f>
        <x:v>0</x:v>
      </x:c>
      <x:c r="H61" s="225" t="n">
        <x:f t="shared" si="69">ROUND(H60*$C$100,0)</x:f>
        <x:v>0</x:v>
      </x:c>
      <x:c r="I61" s="225" t="n">
        <x:f t="shared" si="69">ROUND(I60*$C$100,0)</x:f>
        <x:v>0</x:v>
      </x:c>
      <x:c r="J61" s="225" t="n">
        <x:f t="shared" si="69">ROUND(J60*$C$100,0)</x:f>
        <x:v>0</x:v>
      </x:c>
      <x:c r="K61" s="225" t="n">
        <x:f t="shared" si="69">ROUND(K60*$C$100,0)</x:f>
        <x:v>0</x:v>
      </x:c>
      <x:c r="L61" s="225" t="n">
        <x:f t="shared" si="69">ROUND(L60*$C$100,0)</x:f>
        <x:v>0</x:v>
      </x:c>
      <x:c r="M61" s="225" t="n">
        <x:f t="shared" si="69">ROUND(M60*$C$100,0)</x:f>
        <x:v>0</x:v>
      </x:c>
      <x:c r="N61" s="225" t="n">
        <x:f t="shared" si="69">ROUND(N60*$C$100,0)</x:f>
        <x:v>0</x:v>
      </x:c>
      <x:c r="O61" s="225" t="n">
        <x:f>SUM(C61:N61)</x:f>
        <x:v>0</x:v>
      </x:c>
      <x:c r="P61" s="225" t="n">
        <x:f t="shared" ref="P61:R61" si="70">ROUND(P60*P137*$C$100,0)</x:f>
        <x:v>6534</x:v>
      </x:c>
      <x:c r="Q61" s="225" t="n">
        <x:f t="shared" si="70">ROUND(Q60*Q137*$C$100,0)</x:f>
        <x:v>25451</x:v>
      </x:c>
      <x:c r="R61" s="225" t="n">
        <x:f t="shared" si="70">ROUND(R60*R137*$C$100,0)</x:f>
        <x:v>62335</x:v>
      </x:c>
    </x:row>
    <x:row r="62" ht="21" customHeight="1">
      <x:c r="A62" s="196" t="str">
        <x:v>Kits disponibles al cierre</x:v>
      </x:c>
      <x:c r="B62" s="196" t="str">
        <x:v>unidades</x:v>
      </x:c>
      <x:c r="C62" s="225" t="n">
        <x:f>C114-C59</x:f>
        <x:v>0</x:v>
      </x:c>
      <x:c r="D62" s="225" t="n">
        <x:f t="shared" ref="D62:N62" si="71">C62+D114-D59</x:f>
        <x:v>0</x:v>
      </x:c>
      <x:c r="E62" s="225" t="n">
        <x:f t="shared" si="71">D62+E114-E59</x:f>
        <x:v>0</x:v>
      </x:c>
      <x:c r="F62" s="225" t="n">
        <x:f t="shared" si="71">E62+F114-F59</x:f>
        <x:v>0</x:v>
      </x:c>
      <x:c r="G62" s="225" t="n">
        <x:f t="shared" si="71">F62+G114-G59</x:f>
        <x:v>0</x:v>
      </x:c>
      <x:c r="H62" s="225" t="n">
        <x:f t="shared" si="71">G62+H114-H59</x:f>
        <x:v>0</x:v>
      </x:c>
      <x:c r="I62" s="225" t="n">
        <x:f t="shared" si="71">H62+I114-I59</x:f>
        <x:v>0</x:v>
      </x:c>
      <x:c r="J62" s="225" t="n">
        <x:f t="shared" si="71">I62+J114-J59</x:f>
        <x:v>0</x:v>
      </x:c>
      <x:c r="K62" s="225" t="n">
        <x:f t="shared" si="71">J62+K114-K59</x:f>
        <x:v>0</x:v>
      </x:c>
      <x:c r="L62" s="225" t="n">
        <x:f t="shared" si="71">K62+L114-L59</x:f>
        <x:v>0</x:v>
      </x:c>
      <x:c r="M62" s="225" t="n">
        <x:f t="shared" si="71">L62+M114-M59</x:f>
        <x:v>100</x:v>
      </x:c>
      <x:c r="N62" s="225" t="n">
        <x:f t="shared" si="71">M62+N114-N59</x:f>
        <x:v>100</x:v>
      </x:c>
      <x:c r="O62" s="225" t="n">
        <x:f>N62</x:f>
        <x:v>100</x:v>
      </x:c>
      <x:c r="P62" s="225" t="n">
        <x:f>N62+P132-P59</x:f>
        <x:v>30</x:v>
      </x:c>
      <x:c r="Q62" s="225" t="n">
        <x:f t="shared" ref="Q62:R62" si="72">P62+Q132-Q59</x:f>
        <x:v>80</x:v>
      </x:c>
      <x:c r="R62" s="225" t="n">
        <x:f t="shared" si="72">Q62+R132-R59</x:f>
        <x:v>168</x:v>
      </x:c>
    </x:row>
    <x:row r="63" ht="21" customHeight="1">
      <x:c r="A63" s="196"/>
      <x:c r="B63" s="196"/>
      <x:c r="C63" s="208"/>
      <x:c r="D63" s="208"/>
      <x:c r="E63" s="208"/>
      <x:c r="F63" s="208"/>
      <x:c r="G63" s="208"/>
      <x:c r="H63" s="208"/>
      <x:c r="I63" s="208"/>
      <x:c r="J63" s="208"/>
      <x:c r="K63" s="208"/>
      <x:c r="L63" s="208"/>
      <x:c r="M63" s="208"/>
      <x:c r="N63" s="208"/>
      <x:c r="O63" s="226"/>
      <x:c r="P63" s="226"/>
      <x:c r="Q63" s="226"/>
      <x:c r="R63" s="226"/>
    </x:row>
    <x:row r="64" ht="21" customHeight="1">
      <x:c r="A64" s="198" t="str">
        <x:v>Supuestos editables y fuentes</x:v>
      </x:c>
      <x:c r="B64" s="199"/>
      <x:c r="C64" s="227"/>
      <x:c r="D64" s="227"/>
      <x:c r="E64" s="227"/>
      <x:c r="F64" s="227"/>
      <x:c r="G64" s="227"/>
      <x:c r="H64" s="227"/>
      <x:c r="I64" s="227"/>
      <x:c r="J64" s="227"/>
      <x:c r="K64" s="227"/>
      <x:c r="L64" s="227"/>
      <x:c r="M64" s="227"/>
      <x:c r="N64" s="227"/>
      <x:c r="O64" s="228"/>
      <x:c r="P64" s="228"/>
      <x:c r="Q64" s="228"/>
      <x:c r="R64" s="229"/>
    </x:row>
    <x:row r="65" ht="21" customHeight="1">
      <x:c r="A65" s="196" t="str">
        <x:v>Lote pre-serie aceptado (kits)</x:v>
      </x:c>
      <x:c r="B65" s="196" t="str">
        <x:v>unidades</x:v>
      </x:c>
      <x:c r="C65" s="230" t="n">
        <x:v>100</x:v>
      </x:c>
      <x:c r="D65" s="208"/>
      <x:c r="E65" s="208"/>
      <x:c r="F65" s="208"/>
      <x:c r="G65" s="208"/>
      <x:c r="H65" s="208"/>
      <x:c r="I65" s="208"/>
      <x:c r="J65" s="208"/>
      <x:c r="K65" s="208"/>
      <x:c r="L65" s="208"/>
      <x:c r="M65" s="208"/>
      <x:c r="N65" s="208"/>
      <x:c r="O65" s="226"/>
      <x:c r="P65" s="226"/>
      <x:c r="Q65" s="226"/>
      <x:c r="R65" s="226"/>
    </x:row>
    <x:row r="66" ht="21" customHeight="1">
      <x:c r="A66" s="196" t="str">
        <x:v>Costo de fabricación por kit</x:v>
      </x:c>
      <x:c r="B66" s="196" t="str">
        <x:v>USD/kit</x:v>
      </x:c>
      <x:c r="C66" s="231" t="n">
        <x:v>152.22</x:v>
      </x:c>
      <x:c r="D66" s="208"/>
      <x:c r="E66" s="208"/>
      <x:c r="F66" s="208"/>
      <x:c r="G66" s="208"/>
      <x:c r="H66" s="208"/>
      <x:c r="I66" s="208"/>
      <x:c r="J66" s="208"/>
      <x:c r="K66" s="208"/>
      <x:c r="L66" s="208"/>
      <x:c r="M66" s="208"/>
      <x:c r="N66" s="208"/>
      <x:c r="O66" s="226"/>
      <x:c r="P66" s="226"/>
      <x:c r="Q66" s="226"/>
      <x:c r="R66" s="226"/>
    </x:row>
    <x:row r="67" ht="21" customHeight="1">
      <x:c r="A67" s="196" t="str">
        <x:v>Logística e importación por kit</x:v>
      </x:c>
      <x:c r="B67" s="196" t="str">
        <x:v>USD/kit</x:v>
      </x:c>
      <x:c r="C67" s="231" t="n">
        <x:v>95.12</x:v>
      </x:c>
      <x:c r="D67" s="208"/>
      <x:c r="E67" s="208"/>
      <x:c r="F67" s="208"/>
      <x:c r="G67" s="208"/>
      <x:c r="H67" s="208"/>
      <x:c r="I67" s="208"/>
      <x:c r="J67" s="208"/>
      <x:c r="K67" s="208"/>
      <x:c r="L67" s="208"/>
      <x:c r="M67" s="208"/>
      <x:c r="N67" s="208"/>
      <x:c r="O67" s="226"/>
      <x:c r="P67" s="226"/>
      <x:c r="Q67" s="226"/>
      <x:c r="R67" s="226"/>
    </x:row>
    <x:row r="68" ht="21" customHeight="1">
      <x:c r="A68" s="196" t="str">
        <x:v>Almacenamiento total del lote pre-serie</x:v>
      </x:c>
      <x:c r="B68" s="196" t="str">
        <x:v>USD</x:v>
      </x:c>
      <x:c r="C68" s="231" t="n">
        <x:v>300</x:v>
      </x:c>
      <x:c r="D68" s="208"/>
      <x:c r="E68" s="208"/>
      <x:c r="F68" s="208"/>
      <x:c r="G68" s="208"/>
      <x:c r="H68" s="208"/>
      <x:c r="I68" s="208"/>
      <x:c r="J68" s="208"/>
      <x:c r="K68" s="208"/>
      <x:c r="L68" s="208"/>
      <x:c r="M68" s="208"/>
      <x:c r="N68" s="208"/>
      <x:c r="O68" s="226"/>
      <x:c r="P68" s="226"/>
      <x:c r="Q68" s="226"/>
      <x:c r="R68" s="226"/>
    </x:row>
    <x:row r="69" ht="21" customHeight="1">
      <x:c r="A69" s="196" t="str">
        <x:v>Fabricación por parche de recambio</x:v>
      </x:c>
      <x:c r="B69" s="196" t="str">
        <x:v>USD/parche</x:v>
      </x:c>
      <x:c r="C69" s="231" t="n">
        <x:v>17</x:v>
      </x:c>
      <x:c r="D69" s="208"/>
      <x:c r="E69" s="208"/>
      <x:c r="F69" s="208"/>
      <x:c r="G69" s="208"/>
      <x:c r="H69" s="208"/>
      <x:c r="I69" s="208"/>
      <x:c r="J69" s="208"/>
      <x:c r="K69" s="208"/>
      <x:c r="L69" s="208"/>
      <x:c r="M69" s="208"/>
      <x:c r="N69" s="208"/>
      <x:c r="O69" s="226"/>
      <x:c r="P69" s="226"/>
      <x:c r="Q69" s="226"/>
      <x:c r="R69" s="226"/>
    </x:row>
    <x:row r="70" ht="21" customHeight="1">
      <x:c r="A70" s="196" t="str">
        <x:v>Entrega e insumos por recambio</x:v>
      </x:c>
      <x:c r="B70" s="196" t="str">
        <x:v>USD/parche</x:v>
      </x:c>
      <x:c r="C70" s="231" t="n">
        <x:v>3</x:v>
      </x:c>
      <x:c r="D70" s="208"/>
      <x:c r="E70" s="208"/>
      <x:c r="F70" s="208"/>
      <x:c r="G70" s="208"/>
      <x:c r="H70" s="208"/>
      <x:c r="I70" s="208"/>
      <x:c r="J70" s="208"/>
      <x:c r="K70" s="208"/>
      <x:c r="L70" s="208"/>
      <x:c r="M70" s="208"/>
      <x:c r="N70" s="208"/>
      <x:c r="O70" s="226"/>
      <x:c r="P70" s="226"/>
      <x:c r="Q70" s="226"/>
      <x:c r="R70" s="226"/>
    </x:row>
    <x:row r="71" ht="21" customHeight="1">
      <x:c r="A71" s="196" t="str">
        <x:v>Salario bruto mensual de ingeniería</x:v>
      </x:c>
      <x:c r="B71" s="196" t="str">
        <x:v>ARS/FTE</x:v>
      </x:c>
      <x:c r="C71" s="231" t="n">
        <x:v>3500000</x:v>
      </x:c>
      <x:c r="D71" s="208"/>
      <x:c r="E71" s="208"/>
      <x:c r="F71" s="208"/>
      <x:c r="G71" s="208"/>
      <x:c r="H71" s="208"/>
      <x:c r="I71" s="208"/>
      <x:c r="J71" s="208"/>
      <x:c r="K71" s="208"/>
      <x:c r="L71" s="208"/>
      <x:c r="M71" s="208"/>
      <x:c r="N71" s="208"/>
      <x:c r="O71" s="226"/>
      <x:c r="P71" s="226"/>
      <x:c r="Q71" s="226"/>
      <x:c r="R71" s="226"/>
    </x:row>
    <x:row r="72" ht="21" customHeight="1">
      <x:c r="A72" s="196" t="str">
        <x:v>Salario bruto mensual técnico/administrativo</x:v>
      </x:c>
      <x:c r="B72" s="196" t="str">
        <x:v>ARS/FTE</x:v>
      </x:c>
      <x:c r="C72" s="230" t="n">
        <x:v>2500000</x:v>
      </x:c>
      <x:c r="D72" s="208"/>
      <x:c r="E72" s="208"/>
      <x:c r="F72" s="208"/>
      <x:c r="G72" s="208"/>
      <x:c r="H72" s="208"/>
      <x:c r="I72" s="208"/>
      <x:c r="J72" s="208"/>
      <x:c r="K72" s="208"/>
      <x:c r="L72" s="208"/>
      <x:c r="M72" s="208"/>
      <x:c r="N72" s="208"/>
      <x:c r="O72" s="226"/>
      <x:c r="P72" s="226"/>
      <x:c r="Q72" s="226"/>
      <x:c r="R72" s="226"/>
    </x:row>
    <x:row r="73" ht="21" customHeight="1">
      <x:c r="A73" s="196" t="str">
        <x:v>FTE de ingeniería</x:v>
      </x:c>
      <x:c r="B73" s="196" t="str">
        <x:v>FTE</x:v>
      </x:c>
      <x:c r="C73" s="231" t="n">
        <x:v>2</x:v>
      </x:c>
      <x:c r="D73" s="208"/>
      <x:c r="E73" s="208"/>
      <x:c r="F73" s="208"/>
      <x:c r="G73" s="208"/>
      <x:c r="H73" s="208"/>
      <x:c r="I73" s="208"/>
      <x:c r="J73" s="208"/>
      <x:c r="K73" s="208"/>
      <x:c r="L73" s="208"/>
      <x:c r="M73" s="208"/>
      <x:c r="N73" s="208"/>
      <x:c r="O73" s="226"/>
      <x:c r="P73" s="226"/>
      <x:c r="Q73" s="226"/>
      <x:c r="R73" s="226"/>
    </x:row>
    <x:row r="74" ht="21" customHeight="1">
      <x:c r="A74" s="196" t="str">
        <x:v>FTE técnicos/administrativos</x:v>
      </x:c>
      <x:c r="B74" s="196" t="str">
        <x:v>FTE</x:v>
      </x:c>
      <x:c r="C74" s="231" t="n">
        <x:v>2</x:v>
      </x:c>
      <x:c r="D74" s="208"/>
      <x:c r="E74" s="208"/>
      <x:c r="F74" s="208"/>
      <x:c r="G74" s="208"/>
      <x:c r="H74" s="208"/>
      <x:c r="I74" s="208"/>
      <x:c r="J74" s="208"/>
      <x:c r="K74" s="208"/>
      <x:c r="L74" s="208"/>
      <x:c r="M74" s="208"/>
      <x:c r="N74" s="208"/>
      <x:c r="O74" s="226"/>
      <x:c r="P74" s="226"/>
      <x:c r="Q74" s="226"/>
      <x:c r="R74" s="226"/>
    </x:row>
    <x:row r="75" ht="21" customHeight="1">
      <x:c r="A75" s="196" t="str">
        <x:v>Meses de desarrollo</x:v>
      </x:c>
      <x:c r="B75" s="196" t="str">
        <x:v>meses</x:v>
      </x:c>
      <x:c r="C75" s="231" t="n">
        <x:v>12</x:v>
      </x:c>
      <x:c r="D75" s="208"/>
      <x:c r="E75" s="208"/>
      <x:c r="F75" s="208"/>
      <x:c r="G75" s="208"/>
      <x:c r="H75" s="208"/>
      <x:c r="I75" s="208"/>
      <x:c r="J75" s="208"/>
      <x:c r="K75" s="208"/>
      <x:c r="L75" s="208"/>
      <x:c r="M75" s="208"/>
      <x:c r="N75" s="208"/>
      <x:c r="O75" s="226"/>
      <x:c r="P75" s="226"/>
      <x:c r="Q75" s="226"/>
      <x:c r="R75" s="226"/>
    </x:row>
    <x:row r="76" ht="21" customHeight="1">
      <x:c r="A76" s="196" t="str">
        <x:v>Horas mensuales por FTE</x:v>
      </x:c>
      <x:c r="B76" s="196" t="str">
        <x:v>h/FTE</x:v>
      </x:c>
      <x:c r="C76" s="231" t="n">
        <x:v>160</x:v>
      </x:c>
      <x:c r="D76" s="208"/>
      <x:c r="E76" s="208"/>
      <x:c r="F76" s="208"/>
      <x:c r="G76" s="208"/>
      <x:c r="H76" s="208"/>
      <x:c r="I76" s="208"/>
      <x:c r="J76" s="208"/>
      <x:c r="K76" s="208"/>
      <x:c r="L76" s="208"/>
      <x:c r="M76" s="208"/>
      <x:c r="N76" s="208"/>
      <x:c r="O76" s="226"/>
      <x:c r="P76" s="226"/>
      <x:c r="Q76" s="226"/>
      <x:c r="R76" s="226"/>
    </x:row>
    <x:row r="77" ht="21" customHeight="1">
      <x:c r="A77" s="196" t="str">
        <x:v>Factor de costo laboral</x:v>
      </x:c>
      <x:c r="B77" s="196" t="str">
        <x:v>factor</x:v>
      </x:c>
      <x:c r="C77" s="231" t="n">
        <x:v>1.4</x:v>
      </x:c>
      <x:c r="D77" s="208"/>
      <x:c r="E77" s="208"/>
      <x:c r="F77" s="208"/>
      <x:c r="G77" s="208"/>
      <x:c r="H77" s="208"/>
      <x:c r="I77" s="208"/>
      <x:c r="J77" s="208"/>
      <x:c r="K77" s="208"/>
      <x:c r="L77" s="208"/>
      <x:c r="M77" s="208"/>
      <x:c r="N77" s="208"/>
      <x:c r="O77" s="226"/>
      <x:c r="P77" s="226"/>
      <x:c r="Q77" s="226"/>
      <x:c r="R77" s="226"/>
    </x:row>
    <x:row r="78" ht="21" customHeight="1">
      <x:c r="A78" s="196" t="str">
        <x:v>Tipo de cambio presupuestario</x:v>
      </x:c>
      <x:c r="B78" s="196" t="str">
        <x:v>ARS/USD</x:v>
      </x:c>
      <x:c r="C78" s="231" t="n">
        <x:v>1500</x:v>
      </x:c>
      <x:c r="D78" s="208"/>
      <x:c r="E78" s="208"/>
      <x:c r="F78" s="208"/>
      <x:c r="G78" s="208"/>
      <x:c r="H78" s="208"/>
      <x:c r="I78" s="208"/>
      <x:c r="J78" s="208"/>
      <x:c r="K78" s="208"/>
      <x:c r="L78" s="208"/>
      <x:c r="M78" s="208"/>
      <x:c r="N78" s="208"/>
      <x:c r="O78" s="226"/>
      <x:c r="P78" s="226"/>
      <x:c r="Q78" s="226"/>
      <x:c r="R78" s="226"/>
    </x:row>
    <x:row r="79" ht="21" customHeight="1">
      <x:c r="A79" s="196" t="str">
        <x:v>Costo horario de ingeniería</x:v>
      </x:c>
      <x:c r="B79" s="196" t="str">
        <x:v>USD/h</x:v>
      </x:c>
      <x:c r="C79" s="232" t="n">
        <x:f>C71/C76*C77/C78</x:f>
        <x:v>20.416666666666664</x:v>
      </x:c>
      <x:c r="D79" s="208"/>
      <x:c r="E79" s="208"/>
      <x:c r="F79" s="208"/>
      <x:c r="G79" s="208"/>
      <x:c r="H79" s="208"/>
      <x:c r="I79" s="208"/>
      <x:c r="J79" s="208"/>
      <x:c r="K79" s="208"/>
      <x:c r="L79" s="208"/>
      <x:c r="M79" s="208"/>
      <x:c r="N79" s="208"/>
      <x:c r="O79" s="226"/>
      <x:c r="P79" s="226"/>
      <x:c r="Q79" s="226"/>
      <x:c r="R79" s="226"/>
    </x:row>
    <x:row r="80" ht="21" customHeight="1">
      <x:c r="A80" s="196" t="str">
        <x:v>Costo horario técnico/administrativo</x:v>
      </x:c>
      <x:c r="B80" s="196" t="str">
        <x:v>USD/h</x:v>
      </x:c>
      <x:c r="C80" s="233" t="n">
        <x:f>C72/C76*C77/C78</x:f>
        <x:v>14.583333333333334</x:v>
      </x:c>
      <x:c r="D80" s="208"/>
      <x:c r="E80" s="208"/>
      <x:c r="F80" s="208"/>
      <x:c r="G80" s="208"/>
      <x:c r="H80" s="208"/>
      <x:c r="I80" s="208"/>
      <x:c r="J80" s="208"/>
      <x:c r="K80" s="208"/>
      <x:c r="L80" s="208"/>
      <x:c r="M80" s="208"/>
      <x:c r="N80" s="208"/>
      <x:c r="O80" s="226"/>
      <x:c r="P80" s="226"/>
      <x:c r="Q80" s="226"/>
      <x:c r="R80" s="226"/>
    </x:row>
    <x:row r="81" ht="21" customHeight="1">
      <x:c r="A81" s="196" t="str">
        <x:v>Servicios generales mensuales</x:v>
      </x:c>
      <x:c r="B81" s="196" t="str">
        <x:v>USD/mes</x:v>
      </x:c>
      <x:c r="C81" s="231" t="n">
        <x:v>500</x:v>
      </x:c>
      <x:c r="D81" s="208"/>
      <x:c r="E81" s="208"/>
      <x:c r="F81" s="208"/>
      <x:c r="G81" s="208"/>
      <x:c r="H81" s="208"/>
      <x:c r="I81" s="208"/>
      <x:c r="J81" s="208"/>
      <x:c r="K81" s="208"/>
      <x:c r="L81" s="208"/>
      <x:c r="M81" s="208"/>
      <x:c r="N81" s="208"/>
      <x:c r="O81" s="226"/>
      <x:c r="P81" s="226"/>
      <x:c r="Q81" s="226"/>
      <x:c r="R81" s="226"/>
    </x:row>
    <x:row r="82" ht="21" customHeight="1">
      <x:c r="A82" s="196" t="str">
        <x:v>Alquiler de oficina/taller mensual</x:v>
      </x:c>
      <x:c r="B82" s="196" t="str">
        <x:v>USD/mes</x:v>
      </x:c>
      <x:c r="C82" s="231" t="n">
        <x:v>500</x:v>
      </x:c>
      <x:c r="D82" s="208"/>
      <x:c r="E82" s="208"/>
      <x:c r="F82" s="208"/>
      <x:c r="G82" s="208"/>
      <x:c r="H82" s="208"/>
      <x:c r="I82" s="208"/>
      <x:c r="J82" s="208"/>
      <x:c r="K82" s="208"/>
      <x:c r="L82" s="208"/>
      <x:c r="M82" s="208"/>
      <x:c r="N82" s="208"/>
      <x:c r="O82" s="226"/>
      <x:c r="P82" s="226"/>
      <x:c r="Q82" s="226"/>
      <x:c r="R82" s="226"/>
    </x:row>
    <x:row r="83" ht="21" customHeight="1">
      <x:c r="A83" s="196" t="str">
        <x:v>Alquiler de equipamiento/laboratorio mensual</x:v>
      </x:c>
      <x:c r="B83" s="196" t="str">
        <x:v>USD/mes</x:v>
      </x:c>
      <x:c r="C83" s="231" t="n">
        <x:v>1000</x:v>
      </x:c>
      <x:c r="D83" s="208"/>
      <x:c r="E83" s="208"/>
      <x:c r="F83" s="208"/>
      <x:c r="G83" s="208"/>
      <x:c r="H83" s="208"/>
      <x:c r="I83" s="208"/>
      <x:c r="J83" s="208"/>
      <x:c r="K83" s="208"/>
      <x:c r="L83" s="208"/>
      <x:c r="M83" s="208"/>
      <x:c r="N83" s="208"/>
      <x:c r="O83" s="226"/>
      <x:c r="P83" s="226"/>
      <x:c r="Q83" s="226"/>
      <x:c r="R83" s="226"/>
    </x:row>
    <x:row r="84" ht="21" customHeight="1">
      <x:c r="A84" s="196" t="str">
        <x:v>Componentes para prototipos</x:v>
      </x:c>
      <x:c r="B84" s="196" t="str">
        <x:v>USD</x:v>
      </x:c>
      <x:c r="C84" s="231" t="n">
        <x:v>6000</x:v>
      </x:c>
      <x:c r="D84" s="208"/>
      <x:c r="E84" s="208"/>
      <x:c r="F84" s="208"/>
      <x:c r="G84" s="208"/>
      <x:c r="H84" s="208"/>
      <x:c r="I84" s="208"/>
      <x:c r="J84" s="208"/>
      <x:c r="K84" s="208"/>
      <x:c r="L84" s="208"/>
      <x:c r="M84" s="208"/>
      <x:c r="N84" s="208"/>
      <x:c r="O84" s="226"/>
      <x:c r="P84" s="226"/>
      <x:c r="Q84" s="226"/>
      <x:c r="R84" s="226"/>
    </x:row>
    <x:row r="85" ht="21" customHeight="1">
      <x:c r="A85" s="196" t="str">
        <x:v>Carcasas y montajes de prototipos</x:v>
      </x:c>
      <x:c r="B85" s="196" t="str">
        <x:v>USD</x:v>
      </x:c>
      <x:c r="C85" s="231" t="n">
        <x:v>2000</x:v>
      </x:c>
      <x:c r="D85" s="208"/>
      <x:c r="E85" s="208"/>
      <x:c r="F85" s="208"/>
      <x:c r="G85" s="208"/>
      <x:c r="H85" s="208"/>
      <x:c r="I85" s="208"/>
      <x:c r="J85" s="208"/>
      <x:c r="K85" s="208"/>
      <x:c r="L85" s="208"/>
      <x:c r="M85" s="208"/>
      <x:c r="N85" s="208"/>
      <x:c r="O85" s="226"/>
      <x:c r="P85" s="226"/>
      <x:c r="Q85" s="226"/>
      <x:c r="R85" s="226"/>
    </x:row>
    <x:row r="86" ht="21" customHeight="1">
      <x:c r="A86" s="196" t="str">
        <x:v>Insumos para pruebas</x:v>
      </x:c>
      <x:c r="B86" s="196" t="str">
        <x:v>USD</x:v>
      </x:c>
      <x:c r="C86" s="231" t="n">
        <x:v>4000</x:v>
      </x:c>
      <x:c r="D86" s="208"/>
      <x:c r="E86" s="208"/>
      <x:c r="F86" s="208"/>
      <x:c r="G86" s="208"/>
      <x:c r="H86" s="208"/>
      <x:c r="I86" s="208"/>
      <x:c r="J86" s="208"/>
      <x:c r="K86" s="208"/>
      <x:c r="L86" s="208"/>
      <x:c r="M86" s="208"/>
      <x:c r="N86" s="208"/>
      <x:c r="O86" s="226"/>
      <x:c r="P86" s="226"/>
      <x:c r="Q86" s="226"/>
      <x:c r="R86" s="226"/>
    </x:row>
    <x:row r="87" ht="21" customHeight="1">
      <x:c r="A87" s="196" t="str">
        <x:v>Laboratorio y asesoramiento bioquímico</x:v>
      </x:c>
      <x:c r="B87" s="196" t="str">
        <x:v>USD</x:v>
      </x:c>
      <x:c r="C87" s="234" t="n">
        <x:v>12000</x:v>
      </x:c>
      <x:c r="D87" s="208"/>
      <x:c r="E87" s="208"/>
      <x:c r="F87" s="208"/>
      <x:c r="G87" s="208"/>
      <x:c r="H87" s="208"/>
      <x:c r="I87" s="208"/>
      <x:c r="J87" s="208"/>
      <x:c r="K87" s="208"/>
      <x:c r="L87" s="208"/>
      <x:c r="M87" s="208"/>
      <x:c r="N87" s="208"/>
      <x:c r="O87" s="226"/>
      <x:c r="P87" s="226"/>
      <x:c r="Q87" s="226"/>
      <x:c r="R87" s="226"/>
    </x:row>
    <x:row r="88" ht="21" customHeight="1">
      <x:c r="A88" s="196" t="str">
        <x:v>Consultas médicas, legales y regulatorias</x:v>
      </x:c>
      <x:c r="B88" s="196" t="str">
        <x:v>USD</x:v>
      </x:c>
      <x:c r="C88" s="230" t="n">
        <x:v>10000</x:v>
      </x:c>
      <x:c r="D88" s="208"/>
      <x:c r="E88" s="208"/>
      <x:c r="F88" s="208"/>
      <x:c r="G88" s="208"/>
      <x:c r="H88" s="208"/>
      <x:c r="I88" s="208"/>
      <x:c r="J88" s="208"/>
      <x:c r="K88" s="208"/>
      <x:c r="L88" s="208"/>
      <x:c r="M88" s="208"/>
      <x:c r="N88" s="208"/>
      <x:c r="O88" s="226"/>
      <x:c r="P88" s="226"/>
      <x:c r="Q88" s="226"/>
      <x:c r="R88" s="226"/>
    </x:row>
    <x:row r="89" ht="21" customHeight="1">
      <x:c r="A89" s="196" t="str">
        <x:v>QA y validación técnica externa</x:v>
      </x:c>
      <x:c r="B89" s="196" t="str">
        <x:v>USD</x:v>
      </x:c>
      <x:c r="C89" s="231" t="n">
        <x:v>8000</x:v>
      </x:c>
      <x:c r="D89" s="208"/>
      <x:c r="E89" s="208"/>
      <x:c r="F89" s="208"/>
      <x:c r="G89" s="208"/>
      <x:c r="H89" s="208"/>
      <x:c r="I89" s="208"/>
      <x:c r="J89" s="208"/>
      <x:c r="K89" s="208"/>
      <x:c r="L89" s="208"/>
      <x:c r="M89" s="208"/>
      <x:c r="N89" s="208"/>
      <x:c r="O89" s="226"/>
      <x:c r="P89" s="226"/>
      <x:c r="Q89" s="226"/>
      <x:c r="R89" s="226"/>
    </x:row>
    <x:row r="90" ht="21" customHeight="1">
      <x:c r="A90" s="196" t="str">
        <x:v>Merma de fabricación</x:v>
      </x:c>
      <x:c r="B90" s="196" t="str">
        <x:v>% unidades</x:v>
      </x:c>
      <x:c r="C90" s="234" t="n">
        <x:v>0.1</x:v>
      </x:c>
      <x:c r="D90" s="208"/>
      <x:c r="E90" s="208"/>
      <x:c r="F90" s="208"/>
      <x:c r="G90" s="208"/>
      <x:c r="H90" s="208"/>
      <x:c r="I90" s="208"/>
      <x:c r="J90" s="208"/>
      <x:c r="K90" s="208"/>
      <x:c r="L90" s="208"/>
      <x:c r="M90" s="208"/>
      <x:c r="N90" s="208"/>
      <x:c r="O90" s="226"/>
      <x:c r="P90" s="226"/>
      <x:c r="Q90" s="226"/>
      <x:c r="R90" s="226"/>
    </x:row>
    <x:row r="91" ht="21" customHeight="1">
      <x:c r="A91" s="196" t="str">
        <x:v>Costo comercial variable sobre ventas</x:v>
      </x:c>
      <x:c r="B91" s="196" t="str">
        <x:v>% ventas</x:v>
      </x:c>
      <x:c r="C91" s="234" t="n">
        <x:v>0.08</x:v>
      </x:c>
      <x:c r="D91" s="208"/>
      <x:c r="E91" s="208"/>
      <x:c r="F91" s="208"/>
      <x:c r="G91" s="208"/>
      <x:c r="H91" s="208"/>
      <x:c r="I91" s="208"/>
      <x:c r="J91" s="208"/>
      <x:c r="K91" s="208"/>
      <x:c r="L91" s="208"/>
      <x:c r="M91" s="208"/>
      <x:c r="N91" s="208"/>
      <x:c r="O91" s="226"/>
      <x:c r="P91" s="226"/>
      <x:c r="Q91" s="226"/>
      <x:c r="R91" s="226"/>
    </x:row>
    <x:row r="92" ht="21" customHeight="1">
      <x:c r="A92" s="196" t="str">
        <x:v>Costo mensual por FTE comercial</x:v>
      </x:c>
      <x:c r="B92" s="196" t="str">
        <x:v>USD/FTE</x:v>
      </x:c>
      <x:c r="C92" s="231" t="n">
        <x:v>2500</x:v>
      </x:c>
      <x:c r="D92" s="208"/>
      <x:c r="E92" s="208"/>
      <x:c r="F92" s="208"/>
      <x:c r="G92" s="208"/>
      <x:c r="H92" s="208"/>
      <x:c r="I92" s="208"/>
      <x:c r="J92" s="208"/>
      <x:c r="K92" s="208"/>
      <x:c r="L92" s="208"/>
      <x:c r="M92" s="208"/>
      <x:c r="N92" s="208"/>
      <x:c r="O92" s="226"/>
      <x:c r="P92" s="226"/>
      <x:c r="Q92" s="226"/>
      <x:c r="R92" s="226"/>
    </x:row>
    <x:row r="93" ht="21" customHeight="1">
      <x:c r="A93" s="196" t="str">
        <x:v>Difusión mensual de referencia</x:v>
      </x:c>
      <x:c r="B93" s="196" t="str">
        <x:v>USD/mes</x:v>
      </x:c>
      <x:c r="C93" s="235" t="n">
        <x:v>2000</x:v>
      </x:c>
      <x:c r="D93" s="208"/>
      <x:c r="E93" s="208"/>
      <x:c r="F93" s="208"/>
      <x:c r="G93" s="208"/>
      <x:c r="H93" s="208"/>
      <x:c r="I93" s="208"/>
      <x:c r="J93" s="208"/>
      <x:c r="K93" s="208"/>
      <x:c r="L93" s="208"/>
      <x:c r="M93" s="208"/>
      <x:c r="N93" s="208"/>
      <x:c r="O93" s="226"/>
      <x:c r="P93" s="226"/>
      <x:c r="Q93" s="226"/>
      <x:c r="R93" s="226"/>
    </x:row>
    <x:row r="94" ht="21" customHeight="1">
      <x:c r="A94" s="204" t="str">
        <x:v>Horas mensuales de soporte por 100 clientes</x:v>
      </x:c>
      <x:c r="B94" s="204" t="str">
        <x:v>h</x:v>
      </x:c>
      <x:c r="C94" s="236" t="n">
        <x:v>40</x:v>
      </x:c>
      <x:c r="D94" s="237"/>
      <x:c r="E94" s="237"/>
      <x:c r="F94" s="237"/>
      <x:c r="G94" s="237"/>
      <x:c r="H94" s="237"/>
      <x:c r="I94" s="237"/>
      <x:c r="J94" s="237"/>
      <x:c r="K94" s="237"/>
      <x:c r="L94" s="237"/>
      <x:c r="M94" s="237"/>
      <x:c r="N94" s="237"/>
      <x:c r="O94" s="226"/>
      <x:c r="P94" s="226"/>
      <x:c r="Q94" s="226"/>
      <x:c r="R94" s="226"/>
    </x:row>
    <x:row r="95" ht="21" customHeight="1">
      <x:c r="A95" s="196" t="str">
        <x:v>Costo horario de soporte</x:v>
      </x:c>
      <x:c r="B95" s="196" t="str">
        <x:v>USD/h</x:v>
      </x:c>
      <x:c r="C95" s="208" t="n">
        <x:f>C80</x:f>
        <x:v>14.583333333333334</x:v>
      </x:c>
      <x:c r="D95" s="208"/>
      <x:c r="E95" s="208"/>
      <x:c r="F95" s="208"/>
      <x:c r="G95" s="208"/>
      <x:c r="H95" s="208"/>
      <x:c r="I95" s="208"/>
      <x:c r="J95" s="208"/>
      <x:c r="K95" s="208"/>
      <x:c r="L95" s="208"/>
      <x:c r="M95" s="208"/>
      <x:c r="N95" s="208"/>
      <x:c r="O95" s="226"/>
      <x:c r="P95" s="226"/>
      <x:c r="Q95" s="226"/>
      <x:c r="R95" s="226"/>
    </x:row>
    <x:row r="96" ht="21" customHeight="1">
      <x:c r="A96" s="196" t="str">
        <x:v>Tasa de descuento anual</x:v>
      </x:c>
      <x:c r="B96" s="196" t="str">
        <x:v>% anual</x:v>
      </x:c>
      <x:c r="C96" s="234" t="n">
        <x:v>0.2</x:v>
      </x:c>
      <x:c r="D96" s="208"/>
      <x:c r="E96" s="208"/>
      <x:c r="F96" s="208"/>
      <x:c r="G96" s="208"/>
      <x:c r="H96" s="208"/>
      <x:c r="I96" s="208"/>
      <x:c r="J96" s="208"/>
      <x:c r="K96" s="208"/>
      <x:c r="L96" s="208"/>
      <x:c r="M96" s="208"/>
      <x:c r="N96" s="208"/>
      <x:c r="O96" s="226"/>
      <x:c r="P96" s="226"/>
      <x:c r="Q96" s="226"/>
      <x:c r="R96" s="226"/>
    </x:row>
    <x:row r="97" ht="21" customHeight="1">
      <x:c r="A97" s="196" t="str">
        <x:v>Caja adicional de seguridad</x:v>
      </x:c>
      <x:c r="B97" s="196" t="str">
        <x:v>USD</x:v>
      </x:c>
      <x:c r="C97" s="235" t="n">
        <x:v>0</x:v>
      </x:c>
      <x:c r="D97" s="208"/>
      <x:c r="E97" s="208"/>
      <x:c r="F97" s="208"/>
      <x:c r="G97" s="208"/>
      <x:c r="H97" s="208"/>
      <x:c r="I97" s="208"/>
      <x:c r="J97" s="208"/>
      <x:c r="K97" s="208"/>
      <x:c r="L97" s="208"/>
      <x:c r="M97" s="208"/>
      <x:c r="N97" s="208"/>
      <x:c r="O97" s="226"/>
      <x:c r="P97" s="226"/>
      <x:c r="Q97" s="226"/>
      <x:c r="R97" s="226"/>
    </x:row>
    <x:row r="98" ht="21" customHeight="1">
      <x:c r="A98" s="196" t="str">
        <x:v>Precio cobrado por kit</x:v>
      </x:c>
      <x:c r="B98" s="196" t="str">
        <x:v>USD/kit</x:v>
      </x:c>
      <x:c r="C98" s="235" t="n">
        <x:v>400</x:v>
      </x:c>
      <x:c r="D98" s="208"/>
      <x:c r="E98" s="208"/>
      <x:c r="F98" s="208"/>
      <x:c r="G98" s="208"/>
      <x:c r="H98" s="208"/>
      <x:c r="I98" s="208"/>
      <x:c r="J98" s="208"/>
      <x:c r="K98" s="208"/>
      <x:c r="L98" s="208"/>
      <x:c r="M98" s="208"/>
      <x:c r="N98" s="208"/>
      <x:c r="O98" s="226"/>
      <x:c r="P98" s="226"/>
      <x:c r="Q98" s="226"/>
      <x:c r="R98" s="226"/>
    </x:row>
    <x:row r="99" ht="21" customHeight="1">
      <x:c r="A99" s="196" t="str">
        <x:v>Precio cobrado por recambio</x:v>
      </x:c>
      <x:c r="B99" s="196" t="str">
        <x:v>USD/parche</x:v>
      </x:c>
      <x:c r="C99" s="235" t="n">
        <x:v>25</x:v>
      </x:c>
      <x:c r="D99" s="208"/>
      <x:c r="E99" s="208"/>
      <x:c r="F99" s="208"/>
      <x:c r="G99" s="208"/>
      <x:c r="H99" s="208"/>
      <x:c r="I99" s="208"/>
      <x:c r="J99" s="208"/>
      <x:c r="K99" s="208"/>
      <x:c r="L99" s="208"/>
      <x:c r="M99" s="208"/>
      <x:c r="N99" s="208"/>
      <x:c r="O99" s="226"/>
      <x:c r="P99" s="226"/>
      <x:c r="Q99" s="226"/>
      <x:c r="R99" s="226"/>
    </x:row>
    <x:row r="100" ht="21" customHeight="1">
      <x:c r="A100" s="196" t="str">
        <x:v>Recambios por cliente al mes</x:v>
      </x:c>
      <x:c r="B100" s="196" t="str">
        <x:v>parches</x:v>
      </x:c>
      <x:c r="C100" s="235" t="n">
        <x:v>4</x:v>
      </x:c>
      <x:c r="D100" s="208"/>
      <x:c r="E100" s="208"/>
      <x:c r="F100" s="208"/>
      <x:c r="G100" s="208"/>
      <x:c r="H100" s="208"/>
      <x:c r="I100" s="208"/>
      <x:c r="J100" s="208"/>
      <x:c r="K100" s="208"/>
      <x:c r="L100" s="208"/>
      <x:c r="M100" s="208"/>
      <x:c r="N100" s="208"/>
      <x:c r="O100" s="226"/>
      <x:c r="P100" s="226"/>
      <x:c r="Q100" s="226"/>
      <x:c r="R100" s="226"/>
    </x:row>
    <x:row r="101" ht="21" customHeight="1">
      <x:c r="A101" s="196" t="str">
        <x:v>Retención mensual de clientes</x:v>
      </x:c>
      <x:c r="B101" s="196" t="str">
        <x:v>% clientes</x:v>
      </x:c>
      <x:c r="C101" s="234" t="n">
        <x:v>0.95</x:v>
      </x:c>
      <x:c r="D101" s="208"/>
      <x:c r="E101" s="208"/>
      <x:c r="F101" s="208"/>
      <x:c r="G101" s="208"/>
      <x:c r="H101" s="208"/>
      <x:c r="I101" s="208"/>
      <x:c r="J101" s="208"/>
      <x:c r="K101" s="208"/>
      <x:c r="L101" s="208"/>
      <x:c r="M101" s="208"/>
      <x:c r="N101" s="208"/>
      <x:c r="O101" s="226"/>
      <x:c r="P101" s="226"/>
      <x:c r="Q101" s="226"/>
      <x:c r="R101" s="226"/>
    </x:row>
    <x:row r="102" ht="21" customHeight="1">
      <x:c r="A102" s="196" t="str">
        <x:v>Inventario objetivo al cierre</x:v>
      </x:c>
      <x:c r="B102" s="196" t="str">
        <x:v>% ventas anuales</x:v>
      </x:c>
      <x:c r="C102" s="234" t="n">
        <x:v>0.1</x:v>
      </x:c>
      <x:c r="D102" s="208"/>
      <x:c r="E102" s="208"/>
      <x:c r="F102" s="208"/>
      <x:c r="G102" s="208"/>
      <x:c r="H102" s="208"/>
      <x:c r="I102" s="208"/>
      <x:c r="J102" s="208"/>
      <x:c r="K102" s="208"/>
      <x:c r="L102" s="208"/>
      <x:c r="M102" s="208"/>
      <x:c r="N102" s="208"/>
      <x:c r="O102" s="226"/>
      <x:c r="P102" s="226"/>
      <x:c r="Q102" s="226"/>
      <x:c r="R102" s="226"/>
    </x:row>
    <x:row r="103" ht="21" customHeight="1">
      <x:c r="A103" s="196" t="str">
        <x:v>Herramientas, nube y licencias mensuales</x:v>
      </x:c>
      <x:c r="B103" s="196" t="str">
        <x:v>USD/mes</x:v>
      </x:c>
      <x:c r="C103" s="235" t="n">
        <x:v>500</x:v>
      </x:c>
      <x:c r="D103" s="208"/>
      <x:c r="E103" s="208"/>
      <x:c r="F103" s="208"/>
      <x:c r="G103" s="208"/>
      <x:c r="H103" s="208"/>
      <x:c r="I103" s="208"/>
      <x:c r="J103" s="208"/>
      <x:c r="K103" s="208"/>
      <x:c r="L103" s="208"/>
      <x:c r="M103" s="208"/>
      <x:c r="N103" s="208"/>
      <x:c r="O103" s="226"/>
      <x:c r="P103" s="226"/>
      <x:c r="Q103" s="226"/>
      <x:c r="R103" s="226"/>
    </x:row>
    <x:row r="104" ht="21" customHeight="1">
      <x:c r="A104" s="196" t="str">
        <x:v>Reserva de contingencia técnica</x:v>
      </x:c>
      <x:c r="B104" s="196" t="str">
        <x:v>% partidas técnicas</x:v>
      </x:c>
      <x:c r="C104" s="234" t="n">
        <x:v>0.1</x:v>
      </x:c>
      <x:c r="D104" s="208"/>
      <x:c r="E104" s="208"/>
      <x:c r="F104" s="208"/>
      <x:c r="G104" s="208"/>
      <x:c r="H104" s="208"/>
      <x:c r="I104" s="208"/>
      <x:c r="J104" s="208"/>
      <x:c r="K104" s="208"/>
      <x:c r="L104" s="208"/>
      <x:c r="M104" s="208"/>
      <x:c r="N104" s="208"/>
      <x:c r="O104" s="226"/>
      <x:c r="P104" s="226"/>
      <x:c r="Q104" s="226"/>
      <x:c r="R104" s="226"/>
    </x:row>
    <x:row r="105" ht="21" customHeight="1">
      <x:c r="A105" s="196"/>
      <x:c r="B105" s="196"/>
      <x:c r="C105" s="208"/>
      <x:c r="D105" s="208"/>
      <x:c r="E105" s="208"/>
      <x:c r="F105" s="208"/>
      <x:c r="G105" s="208"/>
      <x:c r="H105" s="208"/>
      <x:c r="I105" s="208"/>
      <x:c r="J105" s="208"/>
      <x:c r="K105" s="208"/>
      <x:c r="L105" s="208"/>
      <x:c r="M105" s="208"/>
      <x:c r="N105" s="208"/>
      <x:c r="O105" s="226"/>
      <x:c r="P105" s="226"/>
      <x:c r="Q105" s="226"/>
      <x:c r="R105" s="226"/>
    </x:row>
    <x:row r="106" ht="21" customHeight="1">
      <x:c r="A106" s="198" t="str">
        <x:v>Criterios del escenario</x:v>
      </x:c>
      <x:c r="B106" s="199"/>
      <x:c r="C106" s="227"/>
      <x:c r="D106" s="227"/>
      <x:c r="E106" s="227"/>
      <x:c r="F106" s="227"/>
      <x:c r="G106" s="227"/>
      <x:c r="H106" s="227"/>
      <x:c r="I106" s="227"/>
      <x:c r="J106" s="227"/>
      <x:c r="K106" s="227"/>
      <x:c r="L106" s="227"/>
      <x:c r="M106" s="227"/>
      <x:c r="N106" s="227"/>
      <x:c r="O106" s="228"/>
      <x:c r="P106" s="228"/>
      <x:c r="Q106" s="228"/>
      <x:c r="R106" s="229"/>
    </x:row>
    <x:row r="107" ht="21" customHeight="1">
      <x:c r="A107" s="205" t="str">
        <x:v>Año 1: doce meses de desarrollo con cuatro personas full-time. Las horas son capacidad derivada, no presupuesto por tarea.</x:v>
      </x:c>
      <x:c r="B107" s="196"/>
      <x:c r="C107" s="208"/>
      <x:c r="D107" s="208"/>
      <x:c r="E107" s="208"/>
      <x:c r="F107" s="208"/>
      <x:c r="G107" s="208"/>
      <x:c r="H107" s="208"/>
      <x:c r="I107" s="208"/>
      <x:c r="J107" s="208"/>
      <x:c r="K107" s="208"/>
      <x:c r="L107" s="208"/>
      <x:c r="M107" s="208"/>
      <x:c r="N107" s="208"/>
      <x:c r="O107" s="226"/>
      <x:c r="P107" s="226"/>
      <x:c r="Q107" s="226"/>
      <x:c r="R107" s="226"/>
    </x:row>
    <x:row r="108" ht="21" customHeight="1">
      <x:c r="A108" s="206" t="str">
        <x:v>El prototipo integrado es un hito intermedio; el entregable del mes 12 es el MVP sujeto a validación funcional y técnica.</x:v>
      </x:c>
      <x:c r="B108" s="204"/>
      <x:c r="C108" s="237"/>
      <x:c r="D108" s="237"/>
      <x:c r="E108" s="237"/>
      <x:c r="F108" s="237"/>
      <x:c r="G108" s="237"/>
      <x:c r="H108" s="237"/>
      <x:c r="I108" s="237"/>
      <x:c r="J108" s="237"/>
      <x:c r="K108" s="237"/>
      <x:c r="L108" s="237"/>
      <x:c r="M108" s="237"/>
      <x:c r="N108" s="237"/>
      <x:c r="O108" s="226"/>
      <x:c r="P108" s="226"/>
      <x:c r="Q108" s="226"/>
      <x:c r="R108" s="226"/>
    </x:row>
    <x:row r="109" ht="21" customHeight="1">
      <x:c r="A109" s="205" t="str">
        <x:v>No hay ventas en el año 1. La explotación comienza en el año 2 y queda condicionada a los requisitos regulatorios aplicables.</x:v>
      </x:c>
      <x:c r="B109" s="196"/>
      <x:c r="C109" s="208"/>
      <x:c r="D109" s="208"/>
      <x:c r="E109" s="208"/>
      <x:c r="F109" s="208"/>
      <x:c r="G109" s="208"/>
      <x:c r="H109" s="208"/>
      <x:c r="I109" s="208"/>
      <x:c r="J109" s="208"/>
      <x:c r="K109" s="208"/>
      <x:c r="L109" s="208"/>
      <x:c r="M109" s="208"/>
      <x:c r="N109" s="208"/>
      <x:c r="O109" s="226"/>
      <x:c r="P109" s="226"/>
      <x:c r="Q109" s="226"/>
      <x:c r="R109" s="226"/>
    </x:row>
    <x:row r="110" ht="21" customHeight="1">
      <x:c r="A110" s="205" t="str">
        <x:v>La merma aumenta las unidades brutas a fabricar. El inventario objetivo y las ventas determinan la producción anual.</x:v>
      </x:c>
      <x:c r="B110" s="196"/>
      <x:c r="C110" s="208"/>
      <x:c r="D110" s="208"/>
      <x:c r="E110" s="208"/>
      <x:c r="F110" s="208"/>
      <x:c r="G110" s="208"/>
      <x:c r="H110" s="208"/>
      <x:c r="I110" s="208"/>
      <x:c r="J110" s="208"/>
      <x:c r="K110" s="208"/>
      <x:c r="L110" s="208"/>
      <x:c r="M110" s="208"/>
      <x:c r="N110" s="208"/>
      <x:c r="O110" s="226"/>
      <x:c r="P110" s="226"/>
      <x:c r="Q110" s="226"/>
      <x:c r="R110" s="226"/>
    </x:row>
    <x:row r="111" ht="21" customHeight="1">
      <x:c r="A111" s="205" t="str">
        <x:v>Los acuerdos de canal se modelan como costo comercial, nunca como pago por decisión o derivación clínica.</x:v>
      </x:c>
      <x:c r="B111" s="196"/>
      <x:c r="C111" s="233"/>
      <x:c r="D111" s="233"/>
      <x:c r="E111" s="233"/>
      <x:c r="F111" s="233"/>
      <x:c r="G111" s="233"/>
      <x:c r="H111" s="233"/>
      <x:c r="I111" s="233"/>
      <x:c r="J111" s="233"/>
      <x:c r="K111" s="233"/>
      <x:c r="L111" s="233"/>
      <x:c r="M111" s="233"/>
      <x:c r="N111" s="233"/>
      <x:c r="O111" s="226"/>
      <x:c r="P111" s="226"/>
      <x:c r="Q111" s="226"/>
      <x:c r="R111" s="226"/>
    </x:row>
    <x:row r="112" ht="21" customHeight="1">
      <x:c r="A112" s="205" t="str">
        <x:v>El 50% general anterior se elimina. Se usan merma de producción y una reserva técnica separada, aplicadas una sola vez.</x:v>
      </x:c>
      <x:c r="B112" s="196"/>
      <x:c r="C112" s="233"/>
      <x:c r="D112" s="233"/>
      <x:c r="E112" s="233"/>
      <x:c r="F112" s="233"/>
      <x:c r="G112" s="233"/>
      <x:c r="H112" s="233"/>
      <x:c r="I112" s="233"/>
      <x:c r="J112" s="233"/>
      <x:c r="K112" s="233"/>
      <x:c r="L112" s="233"/>
      <x:c r="M112" s="233"/>
      <x:c r="N112" s="233"/>
      <x:c r="O112" s="226"/>
      <x:c r="P112" s="226"/>
      <x:c r="Q112" s="226"/>
      <x:c r="R112" s="226"/>
    </x:row>
    <x:row r="113" ht="21" customHeight="1">
      <x:c r="A113" s="205" t="str">
        <x:v>TAM de referencia: alrededor de 4 millones de adultos con diabetes tipo 2; el embudo de clínicas determina el mercado obtenible.</x:v>
      </x:c>
      <x:c r="B113" s="196"/>
      <x:c r="C113" s="233"/>
      <x:c r="D113" s="233"/>
      <x:c r="E113" s="233"/>
      <x:c r="F113" s="233"/>
      <x:c r="G113" s="233"/>
      <x:c r="H113" s="233"/>
      <x:c r="I113" s="233"/>
      <x:c r="J113" s="233"/>
      <x:c r="K113" s="233"/>
      <x:c r="L113" s="233"/>
      <x:c r="M113" s="233"/>
      <x:c r="N113" s="233"/>
      <x:c r="O113" s="226"/>
      <x:c r="P113" s="226"/>
      <x:c r="Q113" s="226"/>
      <x:c r="R113" s="226"/>
    </x:row>
    <x:row r="114" ht="21" customHeight="1">
      <x:c r="A114" s="205" t="str">
        <x:v>VAN y TIR son salidas informativas. El modelo no modifica supuestos para obtener un resultado financiero deseado.</x:v>
      </x:c>
      <x:c r="B114" s="196"/>
      <x:c r="C114" s="208" t="n">
        <x:f>C118</x:f>
        <x:v>0</x:v>
      </x:c>
      <x:c r="D114" s="208" t="n">
        <x:f>D118</x:f>
        <x:v>0</x:v>
      </x:c>
      <x:c r="E114" s="208" t="n">
        <x:f>E118</x:f>
        <x:v>0</x:v>
      </x:c>
      <x:c r="F114" s="208" t="n">
        <x:f>F118</x:f>
        <x:v>0</x:v>
      </x:c>
      <x:c r="G114" s="208" t="n">
        <x:f>G118</x:f>
        <x:v>0</x:v>
      </x:c>
      <x:c r="H114" s="208" t="n">
        <x:f>H118</x:f>
        <x:v>0</x:v>
      </x:c>
      <x:c r="I114" s="208" t="n">
        <x:f>I118</x:f>
        <x:v>0</x:v>
      </x:c>
      <x:c r="J114" s="208" t="n">
        <x:f>J118</x:f>
        <x:v>0</x:v>
      </x:c>
      <x:c r="K114" s="208" t="n">
        <x:f>K118</x:f>
        <x:v>0</x:v>
      </x:c>
      <x:c r="L114" s="208" t="n">
        <x:f>L118</x:f>
        <x:v>0</x:v>
      </x:c>
      <x:c r="M114" s="208" t="n">
        <x:f>M118</x:f>
        <x:v>100</x:v>
      </x:c>
      <x:c r="N114" s="208" t="n">
        <x:f>N118</x:f>
        <x:v>0</x:v>
      </x:c>
      <x:c r="O114" s="226"/>
      <x:c r="P114" s="226"/>
      <x:c r="Q114" s="226"/>
      <x:c r="R114" s="226"/>
    </x:row>
    <x:row r="115" ht="21" customHeight="1">
      <x:c r="A115" s="196"/>
      <x:c r="B115" s="196"/>
      <x:c r="C115" s="208"/>
      <x:c r="D115" s="208"/>
      <x:c r="E115" s="208"/>
      <x:c r="F115" s="208"/>
      <x:c r="G115" s="208"/>
      <x:c r="H115" s="208"/>
      <x:c r="I115" s="208"/>
      <x:c r="J115" s="208"/>
      <x:c r="K115" s="208"/>
      <x:c r="L115" s="208"/>
      <x:c r="M115" s="208"/>
      <x:c r="N115" s="208"/>
      <x:c r="O115" s="226"/>
      <x:c r="P115" s="226"/>
      <x:c r="Q115" s="226"/>
      <x:c r="R115" s="226"/>
    </x:row>
    <x:row r="116" ht="21" customHeight="1">
      <x:c r="A116" s="198" t="str">
        <x:v>Plan mensual editable del año 1</x:v>
      </x:c>
      <x:c r="B116" s="199"/>
      <x:c r="C116" s="227"/>
      <x:c r="D116" s="227"/>
      <x:c r="E116" s="227"/>
      <x:c r="F116" s="227"/>
      <x:c r="G116" s="227"/>
      <x:c r="H116" s="227"/>
      <x:c r="I116" s="227"/>
      <x:c r="J116" s="227"/>
      <x:c r="K116" s="227"/>
      <x:c r="L116" s="227"/>
      <x:c r="M116" s="227"/>
      <x:c r="N116" s="227"/>
      <x:c r="O116" s="228"/>
      <x:c r="P116" s="228"/>
      <x:c r="Q116" s="228"/>
      <x:c r="R116" s="229"/>
    </x:row>
    <x:row r="117" ht="21" customHeight="1">
      <x:c r="A117" s="196" t="str">
        <x:v>Actividad / control</x:v>
      </x:c>
      <x:c r="B117" s="196" t="str">
        <x:v>Unidad</x:v>
      </x:c>
      <x:c r="C117" s="233" t="str">
        <x:v>Mes 1</x:v>
      </x:c>
      <x:c r="D117" s="233" t="str">
        <x:v>Mes 2</x:v>
      </x:c>
      <x:c r="E117" s="233" t="str">
        <x:v>Mes 3</x:v>
      </x:c>
      <x:c r="F117" s="233" t="str">
        <x:v>Mes 4</x:v>
      </x:c>
      <x:c r="G117" s="233" t="str">
        <x:v>Mes 5</x:v>
      </x:c>
      <x:c r="H117" s="233" t="str">
        <x:v>Mes 6</x:v>
      </x:c>
      <x:c r="I117" s="233" t="str">
        <x:v>Mes 7</x:v>
      </x:c>
      <x:c r="J117" s="233" t="str">
        <x:v>Mes 8</x:v>
      </x:c>
      <x:c r="K117" s="233" t="str">
        <x:v>Mes 9</x:v>
      </x:c>
      <x:c r="L117" s="233" t="str">
        <x:v>Mes 10</x:v>
      </x:c>
      <x:c r="M117" s="233" t="str">
        <x:v>Mes 11</x:v>
      </x:c>
      <x:c r="N117" s="233" t="str">
        <x:v>Mes 12</x:v>
      </x:c>
      <x:c r="O117" s="226"/>
      <x:c r="P117" s="226"/>
      <x:c r="Q117" s="226"/>
      <x:c r="R117" s="226"/>
    </x:row>
    <x:row r="118" ht="21" customHeight="1">
      <x:c r="A118" s="196" t="str">
        <x:v>Kits aceptados recibidos</x:v>
      </x:c>
      <x:c r="B118" s="196" t="str">
        <x:v>unidades</x:v>
      </x:c>
      <x:c r="C118" s="233" t="n">
        <x:v>0</x:v>
      </x:c>
      <x:c r="D118" s="233" t="n">
        <x:v>0</x:v>
      </x:c>
      <x:c r="E118" s="233" t="n">
        <x:v>0</x:v>
      </x:c>
      <x:c r="F118" s="233" t="n">
        <x:v>0</x:v>
      </x:c>
      <x:c r="G118" s="233" t="n">
        <x:v>0</x:v>
      </x:c>
      <x:c r="H118" s="233" t="n">
        <x:v>0</x:v>
      </x:c>
      <x:c r="I118" s="233" t="n">
        <x:v>0</x:v>
      </x:c>
      <x:c r="J118" s="233" t="n">
        <x:v>0</x:v>
      </x:c>
      <x:c r="K118" s="233" t="n">
        <x:v>0</x:v>
      </x:c>
      <x:c r="L118" s="233" t="n">
        <x:v>0</x:v>
      </x:c>
      <x:c r="M118" s="233" t="n">
        <x:v>100</x:v>
      </x:c>
      <x:c r="N118" s="233" t="n">
        <x:v>0</x:v>
      </x:c>
      <x:c r="O118" s="226"/>
      <x:c r="P118" s="226"/>
      <x:c r="Q118" s="226"/>
      <x:c r="R118" s="226"/>
    </x:row>
    <x:row r="119" ht="21" customHeight="1">
      <x:c r="A119" s="196" t="str">
        <x:v>Control de dotación</x:v>
      </x:c>
      <x:c r="B119" s="196" t="str">
        <x:v>FTE</x:v>
      </x:c>
      <x:c r="C119" s="233" t="n">
        <x:f>$C$73+$C$74</x:f>
        <x:v>4</x:v>
      </x:c>
      <x:c r="D119" s="233"/>
      <x:c r="E119" s="233"/>
      <x:c r="F119" s="233"/>
      <x:c r="G119" s="233"/>
      <x:c r="H119" s="233"/>
      <x:c r="I119" s="233"/>
      <x:c r="J119" s="233"/>
      <x:c r="K119" s="233"/>
      <x:c r="L119" s="233"/>
      <x:c r="M119" s="233"/>
      <x:c r="N119" s="233"/>
      <x:c r="O119" s="226"/>
      <x:c r="P119" s="226"/>
      <x:c r="Q119" s="226"/>
      <x:c r="R119" s="226"/>
    </x:row>
    <x:row r="120" ht="21" customHeight="1">
      <x:c r="A120" s="196" t="str">
        <x:v>Capacidad bruta del año</x:v>
      </x:c>
      <x:c r="B120" s="196" t="str">
        <x:v>horas</x:v>
      </x:c>
      <x:c r="C120" s="233" t="n">
        <x:f>C119*$C$75*$C$76</x:f>
        <x:v>7680</x:v>
      </x:c>
      <x:c r="D120" s="233"/>
      <x:c r="E120" s="233"/>
      <x:c r="F120" s="233"/>
      <x:c r="G120" s="233"/>
      <x:c r="H120" s="233"/>
      <x:c r="I120" s="233"/>
      <x:c r="J120" s="233"/>
      <x:c r="K120" s="233"/>
      <x:c r="L120" s="233"/>
      <x:c r="M120" s="233"/>
      <x:c r="N120" s="233"/>
      <x:c r="O120" s="226"/>
      <x:c r="P120" s="226"/>
      <x:c r="Q120" s="226"/>
      <x:c r="R120" s="226"/>
    </x:row>
    <x:row r="121" ht="21" customHeight="1">
      <x:c r="A121" s="196"/>
      <x:c r="B121" s="196"/>
      <x:c r="C121" s="233"/>
      <x:c r="D121" s="233"/>
      <x:c r="E121" s="233"/>
      <x:c r="F121" s="233"/>
      <x:c r="G121" s="233"/>
      <x:c r="H121" s="233"/>
      <x:c r="I121" s="233"/>
      <x:c r="J121" s="233"/>
      <x:c r="K121" s="233"/>
      <x:c r="L121" s="233"/>
      <x:c r="M121" s="233"/>
      <x:c r="N121" s="233"/>
      <x:c r="O121" s="226"/>
      <x:c r="P121" s="226"/>
      <x:c r="Q121" s="226"/>
      <x:c r="R121" s="226"/>
    </x:row>
    <x:row r="122" ht="21" customHeight="1">
      <x:c r="A122" s="196"/>
      <x:c r="B122" s="196"/>
      <x:c r="C122" s="233"/>
      <x:c r="D122" s="233"/>
      <x:c r="E122" s="233"/>
      <x:c r="F122" s="233"/>
      <x:c r="G122" s="233"/>
      <x:c r="H122" s="233"/>
      <x:c r="I122" s="233"/>
      <x:c r="J122" s="233"/>
      <x:c r="K122" s="233"/>
      <x:c r="L122" s="233"/>
      <x:c r="M122" s="233"/>
      <x:c r="N122" s="233"/>
      <x:c r="O122" s="226"/>
      <x:c r="P122" s="226"/>
      <x:c r="Q122" s="226"/>
      <x:c r="R122" s="226"/>
    </x:row>
    <x:row r="123" ht="21" customHeight="1">
      <x:c r="A123" s="196"/>
      <x:c r="B123" s="196"/>
      <x:c r="C123" s="233"/>
      <x:c r="D123" s="233"/>
      <x:c r="E123" s="233"/>
      <x:c r="F123" s="233"/>
      <x:c r="G123" s="233"/>
      <x:c r="H123" s="233"/>
      <x:c r="I123" s="233"/>
      <x:c r="J123" s="233"/>
      <x:c r="K123" s="233"/>
      <x:c r="L123" s="233"/>
      <x:c r="M123" s="233"/>
      <x:c r="N123" s="233"/>
      <x:c r="O123" s="226"/>
      <x:c r="P123" s="226"/>
      <x:c r="Q123" s="226"/>
      <x:c r="R123" s="226"/>
    </x:row>
    <x:row r="124" ht="21" customHeight="1">
      <x:c r="A124" s="196"/>
      <x:c r="B124" s="196"/>
      <x:c r="C124" s="233"/>
      <x:c r="D124" s="233"/>
      <x:c r="E124" s="233"/>
      <x:c r="F124" s="233"/>
      <x:c r="G124" s="233"/>
      <x:c r="H124" s="233"/>
      <x:c r="I124" s="233"/>
      <x:c r="J124" s="233"/>
      <x:c r="K124" s="233"/>
      <x:c r="L124" s="233"/>
      <x:c r="M124" s="233"/>
      <x:c r="N124" s="233"/>
      <x:c r="O124" s="226"/>
      <x:c r="P124" s="226"/>
      <x:c r="Q124" s="226"/>
      <x:c r="R124" s="226"/>
    </x:row>
    <x:row r="125" ht="21" customHeight="1">
      <x:c r="A125" s="196"/>
      <x:c r="B125" s="196"/>
      <x:c r="C125" s="208"/>
      <x:c r="D125" s="208"/>
      <x:c r="E125" s="208"/>
      <x:c r="F125" s="208"/>
      <x:c r="G125" s="208"/>
      <x:c r="H125" s="208"/>
      <x:c r="I125" s="208"/>
      <x:c r="J125" s="208"/>
      <x:c r="K125" s="208"/>
      <x:c r="L125" s="208"/>
      <x:c r="M125" s="208"/>
      <x:c r="N125" s="208"/>
      <x:c r="O125" s="226"/>
      <x:c r="P125" s="226"/>
      <x:c r="Q125" s="226"/>
      <x:c r="R125" s="226"/>
    </x:row>
    <x:row r="126" ht="21" customHeight="1">
      <x:c r="A126" s="196"/>
      <x:c r="B126" s="196"/>
      <x:c r="C126" s="208"/>
      <x:c r="D126" s="208"/>
      <x:c r="E126" s="208"/>
      <x:c r="F126" s="208"/>
      <x:c r="G126" s="208"/>
      <x:c r="H126" s="208"/>
      <x:c r="I126" s="208"/>
      <x:c r="J126" s="208"/>
      <x:c r="K126" s="208"/>
      <x:c r="L126" s="208"/>
      <x:c r="M126" s="208"/>
      <x:c r="N126" s="208"/>
      <x:c r="O126" s="226"/>
      <x:c r="P126" s="226"/>
      <x:c r="Q126" s="226"/>
      <x:c r="R126" s="226"/>
    </x:row>
    <x:row r="127" ht="21" customHeight="1">
      <x:c r="A127" s="196"/>
      <x:c r="B127" s="196"/>
      <x:c r="C127" s="208"/>
      <x:c r="D127" s="208"/>
      <x:c r="E127" s="208"/>
      <x:c r="F127" s="208"/>
      <x:c r="G127" s="208"/>
      <x:c r="H127" s="208"/>
      <x:c r="I127" s="208"/>
      <x:c r="J127" s="208"/>
      <x:c r="K127" s="208"/>
      <x:c r="L127" s="208"/>
      <x:c r="M127" s="208"/>
      <x:c r="N127" s="208"/>
      <x:c r="O127" s="226"/>
      <x:c r="P127" s="226"/>
      <x:c r="Q127" s="226"/>
      <x:c r="R127" s="226"/>
    </x:row>
    <x:row r="128" ht="15.75" customHeight="1">
      <x:c r="A128" s="207"/>
      <x:c r="B128" s="207"/>
      <x:c r="C128" s="208"/>
      <x:c r="D128" s="208"/>
      <x:c r="E128" s="208"/>
      <x:c r="F128" s="208"/>
      <x:c r="G128" s="208"/>
      <x:c r="H128" s="208"/>
      <x:c r="I128" s="208"/>
      <x:c r="J128" s="208"/>
      <x:c r="K128" s="208"/>
      <x:c r="L128" s="208"/>
      <x:c r="M128" s="208"/>
      <x:c r="N128" s="208"/>
      <x:c r="O128" s="226"/>
      <x:c r="P128" s="226"/>
      <x:c r="Q128" s="226"/>
      <x:c r="R128" s="226"/>
    </x:row>
    <x:row r="129" ht="21" customHeight="1">
      <x:c r="A129" s="198" t="str">
        <x:v>Supuestos y cálculos de los años 2, 3 y 4</x:v>
      </x:c>
      <x:c r="B129" s="199"/>
      <x:c r="C129" s="227"/>
      <x:c r="D129" s="227"/>
      <x:c r="E129" s="227"/>
      <x:c r="F129" s="227"/>
      <x:c r="G129" s="227"/>
      <x:c r="H129" s="227"/>
      <x:c r="I129" s="227"/>
      <x:c r="J129" s="227"/>
      <x:c r="K129" s="227"/>
      <x:c r="L129" s="227"/>
      <x:c r="M129" s="227"/>
      <x:c r="N129" s="227"/>
      <x:c r="O129" s="228"/>
      <x:c r="P129" s="228"/>
      <x:c r="Q129" s="228"/>
      <x:c r="R129" s="229"/>
    </x:row>
    <x:row r="130" ht="21" customHeight="1">
      <x:c r="A130" s="196"/>
      <x:c r="B130" s="196"/>
      <x:c r="C130" s="208"/>
      <x:c r="D130" s="208"/>
      <x:c r="E130" s="208"/>
      <x:c r="F130" s="208"/>
      <x:c r="G130" s="208"/>
      <x:c r="H130" s="208"/>
      <x:c r="I130" s="208"/>
      <x:c r="J130" s="208"/>
      <x:c r="K130" s="208"/>
      <x:c r="L130" s="208"/>
      <x:c r="M130" s="208"/>
      <x:c r="N130" s="208"/>
      <x:c r="O130" s="226"/>
      <x:c r="P130" s="226" t="str">
        <x:v>Año 2</x:v>
      </x:c>
      <x:c r="Q130" s="226" t="str">
        <x:v>Año 3</x:v>
      </x:c>
      <x:c r="R130" s="226" t="str">
        <x:v>Año 4</x:v>
      </x:c>
    </x:row>
    <x:row r="131" ht="21" customHeight="1">
      <x:c r="A131" s="196" t="str">
        <x:v>Ventas anuales de kits</x:v>
      </x:c>
      <x:c r="B131" s="196"/>
      <x:c r="C131" s="208"/>
      <x:c r="D131" s="208"/>
      <x:c r="E131" s="208"/>
      <x:c r="F131" s="208"/>
      <x:c r="G131" s="208"/>
      <x:c r="H131" s="208"/>
      <x:c r="I131" s="208"/>
      <x:c r="J131" s="208"/>
      <x:c r="K131" s="208"/>
      <x:c r="L131" s="208"/>
      <x:c r="M131" s="208"/>
      <x:c r="N131" s="208"/>
      <x:c r="O131" s="238"/>
      <x:c r="P131" s="238" t="n">
        <x:f>'Plan comercial'!C24</x:f>
        <x:v>300</x:v>
      </x:c>
      <x:c r="Q131" s="238" t="n">
        <x:f>'Plan comercial'!D24</x:f>
        <x:v>800</x:v>
      </x:c>
      <x:c r="R131" s="238" t="n">
        <x:f>'Plan comercial'!E24</x:f>
        <x:v>1680</x:v>
      </x:c>
    </x:row>
    <x:row r="132" ht="21" customHeight="1">
      <x:c r="A132" s="196" t="str">
        <x:v>Producción neta de kits</x:v>
      </x:c>
      <x:c r="B132" s="196"/>
      <x:c r="C132" s="208"/>
      <x:c r="D132" s="208"/>
      <x:c r="E132" s="208"/>
      <x:c r="F132" s="208"/>
      <x:c r="G132" s="208"/>
      <x:c r="H132" s="208"/>
      <x:c r="I132" s="208"/>
      <x:c r="J132" s="208"/>
      <x:c r="K132" s="208"/>
      <x:c r="L132" s="208"/>
      <x:c r="M132" s="208"/>
      <x:c r="N132" s="208"/>
      <x:c r="O132" s="238"/>
      <x:c r="P132" s="238" t="n">
        <x:f>ROUNDUP(MAX(0,P131-N62)+P131*$C$102,0)</x:f>
        <x:v>230</x:v>
      </x:c>
      <x:c r="Q132" s="238" t="n">
        <x:f>ROUNDUP(MAX(0,Q131-P62)+Q131*$C$102,0)</x:f>
        <x:v>850</x:v>
      </x:c>
      <x:c r="R132" s="238" t="n">
        <x:f>ROUNDUP(MAX(0,R131-Q62)+R131*$C$102,0)</x:f>
        <x:v>1768</x:v>
      </x:c>
    </x:row>
    <x:row r="133" ht="21" customHeight="1">
      <x:c r="A133" s="196" t="str">
        <x:v>Equipo comercial fijo (FTE)</x:v>
      </x:c>
      <x:c r="B133" s="196"/>
      <x:c r="C133" s="208"/>
      <x:c r="D133" s="208"/>
      <x:c r="E133" s="208"/>
      <x:c r="F133" s="208"/>
      <x:c r="G133" s="208"/>
      <x:c r="H133" s="208"/>
      <x:c r="I133" s="208"/>
      <x:c r="J133" s="208"/>
      <x:c r="K133" s="208"/>
      <x:c r="L133" s="208"/>
      <x:c r="M133" s="208"/>
      <x:c r="N133" s="208"/>
      <x:c r="O133" s="238"/>
      <x:c r="P133" s="238" t="n">
        <x:f>'Plan comercial'!C28</x:f>
        <x:v>1</x:v>
      </x:c>
      <x:c r="Q133" s="238" t="n">
        <x:f>'Plan comercial'!D28</x:f>
        <x:v>2</x:v>
      </x:c>
      <x:c r="R133" s="238" t="n">
        <x:f>'Plan comercial'!E28</x:f>
        <x:v>3</x:v>
      </x:c>
    </x:row>
    <x:row r="134" ht="21" customHeight="1">
      <x:c r="A134" s="196" t="str">
        <x:v>Difusión mensual (USD)</x:v>
      </x:c>
      <x:c r="B134" s="196"/>
      <x:c r="C134" s="208"/>
      <x:c r="D134" s="208"/>
      <x:c r="E134" s="208"/>
      <x:c r="F134" s="208"/>
      <x:c r="G134" s="208"/>
      <x:c r="H134" s="208"/>
      <x:c r="I134" s="208"/>
      <x:c r="J134" s="208"/>
      <x:c r="K134" s="208"/>
      <x:c r="L134" s="208"/>
      <x:c r="M134" s="208"/>
      <x:c r="N134" s="208"/>
      <x:c r="O134" s="238"/>
      <x:c r="P134" s="238" t="n">
        <x:f>'Plan comercial'!C34</x:f>
        <x:v>2000</x:v>
      </x:c>
      <x:c r="Q134" s="238" t="n">
        <x:f>'Plan comercial'!D34</x:f>
        <x:v>3500</x:v>
      </x:c>
      <x:c r="R134" s="238" t="n">
        <x:f>'Plan comercial'!E34</x:f>
        <x:v>5000</x:v>
      </x:c>
    </x:row>
    <x:row r="135" ht="21" customHeight="1">
      <x:c r="A135" s="196"/>
      <x:c r="B135" s="196"/>
      <x:c r="C135" s="208"/>
      <x:c r="D135" s="208"/>
      <x:c r="E135" s="208"/>
      <x:c r="F135" s="208"/>
      <x:c r="G135" s="208"/>
      <x:c r="H135" s="208"/>
      <x:c r="I135" s="208"/>
      <x:c r="J135" s="208"/>
      <x:c r="K135" s="208"/>
      <x:c r="L135" s="208"/>
      <x:c r="M135" s="208"/>
      <x:c r="N135" s="208"/>
      <x:c r="O135" s="226"/>
      <x:c r="P135" s="226"/>
      <x:c r="Q135" s="226"/>
      <x:c r="R135" s="226"/>
    </x:row>
    <x:row r="136" ht="21" customHeight="1">
      <x:c r="A136" s="198" t="str">
        <x:v>Cálculo anual de clientes y recambios</x:v>
      </x:c>
      <x:c r="B136" s="199"/>
      <x:c r="C136" s="227"/>
      <x:c r="D136" s="227"/>
      <x:c r="E136" s="227"/>
      <x:c r="F136" s="227"/>
      <x:c r="G136" s="227"/>
      <x:c r="H136" s="227"/>
      <x:c r="I136" s="227"/>
      <x:c r="J136" s="227"/>
      <x:c r="K136" s="227"/>
      <x:c r="L136" s="227"/>
      <x:c r="M136" s="227"/>
      <x:c r="N136" s="227"/>
      <x:c r="O136" s="228"/>
      <x:c r="P136" s="228"/>
      <x:c r="Q136" s="228"/>
      <x:c r="R136" s="229"/>
    </x:row>
    <x:row r="137" ht="21" customHeight="1">
      <x:c r="A137" s="196" t="str">
        <x:v>Meses por año</x:v>
      </x:c>
      <x:c r="B137" s="196"/>
      <x:c r="C137" s="208"/>
      <x:c r="D137" s="208"/>
      <x:c r="E137" s="208"/>
      <x:c r="F137" s="208"/>
      <x:c r="G137" s="208"/>
      <x:c r="H137" s="208"/>
      <x:c r="I137" s="208"/>
      <x:c r="J137" s="208"/>
      <x:c r="K137" s="208"/>
      <x:c r="L137" s="208"/>
      <x:c r="M137" s="208"/>
      <x:c r="N137" s="208"/>
      <x:c r="O137" s="226"/>
      <x:c r="P137" s="226" t="n">
        <x:v>12</x:v>
      </x:c>
      <x:c r="Q137" s="226" t="n">
        <x:v>12</x:v>
      </x:c>
      <x:c r="R137" s="226" t="n">
        <x:v>12</x:v>
      </x:c>
    </x:row>
    <x:row r="138" ht="21" customHeight="1">
      <x:c r="A138" s="196" t="str">
        <x:v>Meses acumulados por cliente inicial</x:v>
      </x:c>
      <x:c r="B138" s="196"/>
      <x:c r="C138" s="208"/>
      <x:c r="D138" s="208"/>
      <x:c r="E138" s="208"/>
      <x:c r="F138" s="208"/>
      <x:c r="G138" s="208"/>
      <x:c r="H138" s="208"/>
      <x:c r="I138" s="208"/>
      <x:c r="J138" s="208"/>
      <x:c r="K138" s="208"/>
      <x:c r="L138" s="208"/>
      <x:c r="M138" s="208"/>
      <x:c r="N138" s="208"/>
      <x:c r="O138" s="239"/>
      <x:c r="P138" s="239" t="n">
        <x:f t="shared" ref="P138:R138" si="73">IF($C$101=1,P137,(1-$C$101^P137)/(1-$C$101))</x:f>
        <x:v>9.192798246747259</x:v>
      </x:c>
      <x:c r="Q138" s="239" t="n">
        <x:f t="shared" si="73">IF($C$101=1,Q137,(1-$C$101^Q137)/(1-$C$101))</x:f>
        <x:v>9.192798246747259</x:v>
      </x:c>
      <x:c r="R138" s="239" t="n">
        <x:f t="shared" si="73">IF($C$101=1,R137,(1-$C$101^R137)/(1-$C$101))</x:f>
        <x:v>9.192798246747259</x:v>
      </x:c>
    </x:row>
    <x:row r="139" ht="21" customHeight="1">
      <x:c r="A139" s="196" t="str">
        <x:v>Factor de altas durante el año</x:v>
      </x:c>
      <x:c r="B139" s="196"/>
      <x:c r="C139" s="208"/>
      <x:c r="D139" s="208"/>
      <x:c r="E139" s="208"/>
      <x:c r="F139" s="208"/>
      <x:c r="G139" s="208"/>
      <x:c r="H139" s="208"/>
      <x:c r="I139" s="208"/>
      <x:c r="J139" s="208"/>
      <x:c r="K139" s="208"/>
      <x:c r="L139" s="208"/>
      <x:c r="M139" s="208"/>
      <x:c r="N139" s="208"/>
      <x:c r="O139" s="239"/>
      <x:c r="P139" s="239" t="n">
        <x:f t="shared" ref="P139:R139" si="74">IF($C$101=1,P137*(P137-1)/2,(P137-P138)/(1-$C$101))</x:f>
        <x:v>56.14403506505477</x:v>
      </x:c>
      <x:c r="Q139" s="239" t="n">
        <x:f t="shared" si="74">IF($C$101=1,Q137*(Q137-1)/2,(Q137-Q138)/(1-$C$101))</x:f>
        <x:v>56.14403506505477</x:v>
      </x:c>
      <x:c r="R139" s="239" t="n">
        <x:f t="shared" si="74">IF($C$101=1,R137*(R137-1)/2,(R137-R138)/(1-$C$101))</x:f>
        <x:v>56.14403506505477</x:v>
      </x:c>
    </x:row>
    <x:row r="140" ht="21" customHeight="1">
      <x:c r="A140" s="196" t="str">
        <x:v>Clientes activos en el primer mes</x:v>
      </x:c>
      <x:c r="B140" s="196"/>
      <x:c r="C140" s="208"/>
      <x:c r="D140" s="208"/>
      <x:c r="E140" s="208"/>
      <x:c r="F140" s="208"/>
      <x:c r="G140" s="208"/>
      <x:c r="H140" s="208"/>
      <x:c r="I140" s="208"/>
      <x:c r="J140" s="208"/>
      <x:c r="K140" s="208"/>
      <x:c r="L140" s="208"/>
      <x:c r="M140" s="208"/>
      <x:c r="N140" s="208"/>
      <x:c r="O140" s="239"/>
      <x:c r="P140" s="239" t="n">
        <x:f>N60*$C$101+P131/P137</x:f>
        <x:v>25</x:v>
      </x:c>
      <x:c r="Q140" s="239" t="n">
        <x:f t="shared" ref="Q140:R140" si="75">P141*$C$101+Q131/Q137</x:f>
        <x:v>284.99562502691407</x:v>
      </x:c>
      <x:c r="R140" s="239" t="n">
        <x:f t="shared" si="75">Q141*$C$101+R131/R137</x:f>
        <x:v>840.1868107061619</x:v>
      </x:c>
    </x:row>
    <x:row r="141" ht="21" customHeight="1">
      <x:c r="A141" s="196" t="str">
        <x:v>Clientes activos en el último mes</x:v>
      </x:c>
      <x:c r="B141" s="196"/>
      <x:c r="C141" s="208"/>
      <x:c r="D141" s="208"/>
      <x:c r="E141" s="208"/>
      <x:c r="F141" s="208"/>
      <x:c r="G141" s="208"/>
      <x:c r="H141" s="208"/>
      <x:c r="I141" s="208"/>
      <x:c r="J141" s="208"/>
      <x:c r="K141" s="208"/>
      <x:c r="L141" s="208"/>
      <x:c r="M141" s="208"/>
      <x:c r="N141" s="208"/>
      <x:c r="O141" s="239"/>
      <x:c r="P141" s="239" t="n">
        <x:f t="shared" ref="P141:R141" si="76">P140*$C$101^(P137-1)+P131/P137*(P138-$C$101^(P137-1))</x:f>
        <x:v>229.81995616868147</x:v>
      </x:c>
      <x:c r="Q141" s="239" t="n">
        <x:f t="shared" si="76">Q140*$C$101^(Q137-1)+Q131/Q137*(Q138-$C$101^(Q137-1))</x:f>
        <x:v>737.0387481117493</x:v>
      </x:c>
      <x:c r="R141" s="239" t="n">
        <x:f t="shared" si="76">R140*$C$101^(R137-1)+R131/R137*(R138-$C$101^(R137-1))</x:f>
        <x:v>1685.2580770850411</x:v>
      </x:c>
    </x:row>
    <x:row r="142" ht="21" customHeight="1">
      <x:c r="A142" s="196"/>
      <x:c r="B142" s="196"/>
      <x:c r="C142" s="208"/>
      <x:c r="D142" s="208"/>
      <x:c r="E142" s="208"/>
      <x:c r="F142" s="208"/>
      <x:c r="G142" s="208"/>
      <x:c r="H142" s="208"/>
      <x:c r="I142" s="208"/>
      <x:c r="J142" s="208"/>
      <x:c r="K142" s="208"/>
      <x:c r="L142" s="208"/>
      <x:c r="M142" s="208"/>
      <x:c r="N142" s="208"/>
      <x:c r="O142" s="226"/>
      <x:c r="P142" s="226"/>
      <x:c r="Q142" s="226"/>
      <x:c r="R142" s="226"/>
    </x:row>
    <x:row r="143" ht="21" customHeight="1">
      <x:c r="A143" s="196" t="str">
        <x:v>Control: inventario final no negativo</x:v>
      </x:c>
      <x:c r="B143" s="196"/>
      <x:c r="C143" s="208"/>
      <x:c r="D143" s="208"/>
      <x:c r="E143" s="208"/>
      <x:c r="F143" s="208"/>
      <x:c r="G143" s="208"/>
      <x:c r="H143" s="208"/>
      <x:c r="I143" s="208"/>
      <x:c r="J143" s="208"/>
      <x:c r="K143" s="208"/>
      <x:c r="L143" s="208"/>
      <x:c r="M143" s="208"/>
      <x:c r="N143" s="208"/>
      <x:c r="O143" s="226"/>
      <x:c r="P143" s="240" t="n">
        <x:f t="shared" ref="P143:R143" si="77">P62</x:f>
        <x:v>30</x:v>
      </x:c>
      <x:c r="Q143" s="240" t="n">
        <x:f t="shared" si="77">Q62</x:f>
        <x:v>80</x:v>
      </x:c>
      <x:c r="R143" s="240" t="n">
        <x:f t="shared" si="77">R62</x:f>
        <x:v>168</x:v>
      </x:c>
    </x:row>
    <x:row r="144" ht="21" customHeight="1">
      <x:c r="A144" s="196" t="str">
        <x:v>Flujo neto anual sin financiamiento</x:v>
      </x:c>
      <x:c r="B144" s="196"/>
      <x:c r="C144" s="208"/>
      <x:c r="D144" s="208"/>
      <x:c r="E144" s="208"/>
      <x:c r="F144" s="208"/>
      <x:c r="G144" s="208"/>
      <x:c r="H144" s="208"/>
      <x:c r="I144" s="208"/>
      <x:c r="J144" s="208"/>
      <x:c r="K144" s="208"/>
      <x:c r="L144" s="208"/>
      <x:c r="M144" s="208"/>
      <x:c r="N144" s="208"/>
      <x:c r="O144" s="241"/>
      <x:c r="P144" s="241" t="n">
        <x:f t="shared" ref="P144:R144" si="78">P45</x:f>
        <x:v>-27425.39930241555</x:v>
      </x:c>
      <x:c r="Q144" s="241" t="n">
        <x:f t="shared" si="78">Q45</x:f>
        <x:v>-34512.47278186551</x:v>
      </x:c>
      <x:c r="R144" s="241" t="n">
        <x:f t="shared" si="78">R45</x:f>
        <x:v>43149.620072317775</x:v>
      </x:c>
    </x:row>
    <x:row r="145" ht="21" customHeight="1">
      <x:c r="A145" s="196"/>
      <x:c r="B145" s="196"/>
      <x:c r="C145" s="208"/>
      <x:c r="D145" s="208"/>
      <x:c r="E145" s="208"/>
      <x:c r="F145" s="208"/>
      <x:c r="G145" s="208"/>
      <x:c r="H145" s="208"/>
      <x:c r="I145" s="208"/>
      <x:c r="J145" s="208"/>
      <x:c r="K145" s="208"/>
      <x:c r="L145" s="208"/>
      <x:c r="M145" s="208"/>
      <x:c r="N145" s="208"/>
      <x:c r="O145" s="226"/>
      <x:c r="P145" s="226"/>
      <x:c r="Q145" s="226"/>
      <x:c r="R145" s="226"/>
    </x:row>
    <x:row r="146" ht="21" customHeight="1">
      <x:c r="A146" s="205" t="str">
        <x:v>Años 2-4: ventas originadas por el embudo de clínicas/profesionales del escenario seleccionado.</x:v>
      </x:c>
      <x:c r="B146" s="196"/>
      <x:c r="C146" s="208"/>
      <x:c r="D146" s="208"/>
      <x:c r="E146" s="208"/>
      <x:c r="F146" s="208"/>
      <x:c r="G146" s="208"/>
      <x:c r="H146" s="208"/>
      <x:c r="I146" s="208"/>
      <x:c r="J146" s="208"/>
      <x:c r="K146" s="208"/>
      <x:c r="L146" s="208"/>
      <x:c r="M146" s="208"/>
      <x:c r="N146" s="208"/>
      <x:c r="O146" s="226"/>
      <x:c r="P146" s="226"/>
      <x:c r="Q146" s="226"/>
      <x:c r="R146" s="226"/>
    </x:row>
    <x:row r="147" ht="21" customHeight="1">
      <x:c r="A147" s="205" t="str">
        <x:v>La producción repone el inventario consumido, cubre el objetivo de cierre e incorpora la merma antes de valorizar costos.</x:v>
      </x:c>
      <x:c r="B147" s="196"/>
      <x:c r="C147" s="208"/>
      <x:c r="D147" s="208"/>
      <x:c r="E147" s="208"/>
      <x:c r="F147" s="208"/>
      <x:c r="G147" s="208"/>
      <x:c r="H147" s="208"/>
      <x:c r="I147" s="208"/>
      <x:c r="J147" s="208"/>
      <x:c r="K147" s="208"/>
      <x:c r="L147" s="208"/>
      <x:c r="M147" s="208"/>
      <x:c r="N147" s="208"/>
      <x:c r="O147" s="226"/>
      <x:c r="P147" s="226"/>
      <x:c r="Q147" s="226"/>
      <x:c r="R147" s="226"/>
    </x:row>
    <x:row r="148" ht="21" customHeight="1">
      <x:c r="A148" s="205" t="str">
        <x:v>El equipo comercial fijo, el canal variable, la difusión y el soporte crecen con la explotación.</x:v>
      </x:c>
      <x:c r="B148" s="196"/>
      <x:c r="C148" s="208"/>
      <x:c r="D148" s="208"/>
      <x:c r="E148" s="208"/>
      <x:c r="F148" s="208"/>
      <x:c r="G148" s="208"/>
      <x:c r="H148" s="208"/>
      <x:c r="I148" s="208"/>
      <x:c r="J148" s="208"/>
      <x:c r="K148" s="208"/>
      <x:c r="L148" s="208"/>
      <x:c r="M148" s="208"/>
      <x:c r="N148" s="208"/>
      <x:c r="O148" s="226"/>
      <x:c r="P148" s="226"/>
      <x:c r="Q148" s="226"/>
      <x:c r="R148" s="226"/>
    </x:row>
    <x:row r="149" ht="21" customHeight="1">
      <x:c r="A149" s="205" t="str">
        <x:v>El capital mínimo cubre el mayor déficit acumulado; no representa financiamiento confirmado.</x:v>
      </x:c>
      <x:c r="B149" s="196"/>
      <x:c r="C149" s="208"/>
      <x:c r="D149" s="208"/>
      <x:c r="E149" s="208"/>
      <x:c r="F149" s="208"/>
      <x:c r="G149" s="208"/>
      <x:c r="H149" s="208"/>
      <x:c r="I149" s="208"/>
      <x:c r="J149" s="208"/>
      <x:c r="K149" s="208"/>
      <x:c r="L149" s="208"/>
      <x:c r="M149" s="208"/>
      <x:c r="N149" s="208"/>
      <x:c r="O149" s="226"/>
      <x:c r="P149" s="226"/>
      <x:c r="Q149" s="226"/>
      <x:c r="R149" s="226"/>
    </x:row>
    <x:row r="150" ht="21" customHeight="1">
      <x:c r="A150" s="196"/>
      <x:c r="B150" s="196"/>
      <x:c r="C150" s="208"/>
      <x:c r="D150" s="208"/>
      <x:c r="E150" s="208"/>
      <x:c r="F150" s="208"/>
      <x:c r="G150" s="208"/>
      <x:c r="H150" s="208"/>
      <x:c r="I150" s="208"/>
      <x:c r="J150" s="208"/>
      <x:c r="K150" s="208"/>
      <x:c r="L150" s="208"/>
      <x:c r="M150" s="208"/>
      <x:c r="N150" s="208"/>
      <x:c r="O150" s="226"/>
      <x:c r="P150" s="226"/>
      <x:c r="Q150" s="226"/>
      <x:c r="R150" s="226"/>
    </x:row>
    <x:row r="151" ht="15.75" customHeight="1">
      <x:c r="A151" s="207"/>
      <x:c r="B151" s="207"/>
      <x:c r="C151" s="208"/>
      <x:c r="D151" s="208"/>
      <x:c r="E151" s="208"/>
      <x:c r="F151" s="208"/>
      <x:c r="G151" s="208"/>
      <x:c r="H151" s="208"/>
      <x:c r="I151" s="208"/>
      <x:c r="J151" s="208"/>
      <x:c r="K151" s="208"/>
      <x:c r="L151" s="208"/>
      <x:c r="M151" s="208"/>
      <x:c r="N151" s="208"/>
      <x:c r="O151" s="242"/>
      <x:c r="P151" s="242"/>
      <x:c r="Q151" s="242"/>
      <x:c r="R151" s="242"/>
    </x:row>
    <x:row r="152" ht="21.75" customHeight="1">
      <x:c r="A152" s="198" t="str">
        <x:v>VAN y TIR del proyecto</x:v>
      </x:c>
      <x:c r="B152" s="199"/>
      <x:c r="C152" s="227"/>
      <x:c r="D152" s="227"/>
      <x:c r="E152" s="227"/>
      <x:c r="F152" s="227"/>
      <x:c r="G152" s="227"/>
      <x:c r="H152" s="227"/>
      <x:c r="I152" s="227"/>
      <x:c r="J152" s="227"/>
      <x:c r="K152" s="227"/>
      <x:c r="L152" s="227"/>
      <x:c r="M152" s="227"/>
      <x:c r="N152" s="227"/>
      <x:c r="O152" s="228"/>
      <x:c r="P152" s="228"/>
      <x:c r="Q152" s="228"/>
      <x:c r="R152" s="229"/>
      <x:c r="S152" s="1"/>
    </x:row>
    <x:row r="153" ht="21.75" customHeight="1">
      <x:c r="A153" s="196" t="str">
        <x:v>Tasa de descuento anual</x:v>
      </x:c>
      <x:c r="B153" s="196"/>
      <x:c r="C153" s="233" t="n">
        <x:f>$C$96</x:f>
        <x:v>0.2</x:v>
      </x:c>
      <x:c r="D153" s="208"/>
      <x:c r="E153" s="208" t="str">
        <x:v>Supuesto editable de evaluación, no tasa de mercado.</x:v>
      </x:c>
      <x:c r="F153" s="208"/>
      <x:c r="G153" s="208"/>
      <x:c r="H153" s="208"/>
      <x:c r="I153" s="208"/>
      <x:c r="J153" s="208"/>
      <x:c r="K153" s="208"/>
      <x:c r="L153" s="208"/>
      <x:c r="M153" s="208"/>
      <x:c r="N153" s="208"/>
      <x:c r="O153" s="226"/>
      <x:c r="P153" s="226"/>
      <x:c r="Q153" s="226"/>
      <x:c r="R153" s="226"/>
      <x:c r="S153" s="1"/>
    </x:row>
    <x:row r="154" ht="21.75" customHeight="1">
      <x:c r="A154" s="196" t="str">
        <x:v>Origen temporal de cálculo</x:v>
      </x:c>
      <x:c r="B154" s="196"/>
      <x:c r="C154" s="243" t="n">
        <x:f>DATE(2027,1,1)</x:f>
        <x:v>46388</x:v>
      </x:c>
      <x:c r="D154" s="208"/>
      <x:c r="E154" s="208" t="str">
        <x:v>Fecha convencional para medir distancias entre períodos.</x:v>
      </x:c>
      <x:c r="F154" s="208"/>
      <x:c r="G154" s="208"/>
      <x:c r="H154" s="208"/>
      <x:c r="I154" s="208"/>
      <x:c r="J154" s="208"/>
      <x:c r="K154" s="208"/>
      <x:c r="L154" s="208"/>
      <x:c r="M154" s="208"/>
      <x:c r="N154" s="208"/>
      <x:c r="O154" s="226"/>
      <x:c r="P154" s="226"/>
      <x:c r="Q154" s="226"/>
      <x:c r="R154" s="226"/>
      <x:c r="S154" s="1"/>
    </x:row>
    <x:row r="155" ht="21.75" customHeight="1">
      <x:c r="A155" s="196" t="str">
        <x:v>Los flujos se ubican al cierre de cada período y excluyen los aportes de capital.</x:v>
      </x:c>
      <x:c r="B155" s="196"/>
      <x:c r="C155" s="208"/>
      <x:c r="D155" s="208"/>
      <x:c r="E155" s="208"/>
      <x:c r="F155" s="208"/>
      <x:c r="G155" s="208"/>
      <x:c r="H155" s="208"/>
      <x:c r="I155" s="208"/>
      <x:c r="J155" s="208"/>
      <x:c r="K155" s="208"/>
      <x:c r="L155" s="208"/>
      <x:c r="M155" s="208"/>
      <x:c r="N155" s="208"/>
      <x:c r="O155" s="226"/>
      <x:c r="P155" s="226"/>
      <x:c r="Q155" s="226"/>
      <x:c r="R155" s="226"/>
      <x:c r="S155" s="1"/>
    </x:row>
    <x:row r="156" ht="21.75" customHeight="1">
      <x:c r="A156" s="196" t="str">
        <x:v>Resultados antes de Ganancias y tributos locales; no incluyen validación clínica ni certificación comercial.</x:v>
      </x:c>
      <x:c r="B156" s="196"/>
      <x:c r="C156" s="208"/>
      <x:c r="D156" s="208"/>
      <x:c r="E156" s="208"/>
      <x:c r="F156" s="208"/>
      <x:c r="G156" s="208"/>
      <x:c r="H156" s="208"/>
      <x:c r="I156" s="208"/>
      <x:c r="J156" s="208"/>
      <x:c r="K156" s="208"/>
      <x:c r="L156" s="208"/>
      <x:c r="M156" s="208"/>
      <x:c r="N156" s="208"/>
      <x:c r="O156" s="226"/>
      <x:c r="P156" s="226"/>
      <x:c r="Q156" s="226"/>
      <x:c r="R156" s="226"/>
      <x:c r="S156" s="1"/>
    </x:row>
    <x:row r="157" ht="21.75" customHeight="1">
      <x:c r="A157" s="196"/>
      <x:c r="B157" s="196"/>
      <x:c r="C157" s="208"/>
      <x:c r="D157" s="208"/>
      <x:c r="E157" s="208"/>
      <x:c r="F157" s="208"/>
      <x:c r="G157" s="208"/>
      <x:c r="H157" s="208"/>
      <x:c r="I157" s="208"/>
      <x:c r="J157" s="208"/>
      <x:c r="K157" s="208"/>
      <x:c r="L157" s="208"/>
      <x:c r="M157" s="208"/>
      <x:c r="N157" s="208"/>
      <x:c r="O157" s="226"/>
      <x:c r="P157" s="226"/>
      <x:c r="Q157" s="226"/>
      <x:c r="R157" s="226"/>
      <x:c r="S157" s="1"/>
    </x:row>
    <x:row r="158" ht="21.75" customHeight="1">
      <x:c r="A158" s="196"/>
      <x:c r="B158" s="196"/>
      <x:c r="C158" s="244"/>
      <x:c r="D158" s="244"/>
      <x:c r="E158" s="244"/>
      <x:c r="F158" s="244"/>
      <x:c r="G158" s="244"/>
      <x:c r="H158" s="244"/>
      <x:c r="I158" s="244"/>
      <x:c r="J158" s="244"/>
      <x:c r="K158" s="244"/>
      <x:c r="L158" s="244"/>
      <x:c r="M158" s="244"/>
      <x:c r="N158" s="244"/>
      <x:c r="O158" s="245"/>
      <x:c r="P158" s="245"/>
      <x:c r="Q158" s="245"/>
      <x:c r="R158" s="245"/>
      <x:c r="S158" s="56"/>
    </x:row>
    <x:row r="159" ht="21.75" customHeight="1">
      <x:c r="A159" s="196"/>
      <x:c r="B159" s="196"/>
      <x:c r="C159" s="246"/>
      <x:c r="D159" s="246"/>
      <x:c r="E159" s="246"/>
      <x:c r="F159" s="246"/>
      <x:c r="G159" s="246"/>
      <x:c r="H159" s="246"/>
      <x:c r="I159" s="246"/>
      <x:c r="J159" s="246"/>
      <x:c r="K159" s="246"/>
      <x:c r="L159" s="246"/>
      <x:c r="M159" s="246"/>
      <x:c r="N159" s="246"/>
      <x:c r="O159" s="241"/>
      <x:c r="P159" s="241"/>
      <x:c r="Q159" s="241"/>
      <x:c r="R159" s="241"/>
      <x:c r="S159" s="51"/>
    </x:row>
    <x:row r="160" ht="21.75" customHeight="1">
      <x:c r="A160" s="196"/>
      <x:c r="B160" s="196"/>
      <x:c r="C160" s="208"/>
      <x:c r="D160" s="208"/>
      <x:c r="E160" s="208"/>
      <x:c r="F160" s="208"/>
      <x:c r="G160" s="208"/>
      <x:c r="H160" s="208"/>
      <x:c r="I160" s="208"/>
      <x:c r="J160" s="208"/>
      <x:c r="K160" s="208"/>
      <x:c r="L160" s="208"/>
      <x:c r="M160" s="208"/>
      <x:c r="N160" s="208"/>
      <x:c r="O160" s="226"/>
      <x:c r="P160" s="226"/>
      <x:c r="Q160" s="226"/>
      <x:c r="R160" s="226"/>
      <x:c r="S160" s="1"/>
    </x:row>
    <x:row r="161" ht="21.75" customHeight="1">
      <x:c r="A161" s="196"/>
      <x:c r="B161" s="196"/>
      <x:c r="C161" s="208"/>
      <x:c r="D161" s="208"/>
      <x:c r="E161" s="208"/>
      <x:c r="F161" s="208"/>
      <x:c r="G161" s="208"/>
      <x:c r="H161" s="208"/>
      <x:c r="I161" s="208"/>
      <x:c r="J161" s="208"/>
      <x:c r="K161" s="208"/>
      <x:c r="L161" s="208"/>
      <x:c r="M161" s="208"/>
      <x:c r="N161" s="208"/>
      <x:c r="O161" s="226"/>
      <x:c r="P161" s="226"/>
      <x:c r="Q161" s="226"/>
      <x:c r="R161" s="226"/>
      <x:c r="S161" s="1"/>
    </x:row>
    <x:row r="162" ht="21.75" customHeight="1">
      <x:c r="A162" s="196"/>
      <x:c r="B162" s="196"/>
      <x:c r="C162" s="208"/>
      <x:c r="D162" s="208"/>
      <x:c r="E162" s="208"/>
      <x:c r="F162" s="208"/>
      <x:c r="G162" s="208"/>
      <x:c r="H162" s="208"/>
      <x:c r="I162" s="208"/>
      <x:c r="J162" s="208"/>
      <x:c r="K162" s="208"/>
      <x:c r="L162" s="208"/>
      <x:c r="M162" s="208"/>
      <x:c r="N162" s="208"/>
      <x:c r="O162" s="226"/>
      <x:c r="P162" s="226"/>
      <x:c r="Q162" s="226"/>
      <x:c r="R162" s="226"/>
      <x:c r="S162" s="1"/>
    </x:row>
    <x:row r="163" ht="15.75" customHeight="1">
      <x:c r="A163" s="207"/>
      <x:c r="B163" s="207"/>
      <x:c r="C163" s="208"/>
      <x:c r="D163" s="208"/>
      <x:c r="E163" s="208"/>
      <x:c r="F163" s="208"/>
      <x:c r="G163" s="208"/>
      <x:c r="H163" s="208"/>
      <x:c r="I163" s="208"/>
      <x:c r="J163" s="208"/>
      <x:c r="K163" s="208"/>
      <x:c r="L163" s="208"/>
      <x:c r="M163" s="208"/>
      <x:c r="N163" s="208"/>
      <x:c r="O163" s="242"/>
      <x:c r="P163" s="242"/>
      <x:c r="Q163" s="242"/>
      <x:c r="R163" s="242"/>
    </x:row>
    <x:row r="164" ht="15.75" customHeight="1">
      <x:c r="A164" s="207"/>
      <x:c r="B164" s="207"/>
      <x:c r="C164" s="208"/>
      <x:c r="D164" s="208"/>
      <x:c r="E164" s="208"/>
      <x:c r="F164" s="208"/>
      <x:c r="G164" s="208"/>
      <x:c r="H164" s="208"/>
      <x:c r="I164" s="208"/>
      <x:c r="J164" s="208"/>
      <x:c r="K164" s="208"/>
      <x:c r="L164" s="208"/>
      <x:c r="M164" s="208"/>
      <x:c r="N164" s="208"/>
      <x:c r="O164" s="242"/>
      <x:c r="P164" s="242"/>
      <x:c r="Q164" s="242"/>
      <x:c r="R164" s="242"/>
    </x:row>
    <x:row r="165" ht="33.75" customHeight="1">
      <x:c r="A165" s="207"/>
      <x:c r="B165" s="207"/>
      <x:c r="C165" s="208"/>
      <x:c r="D165" s="208"/>
      <x:c r="E165" s="247" t="str">
        <x:v>Mes desde inicio</x:v>
      </x:c>
      <x:c r="F165" s="247" t="str">
        <x:v>Fecha equivalente</x:v>
      </x:c>
      <x:c r="G165" s="247" t="str">
        <x:v>Flujo (USD)</x:v>
      </x:c>
      <x:c r="H165" s="208"/>
      <x:c r="I165" s="208"/>
      <x:c r="J165" s="208"/>
      <x:c r="K165" s="208"/>
      <x:c r="L165" s="208"/>
      <x:c r="M165" s="208"/>
      <x:c r="N165" s="208"/>
      <x:c r="O165" s="242"/>
      <x:c r="P165" s="242"/>
      <x:c r="Q165" s="242"/>
      <x:c r="R165" s="242"/>
    </x:row>
    <x:row r="166" ht="21.75" customHeight="1">
      <x:c r="A166" s="207"/>
      <x:c r="B166" s="207"/>
      <x:c r="C166" s="208"/>
      <x:c r="D166" s="208"/>
      <x:c r="E166" s="232" t="n">
        <x:v>0</x:v>
      </x:c>
      <x:c r="F166" s="244" t="n">
        <x:f t="shared" ref="F166:F181" si="79">$C$154</x:f>
        <x:v>46388</x:v>
      </x:c>
      <x:c r="G166" s="246" t="n">
        <x:f>0</x:f>
        <x:v>0</x:v>
      </x:c>
      <x:c r="H166" s="208"/>
      <x:c r="I166" s="208"/>
      <x:c r="J166" s="208"/>
      <x:c r="K166" s="208"/>
      <x:c r="L166" s="208"/>
      <x:c r="M166" s="208"/>
      <x:c r="N166" s="208"/>
      <x:c r="O166" s="242"/>
      <x:c r="P166" s="242"/>
      <x:c r="Q166" s="242"/>
      <x:c r="R166" s="242"/>
    </x:row>
    <x:row r="167" ht="21.75" customHeight="1">
      <x:c r="A167" s="207"/>
      <x:c r="B167" s="207"/>
      <x:c r="C167" s="208"/>
      <x:c r="D167" s="208"/>
      <x:c r="E167" s="232" t="n">
        <x:v>1</x:v>
      </x:c>
      <x:c r="F167" s="244" t="n">
        <x:f t="shared" si="79">$C$154+ROUND(E167*365/12,0)</x:f>
        <x:v>46418</x:v>
      </x:c>
      <x:c r="G167" s="246" t="n">
        <x:f>C45</x:f>
        <x:v>-15700</x:v>
      </x:c>
      <x:c r="H167" s="208"/>
      <x:c r="I167" s="208"/>
      <x:c r="J167" s="208"/>
      <x:c r="K167" s="208"/>
      <x:c r="L167" s="208"/>
      <x:c r="M167" s="208"/>
      <x:c r="N167" s="208"/>
      <x:c r="O167" s="242"/>
      <x:c r="P167" s="242"/>
      <x:c r="Q167" s="242"/>
      <x:c r="R167" s="242"/>
    </x:row>
    <x:row r="168" ht="21.75" customHeight="1">
      <x:c r="A168" s="207"/>
      <x:c r="B168" s="207"/>
      <x:c r="C168" s="208"/>
      <x:c r="D168" s="208"/>
      <x:c r="E168" s="232" t="n">
        <x:v>2</x:v>
      </x:c>
      <x:c r="F168" s="244" t="n">
        <x:f t="shared" si="79">$C$154+ROUND(E168*365/12,0)</x:f>
        <x:v>46449</x:v>
      </x:c>
      <x:c r="G168" s="246" t="n">
        <x:f>D45</x:f>
        <x:v>-17000</x:v>
      </x:c>
      <x:c r="H168" s="208"/>
      <x:c r="I168" s="208"/>
      <x:c r="J168" s="208"/>
      <x:c r="K168" s="208"/>
      <x:c r="L168" s="208"/>
      <x:c r="M168" s="208"/>
      <x:c r="N168" s="208"/>
      <x:c r="O168" s="242"/>
      <x:c r="P168" s="242"/>
      <x:c r="Q168" s="242"/>
      <x:c r="R168" s="242"/>
    </x:row>
    <x:row r="169" ht="21.75" customHeight="1">
      <x:c r="A169" s="207"/>
      <x:c r="B169" s="207"/>
      <x:c r="C169" s="208"/>
      <x:c r="D169" s="208"/>
      <x:c r="E169" s="232" t="n">
        <x:v>3</x:v>
      </x:c>
      <x:c r="F169" s="244" t="n">
        <x:f t="shared" si="79">$C$154+ROUND(E169*365/12,0)</x:f>
        <x:v>46479</x:v>
      </x:c>
      <x:c r="G169" s="246" t="n">
        <x:f>E45</x:f>
        <x:v>-15200</x:v>
      </x:c>
      <x:c r="H169" s="208"/>
      <x:c r="I169" s="208"/>
      <x:c r="J169" s="208"/>
      <x:c r="K169" s="208"/>
      <x:c r="L169" s="208"/>
      <x:c r="M169" s="208"/>
      <x:c r="N169" s="208"/>
      <x:c r="O169" s="242"/>
      <x:c r="P169" s="242"/>
      <x:c r="Q169" s="242"/>
      <x:c r="R169" s="242"/>
    </x:row>
    <x:row r="170" ht="21.75" customHeight="1">
      <x:c r="A170" s="207"/>
      <x:c r="B170" s="207"/>
      <x:c r="C170" s="208"/>
      <x:c r="D170" s="208"/>
      <x:c r="E170" s="232" t="n">
        <x:v>4</x:v>
      </x:c>
      <x:c r="F170" s="244" t="n">
        <x:f t="shared" si="79">$C$154+ROUND(E170*365/12,0)</x:f>
        <x:v>46510</x:v>
      </x:c>
      <x:c r="G170" s="246" t="n">
        <x:f>F45</x:f>
        <x:v>-20000</x:v>
      </x:c>
      <x:c r="H170" s="208"/>
      <x:c r="I170" s="208"/>
      <x:c r="J170" s="208"/>
      <x:c r="K170" s="208"/>
      <x:c r="L170" s="208"/>
      <x:c r="M170" s="208"/>
      <x:c r="N170" s="208"/>
      <x:c r="O170" s="242"/>
      <x:c r="P170" s="242"/>
      <x:c r="Q170" s="242"/>
      <x:c r="R170" s="242"/>
    </x:row>
    <x:row r="171" ht="21.75" customHeight="1">
      <x:c r="A171" s="207"/>
      <x:c r="B171" s="207"/>
      <x:c r="C171" s="208"/>
      <x:c r="D171" s="208"/>
      <x:c r="E171" s="232" t="n">
        <x:v>5</x:v>
      </x:c>
      <x:c r="F171" s="244" t="n">
        <x:f t="shared" si="79">$C$154+ROUND(E171*365/12,0)</x:f>
        <x:v>46540</x:v>
      </x:c>
      <x:c r="G171" s="246" t="n">
        <x:f>G45</x:f>
        <x:v>-16200</x:v>
      </x:c>
      <x:c r="H171" s="208"/>
      <x:c r="I171" s="208"/>
      <x:c r="J171" s="208"/>
      <x:c r="K171" s="208"/>
      <x:c r="L171" s="208"/>
      <x:c r="M171" s="208"/>
      <x:c r="N171" s="208"/>
      <x:c r="O171" s="242"/>
      <x:c r="P171" s="242"/>
      <x:c r="Q171" s="242"/>
      <x:c r="R171" s="242"/>
    </x:row>
    <x:row r="172" ht="21.75" customHeight="1">
      <x:c r="A172" s="207"/>
      <x:c r="B172" s="207"/>
      <x:c r="C172" s="208"/>
      <x:c r="D172" s="208"/>
      <x:c r="E172" s="232" t="n">
        <x:v>6</x:v>
      </x:c>
      <x:c r="F172" s="244" t="n">
        <x:f t="shared" si="79">$C$154+ROUND(E172*365/12,0)</x:f>
        <x:v>46571</x:v>
      </x:c>
      <x:c r="G172" s="246" t="n">
        <x:f>H45</x:f>
        <x:v>-17400</x:v>
      </x:c>
      <x:c r="H172" s="208"/>
      <x:c r="I172" s="208"/>
      <x:c r="J172" s="208"/>
      <x:c r="K172" s="208"/>
      <x:c r="L172" s="208"/>
      <x:c r="M172" s="208"/>
      <x:c r="N172" s="208"/>
      <x:c r="O172" s="242"/>
      <x:c r="P172" s="242"/>
      <x:c r="Q172" s="242"/>
      <x:c r="R172" s="242"/>
    </x:row>
    <x:row r="173" ht="21.75" customHeight="1">
      <x:c r="A173" s="207"/>
      <x:c r="B173" s="207"/>
      <x:c r="C173" s="208"/>
      <x:c r="D173" s="208"/>
      <x:c r="E173" s="232" t="n">
        <x:v>7</x:v>
      </x:c>
      <x:c r="F173" s="244" t="n">
        <x:f t="shared" si="79">$C$154+ROUND(E173*365/12,0)</x:f>
        <x:v>46601</x:v>
      </x:c>
      <x:c r="G173" s="246" t="n">
        <x:f>I45</x:f>
        <x:v>-19200</x:v>
      </x:c>
      <x:c r="H173" s="208"/>
      <x:c r="I173" s="208"/>
      <x:c r="J173" s="208"/>
      <x:c r="K173" s="208"/>
      <x:c r="L173" s="208"/>
      <x:c r="M173" s="208"/>
      <x:c r="N173" s="208"/>
      <x:c r="O173" s="242"/>
      <x:c r="P173" s="242"/>
      <x:c r="Q173" s="242"/>
      <x:c r="R173" s="242"/>
    </x:row>
    <x:row r="174" ht="21.75" customHeight="1">
      <x:c r="A174" s="207"/>
      <x:c r="B174" s="207"/>
      <x:c r="C174" s="208"/>
      <x:c r="D174" s="208"/>
      <x:c r="E174" s="232" t="n">
        <x:v>8</x:v>
      </x:c>
      <x:c r="F174" s="244" t="n">
        <x:f t="shared" si="79">$C$154+ROUND(E174*365/12,0)</x:f>
        <x:v>46631</x:v>
      </x:c>
      <x:c r="G174" s="246" t="n">
        <x:f>J45</x:f>
        <x:v>-20400</x:v>
      </x:c>
      <x:c r="H174" s="208"/>
      <x:c r="I174" s="208"/>
      <x:c r="J174" s="208"/>
      <x:c r="K174" s="208"/>
      <x:c r="L174" s="208"/>
      <x:c r="M174" s="208"/>
      <x:c r="N174" s="208"/>
      <x:c r="O174" s="242"/>
      <x:c r="P174" s="242"/>
      <x:c r="Q174" s="242"/>
      <x:c r="R174" s="242"/>
    </x:row>
    <x:row r="175" ht="21.75" customHeight="1">
      <x:c r="A175" s="207"/>
      <x:c r="B175" s="207"/>
      <x:c r="C175" s="208"/>
      <x:c r="D175" s="208"/>
      <x:c r="E175" s="232" t="n">
        <x:v>9</x:v>
      </x:c>
      <x:c r="F175" s="244" t="n">
        <x:f t="shared" si="79">$C$154+ROUND(E175*365/12,0)</x:f>
        <x:v>46662</x:v>
      </x:c>
      <x:c r="G175" s="246" t="n">
        <x:f>K45</x:f>
        <x:v>-25656.666666666664</x:v>
      </x:c>
      <x:c r="H175" s="208"/>
      <x:c r="I175" s="208"/>
      <x:c r="J175" s="208"/>
      <x:c r="K175" s="208"/>
      <x:c r="L175" s="208"/>
      <x:c r="M175" s="208"/>
      <x:c r="N175" s="208"/>
      <x:c r="O175" s="242"/>
      <x:c r="P175" s="242"/>
      <x:c r="Q175" s="242"/>
      <x:c r="R175" s="242"/>
    </x:row>
    <x:row r="176" ht="21.75" customHeight="1">
      <x:c r="A176" s="207"/>
      <x:c r="B176" s="207"/>
      <x:c r="C176" s="208"/>
      <x:c r="D176" s="208"/>
      <x:c r="E176" s="232" t="n">
        <x:v>10</x:v>
      </x:c>
      <x:c r="F176" s="244" t="n">
        <x:f t="shared" si="79">$C$154+ROUND(E176*365/12,0)</x:f>
        <x:v>46692</x:v>
      </x:c>
      <x:c r="G176" s="246" t="n">
        <x:f>L45</x:f>
        <x:v>-33498</x:v>
      </x:c>
      <x:c r="H176" s="208"/>
      <x:c r="I176" s="208"/>
      <x:c r="J176" s="208"/>
      <x:c r="K176" s="208"/>
      <x:c r="L176" s="208"/>
      <x:c r="M176" s="208"/>
      <x:c r="N176" s="208"/>
      <x:c r="O176" s="242"/>
      <x:c r="P176" s="242"/>
      <x:c r="Q176" s="242"/>
      <x:c r="R176" s="242"/>
    </x:row>
    <x:row r="177" ht="21.75" customHeight="1">
      <x:c r="A177" s="207"/>
      <x:c r="B177" s="207"/>
      <x:c r="C177" s="208"/>
      <x:c r="D177" s="208"/>
      <x:c r="E177" s="232" t="n">
        <x:v>11</x:v>
      </x:c>
      <x:c r="F177" s="244" t="n">
        <x:f t="shared" si="79">$C$154+ROUND(E177*365/12,0)</x:f>
        <x:v>46723</x:v>
      </x:c>
      <x:c r="G177" s="246" t="n">
        <x:f>M45</x:f>
        <x:v>-18227.555555555555</x:v>
      </x:c>
      <x:c r="H177" s="208"/>
      <x:c r="I177" s="208"/>
      <x:c r="J177" s="208"/>
      <x:c r="K177" s="208"/>
      <x:c r="L177" s="208"/>
      <x:c r="M177" s="208"/>
      <x:c r="N177" s="208"/>
      <x:c r="O177" s="242"/>
      <x:c r="P177" s="242"/>
      <x:c r="Q177" s="242"/>
      <x:c r="R177" s="242"/>
    </x:row>
    <x:row r="178" ht="21.75" customHeight="1">
      <x:c r="A178" s="207"/>
      <x:c r="B178" s="207"/>
      <x:c r="C178" s="208"/>
      <x:c r="D178" s="208"/>
      <x:c r="E178" s="232" t="n">
        <x:v>12</x:v>
      </x:c>
      <x:c r="F178" s="244" t="n">
        <x:f t="shared" si="79">$C$154+ROUND(E178*365/12,0)</x:f>
        <x:v>46753</x:v>
      </x:c>
      <x:c r="G178" s="246" t="n">
        <x:f>N45</x:f>
        <x:v>-20500</x:v>
      </x:c>
      <x:c r="H178" s="208"/>
      <x:c r="I178" s="208"/>
      <x:c r="J178" s="208"/>
      <x:c r="K178" s="208"/>
      <x:c r="L178" s="208"/>
      <x:c r="M178" s="208"/>
      <x:c r="N178" s="208"/>
      <x:c r="O178" s="242"/>
      <x:c r="P178" s="242"/>
      <x:c r="Q178" s="242"/>
      <x:c r="R178" s="242"/>
    </x:row>
    <x:row r="179" ht="21.75" customHeight="1">
      <x:c r="A179" s="207"/>
      <x:c r="B179" s="207"/>
      <x:c r="C179" s="208"/>
      <x:c r="D179" s="208"/>
      <x:c r="E179" s="232" t="n">
        <x:v>24</x:v>
      </x:c>
      <x:c r="F179" s="244" t="n">
        <x:f t="shared" si="79">$C$154+ROUND(E179*365/12,0)</x:f>
        <x:v>47118</x:v>
      </x:c>
      <x:c r="G179" s="246" t="n">
        <x:f>P45</x:f>
        <x:v>-27425.39930241555</x:v>
      </x:c>
      <x:c r="H179" s="208"/>
      <x:c r="I179" s="208"/>
      <x:c r="J179" s="208"/>
      <x:c r="K179" s="208"/>
      <x:c r="L179" s="208"/>
      <x:c r="M179" s="208"/>
      <x:c r="N179" s="208"/>
      <x:c r="O179" s="242"/>
      <x:c r="P179" s="242"/>
      <x:c r="Q179" s="242"/>
      <x:c r="R179" s="242"/>
    </x:row>
    <x:row r="180" ht="21.75" customHeight="1">
      <x:c r="A180" s="207"/>
      <x:c r="B180" s="207"/>
      <x:c r="C180" s="208"/>
      <x:c r="D180" s="208"/>
      <x:c r="E180" s="232" t="n">
        <x:v>36</x:v>
      </x:c>
      <x:c r="F180" s="244" t="n">
        <x:f t="shared" si="79">$C$154+ROUND(E180*365/12,0)</x:f>
        <x:v>47483</x:v>
      </x:c>
      <x:c r="G180" s="246" t="n">
        <x:f>Q45</x:f>
        <x:v>-34512.47278186551</x:v>
      </x:c>
      <x:c r="H180" s="208"/>
      <x:c r="I180" s="208"/>
      <x:c r="J180" s="208"/>
      <x:c r="K180" s="208"/>
      <x:c r="L180" s="208"/>
      <x:c r="M180" s="208"/>
      <x:c r="N180" s="208"/>
      <x:c r="O180" s="242"/>
      <x:c r="P180" s="242"/>
      <x:c r="Q180" s="242"/>
      <x:c r="R180" s="242"/>
    </x:row>
    <x:row r="181" ht="21.75" customHeight="1">
      <x:c r="A181" s="207"/>
      <x:c r="B181" s="207"/>
      <x:c r="C181" s="208"/>
      <x:c r="D181" s="208"/>
      <x:c r="E181" s="232" t="n">
        <x:v>48</x:v>
      </x:c>
      <x:c r="F181" s="244" t="n">
        <x:f t="shared" si="79">$C$154+ROUND(E181*365/12,0)</x:f>
        <x:v>47848</x:v>
      </x:c>
      <x:c r="G181" s="246" t="n">
        <x:f>R45</x:f>
        <x:v>43149.620072317775</x:v>
      </x:c>
      <x:c r="H181" s="208"/>
      <x:c r="I181" s="208"/>
      <x:c r="J181" s="208"/>
      <x:c r="K181" s="208"/>
      <x:c r="L181" s="208"/>
      <x:c r="M181" s="208"/>
      <x:c r="N181" s="208"/>
      <x:c r="O181" s="242"/>
      <x:c r="P181" s="242"/>
      <x:c r="Q181" s="242"/>
      <x:c r="R181" s="242"/>
    </x:row>
    <x:row r="182" ht="15.75" customHeight="1">
      <x:c r="C182" s="47"/>
      <x:c r="D182" s="47"/>
      <x:c r="E182" s="47"/>
      <x:c r="F182" s="47"/>
      <x:c r="G182" s="47"/>
      <x:c r="H182" s="47"/>
      <x:c r="I182" s="47"/>
      <x:c r="J182" s="47"/>
      <x:c r="K182" s="47"/>
      <x:c r="L182" s="47"/>
      <x:c r="M182" s="47"/>
      <x:c r="N182" s="47"/>
    </x:row>
    <x:row r="183" ht="15.75" customHeight="1">
      <x:c r="C183" s="47"/>
      <x:c r="D183" s="47"/>
      <x:c r="E183" s="47"/>
      <x:c r="F183" s="47"/>
      <x:c r="G183" s="47"/>
      <x:c r="H183" s="47"/>
      <x:c r="I183" s="47"/>
      <x:c r="J183" s="47"/>
      <x:c r="K183" s="47"/>
      <x:c r="L183" s="47"/>
      <x:c r="M183" s="47"/>
      <x:c r="N183" s="47"/>
    </x:row>
    <x:row r="184" ht="15.75" customHeight="1">
      <x:c r="C184" s="47"/>
      <x:c r="D184" s="47"/>
      <x:c r="E184" s="47"/>
      <x:c r="F184" s="47"/>
      <x:c r="G184" s="47"/>
      <x:c r="H184" s="47"/>
      <x:c r="I184" s="47"/>
      <x:c r="J184" s="47"/>
      <x:c r="K184" s="47"/>
      <x:c r="L184" s="47"/>
      <x:c r="M184" s="47"/>
      <x:c r="N184" s="47"/>
    </x:row>
    <x:row r="185" ht="15.75" customHeight="1">
      <x:c r="C185" s="47"/>
      <x:c r="D185" s="47"/>
      <x:c r="E185" s="47"/>
      <x:c r="F185" s="47"/>
      <x:c r="G185" s="47"/>
      <x:c r="H185" s="47"/>
      <x:c r="I185" s="47"/>
      <x:c r="J185" s="47"/>
      <x:c r="K185" s="47"/>
      <x:c r="L185" s="47"/>
      <x:c r="M185" s="47"/>
      <x:c r="N185" s="47"/>
    </x:row>
    <x:row r="186" ht="15.75" customHeight="1">
      <x:c r="C186" s="47"/>
      <x:c r="D186" s="47"/>
      <x:c r="E186" s="47"/>
      <x:c r="F186" s="47"/>
      <x:c r="G186" s="47"/>
      <x:c r="H186" s="47"/>
      <x:c r="I186" s="47"/>
      <x:c r="J186" s="47"/>
      <x:c r="K186" s="47"/>
      <x:c r="L186" s="47"/>
      <x:c r="M186" s="47"/>
      <x:c r="N186" s="47"/>
    </x:row>
    <x:row r="187" ht="15.75" customHeight="1">
      <x:c r="C187" s="47"/>
      <x:c r="D187" s="47"/>
      <x:c r="E187" s="47"/>
      <x:c r="F187" s="47"/>
      <x:c r="G187" s="47"/>
      <x:c r="H187" s="47"/>
      <x:c r="I187" s="47"/>
      <x:c r="J187" s="47"/>
      <x:c r="K187" s="47"/>
      <x:c r="L187" s="47"/>
      <x:c r="M187" s="47"/>
      <x:c r="N187" s="47"/>
    </x:row>
    <x:row r="188" ht="15.75" customHeight="1">
      <x:c r="C188" s="47"/>
      <x:c r="D188" s="47"/>
      <x:c r="E188" s="47"/>
      <x:c r="F188" s="47"/>
      <x:c r="G188" s="47"/>
      <x:c r="H188" s="47"/>
      <x:c r="I188" s="47"/>
      <x:c r="J188" s="47"/>
      <x:c r="K188" s="47"/>
      <x:c r="L188" s="47"/>
      <x:c r="M188" s="47"/>
      <x:c r="N188" s="47"/>
    </x:row>
    <x:row r="189" ht="15.75" customHeight="1">
      <x:c r="C189" s="47"/>
      <x:c r="D189" s="47"/>
      <x:c r="E189" s="47"/>
      <x:c r="F189" s="47"/>
      <x:c r="G189" s="47"/>
      <x:c r="H189" s="47"/>
      <x:c r="I189" s="47"/>
      <x:c r="J189" s="47"/>
      <x:c r="K189" s="47"/>
      <x:c r="L189" s="47"/>
      <x:c r="M189" s="47"/>
      <x:c r="N189" s="47"/>
    </x:row>
    <x:row r="190" ht="15.75" customHeight="1">
      <x:c r="C190" s="47"/>
      <x:c r="D190" s="47"/>
      <x:c r="E190" s="47"/>
      <x:c r="F190" s="47"/>
      <x:c r="G190" s="47"/>
      <x:c r="H190" s="47"/>
      <x:c r="I190" s="47"/>
      <x:c r="J190" s="47"/>
      <x:c r="K190" s="47"/>
      <x:c r="L190" s="47"/>
      <x:c r="M190" s="47"/>
      <x:c r="N190" s="47"/>
    </x:row>
    <x:row r="191" ht="15.75" customHeight="1">
      <x:c r="C191" s="47"/>
      <x:c r="D191" s="47"/>
      <x:c r="E191" s="47"/>
      <x:c r="F191" s="47"/>
      <x:c r="G191" s="47"/>
      <x:c r="H191" s="47"/>
      <x:c r="I191" s="47"/>
      <x:c r="J191" s="47"/>
      <x:c r="K191" s="47"/>
      <x:c r="L191" s="47"/>
      <x:c r="M191" s="47"/>
      <x:c r="N191" s="47"/>
    </x:row>
    <x:row r="192" ht="15.75" customHeight="1">
      <x:c r="C192" s="47"/>
      <x:c r="D192" s="47"/>
      <x:c r="E192" s="47"/>
      <x:c r="F192" s="47"/>
      <x:c r="G192" s="47"/>
      <x:c r="H192" s="47"/>
      <x:c r="I192" s="47"/>
      <x:c r="J192" s="47"/>
      <x:c r="K192" s="47"/>
      <x:c r="L192" s="47"/>
      <x:c r="M192" s="47"/>
      <x:c r="N192" s="47"/>
    </x:row>
    <x:row r="193" ht="15.75" customHeight="1">
      <x:c r="C193" s="47"/>
      <x:c r="D193" s="47"/>
      <x:c r="E193" s="47"/>
      <x:c r="F193" s="47"/>
      <x:c r="G193" s="47"/>
      <x:c r="H193" s="47"/>
      <x:c r="I193" s="47"/>
      <x:c r="J193" s="47"/>
      <x:c r="K193" s="47"/>
      <x:c r="L193" s="47"/>
      <x:c r="M193" s="47"/>
      <x:c r="N193" s="47"/>
    </x:row>
    <x:row r="194" ht="15.75" customHeight="1">
      <x:c r="C194" s="47"/>
      <x:c r="D194" s="47"/>
      <x:c r="E194" s="47"/>
      <x:c r="F194" s="47"/>
      <x:c r="G194" s="47"/>
      <x:c r="H194" s="47"/>
      <x:c r="I194" s="47"/>
      <x:c r="J194" s="47"/>
      <x:c r="K194" s="47"/>
      <x:c r="L194" s="47"/>
      <x:c r="M194" s="47"/>
      <x:c r="N194" s="47"/>
    </x:row>
    <x:row r="195" ht="15.75" customHeight="1">
      <x:c r="C195" s="47"/>
      <x:c r="D195" s="47"/>
      <x:c r="E195" s="47"/>
      <x:c r="F195" s="47"/>
      <x:c r="G195" s="47"/>
      <x:c r="H195" s="47"/>
      <x:c r="I195" s="47"/>
      <x:c r="J195" s="47"/>
      <x:c r="K195" s="47"/>
      <x:c r="L195" s="47"/>
      <x:c r="M195" s="47"/>
      <x:c r="N195" s="47"/>
    </x:row>
    <x:row r="196" ht="15.75" customHeight="1">
      <x:c r="C196" s="47"/>
      <x:c r="D196" s="47"/>
      <x:c r="E196" s="47"/>
      <x:c r="F196" s="47"/>
      <x:c r="G196" s="47"/>
      <x:c r="H196" s="47"/>
      <x:c r="I196" s="47"/>
      <x:c r="J196" s="47"/>
      <x:c r="K196" s="47"/>
      <x:c r="L196" s="47"/>
      <x:c r="M196" s="47"/>
      <x:c r="N196" s="47"/>
    </x:row>
    <x:row r="197" ht="15.75" customHeight="1">
      <x:c r="C197" s="47"/>
      <x:c r="D197" s="47"/>
      <x:c r="E197" s="47"/>
      <x:c r="F197" s="47"/>
      <x:c r="G197" s="47"/>
      <x:c r="H197" s="47"/>
      <x:c r="I197" s="47"/>
      <x:c r="J197" s="47"/>
      <x:c r="K197" s="47"/>
      <x:c r="L197" s="47"/>
      <x:c r="M197" s="47"/>
      <x:c r="N197" s="47"/>
    </x:row>
    <x:row r="198" ht="15.75" customHeight="1">
      <x:c r="C198" s="47"/>
      <x:c r="D198" s="47"/>
      <x:c r="E198" s="47"/>
      <x:c r="F198" s="47"/>
      <x:c r="G198" s="47"/>
      <x:c r="H198" s="47"/>
      <x:c r="I198" s="47"/>
      <x:c r="J198" s="47"/>
      <x:c r="K198" s="47"/>
      <x:c r="L198" s="47"/>
      <x:c r="M198" s="47"/>
      <x:c r="N198" s="47"/>
    </x:row>
    <x:row r="199" ht="15.75" customHeight="1">
      <x:c r="C199" s="47"/>
      <x:c r="D199" s="47"/>
      <x:c r="E199" s="47"/>
      <x:c r="F199" s="47"/>
      <x:c r="G199" s="47"/>
      <x:c r="H199" s="47"/>
      <x:c r="I199" s="47"/>
      <x:c r="J199" s="47"/>
      <x:c r="K199" s="47"/>
      <x:c r="L199" s="47"/>
      <x:c r="M199" s="47"/>
      <x:c r="N199" s="47"/>
    </x:row>
    <x:row r="200" ht="15.75" customHeight="1">
      <x:c r="C200" s="47"/>
      <x:c r="D200" s="47"/>
      <x:c r="E200" s="47"/>
      <x:c r="F200" s="47"/>
      <x:c r="G200" s="47"/>
      <x:c r="H200" s="47"/>
      <x:c r="I200" s="47"/>
      <x:c r="J200" s="47"/>
      <x:c r="K200" s="47"/>
      <x:c r="L200" s="47"/>
      <x:c r="M200" s="47"/>
      <x:c r="N200" s="47"/>
    </x:row>
    <x:row r="201" ht="15.75" customHeight="1">
      <x:c r="C201" s="47"/>
      <x:c r="D201" s="47"/>
      <x:c r="E201" s="47"/>
      <x:c r="F201" s="47"/>
      <x:c r="G201" s="47"/>
      <x:c r="H201" s="47"/>
      <x:c r="I201" s="47"/>
      <x:c r="J201" s="47"/>
      <x:c r="K201" s="47"/>
      <x:c r="L201" s="47"/>
      <x:c r="M201" s="47"/>
      <x:c r="N201" s="47"/>
    </x:row>
    <x:row r="202" ht="15.75" customHeight="1">
      <x:c r="C202" s="47"/>
      <x:c r="D202" s="47"/>
      <x:c r="E202" s="47"/>
      <x:c r="F202" s="47"/>
      <x:c r="G202" s="47"/>
      <x:c r="H202" s="47"/>
      <x:c r="I202" s="47"/>
      <x:c r="J202" s="47"/>
      <x:c r="K202" s="47"/>
      <x:c r="L202" s="47"/>
      <x:c r="M202" s="47"/>
      <x:c r="N202" s="47"/>
    </x:row>
    <x:row r="203" ht="15.75" customHeight="1">
      <x:c r="C203" s="47"/>
      <x:c r="D203" s="47"/>
      <x:c r="E203" s="47"/>
      <x:c r="F203" s="47"/>
      <x:c r="G203" s="47"/>
      <x:c r="H203" s="47"/>
      <x:c r="I203" s="47"/>
      <x:c r="J203" s="47"/>
      <x:c r="K203" s="47"/>
      <x:c r="L203" s="47"/>
      <x:c r="M203" s="47"/>
      <x:c r="N203" s="47"/>
    </x:row>
    <x:row r="204" ht="15.75" customHeight="1">
      <x:c r="C204" s="47"/>
      <x:c r="D204" s="47"/>
      <x:c r="E204" s="47"/>
      <x:c r="F204" s="47"/>
      <x:c r="G204" s="47"/>
      <x:c r="H204" s="47"/>
      <x:c r="I204" s="47"/>
      <x:c r="J204" s="47"/>
      <x:c r="K204" s="47"/>
      <x:c r="L204" s="47"/>
      <x:c r="M204" s="47"/>
      <x:c r="N204" s="47"/>
    </x:row>
    <x:row r="205" ht="15.75" customHeight="1">
      <x:c r="C205" s="47"/>
      <x:c r="D205" s="47"/>
      <x:c r="E205" s="47"/>
      <x:c r="F205" s="47"/>
      <x:c r="G205" s="47"/>
      <x:c r="H205" s="47"/>
      <x:c r="I205" s="47"/>
      <x:c r="J205" s="47"/>
      <x:c r="K205" s="47"/>
      <x:c r="L205" s="47"/>
      <x:c r="M205" s="47"/>
      <x:c r="N205" s="47"/>
    </x:row>
    <x:row r="206" ht="15.75" customHeight="1">
      <x:c r="C206" s="47"/>
      <x:c r="D206" s="47"/>
      <x:c r="E206" s="47"/>
      <x:c r="F206" s="47"/>
      <x:c r="G206" s="47"/>
      <x:c r="H206" s="47"/>
      <x:c r="I206" s="47"/>
      <x:c r="J206" s="47"/>
      <x:c r="K206" s="47"/>
      <x:c r="L206" s="47"/>
      <x:c r="M206" s="47"/>
      <x:c r="N206" s="47"/>
    </x:row>
    <x:row r="207" ht="15.75" customHeight="1">
      <x:c r="C207" s="47"/>
      <x:c r="D207" s="47"/>
      <x:c r="E207" s="47"/>
      <x:c r="F207" s="47"/>
      <x:c r="G207" s="47"/>
      <x:c r="H207" s="47"/>
      <x:c r="I207" s="47"/>
      <x:c r="J207" s="47"/>
      <x:c r="K207" s="47"/>
      <x:c r="L207" s="47"/>
      <x:c r="M207" s="47"/>
      <x:c r="N207" s="47"/>
    </x:row>
    <x:row r="208" ht="15.75" customHeight="1">
      <x:c r="C208" s="47"/>
      <x:c r="D208" s="47"/>
      <x:c r="E208" s="47"/>
      <x:c r="F208" s="47"/>
      <x:c r="G208" s="47"/>
      <x:c r="H208" s="47"/>
      <x:c r="I208" s="47"/>
      <x:c r="J208" s="47"/>
      <x:c r="K208" s="47"/>
      <x:c r="L208" s="47"/>
      <x:c r="M208" s="47"/>
      <x:c r="N208" s="47"/>
    </x:row>
    <x:row r="209" ht="15.75" customHeight="1">
      <x:c r="C209" s="47"/>
      <x:c r="D209" s="47"/>
      <x:c r="E209" s="47"/>
      <x:c r="F209" s="47"/>
      <x:c r="G209" s="47"/>
      <x:c r="H209" s="47"/>
      <x:c r="I209" s="47"/>
      <x:c r="J209" s="47"/>
      <x:c r="K209" s="47"/>
      <x:c r="L209" s="47"/>
      <x:c r="M209" s="47"/>
      <x:c r="N209" s="47"/>
    </x:row>
    <x:row r="210" ht="15.75" customHeight="1">
      <x:c r="C210" s="47"/>
      <x:c r="D210" s="47"/>
      <x:c r="E210" s="47"/>
      <x:c r="F210" s="47"/>
      <x:c r="G210" s="47"/>
      <x:c r="H210" s="47"/>
      <x:c r="I210" s="47"/>
      <x:c r="J210" s="47"/>
      <x:c r="K210" s="47"/>
      <x:c r="L210" s="47"/>
      <x:c r="M210" s="47"/>
      <x:c r="N210" s="47"/>
    </x:row>
    <x:row r="211" ht="15.75" customHeight="1">
      <x:c r="C211" s="47"/>
      <x:c r="D211" s="47"/>
      <x:c r="E211" s="47"/>
      <x:c r="F211" s="47"/>
      <x:c r="G211" s="47"/>
      <x:c r="H211" s="47"/>
      <x:c r="I211" s="47"/>
      <x:c r="J211" s="47"/>
      <x:c r="K211" s="47"/>
      <x:c r="L211" s="47"/>
      <x:c r="M211" s="47"/>
      <x:c r="N211" s="47"/>
    </x:row>
    <x:row r="212" ht="15.75" customHeight="1">
      <x:c r="C212" s="47"/>
      <x:c r="D212" s="47"/>
      <x:c r="E212" s="47"/>
      <x:c r="F212" s="47"/>
      <x:c r="G212" s="47"/>
      <x:c r="H212" s="47"/>
      <x:c r="I212" s="47"/>
      <x:c r="J212" s="47"/>
      <x:c r="K212" s="47"/>
      <x:c r="L212" s="47"/>
      <x:c r="M212" s="47"/>
      <x:c r="N212" s="47"/>
    </x:row>
    <x:row r="213" ht="15.75" customHeight="1">
      <x:c r="C213" s="47"/>
      <x:c r="D213" s="47"/>
      <x:c r="E213" s="47"/>
      <x:c r="F213" s="47"/>
      <x:c r="G213" s="47"/>
      <x:c r="H213" s="47"/>
      <x:c r="I213" s="47"/>
      <x:c r="J213" s="47"/>
      <x:c r="K213" s="47"/>
      <x:c r="L213" s="47"/>
      <x:c r="M213" s="47"/>
      <x:c r="N213" s="47"/>
    </x:row>
    <x:row r="214" ht="15.75" customHeight="1">
      <x:c r="C214" s="47"/>
      <x:c r="D214" s="47"/>
      <x:c r="E214" s="47"/>
      <x:c r="F214" s="47"/>
      <x:c r="G214" s="47"/>
      <x:c r="H214" s="47"/>
      <x:c r="I214" s="47"/>
      <x:c r="J214" s="47"/>
      <x:c r="K214" s="47"/>
      <x:c r="L214" s="47"/>
      <x:c r="M214" s="47"/>
      <x:c r="N214" s="47"/>
    </x:row>
    <x:row r="215" ht="15.75" customHeight="1">
      <x:c r="C215" s="47"/>
      <x:c r="D215" s="47"/>
      <x:c r="E215" s="47"/>
      <x:c r="F215" s="47"/>
      <x:c r="G215" s="47"/>
      <x:c r="H215" s="47"/>
      <x:c r="I215" s="47"/>
      <x:c r="J215" s="47"/>
      <x:c r="K215" s="47"/>
      <x:c r="L215" s="47"/>
      <x:c r="M215" s="47"/>
      <x:c r="N215" s="47"/>
    </x:row>
    <x:row r="216" ht="15.75" customHeight="1">
      <x:c r="C216" s="47"/>
      <x:c r="D216" s="47"/>
      <x:c r="E216" s="47"/>
      <x:c r="F216" s="47"/>
      <x:c r="G216" s="47"/>
      <x:c r="H216" s="47"/>
      <x:c r="I216" s="47"/>
      <x:c r="J216" s="47"/>
      <x:c r="K216" s="47"/>
      <x:c r="L216" s="47"/>
      <x:c r="M216" s="47"/>
      <x:c r="N216" s="47"/>
    </x:row>
    <x:row r="217" ht="15.75" customHeight="1">
      <x:c r="C217" s="47"/>
      <x:c r="D217" s="47"/>
      <x:c r="E217" s="47"/>
      <x:c r="F217" s="47"/>
      <x:c r="G217" s="47"/>
      <x:c r="H217" s="47"/>
      <x:c r="I217" s="47"/>
      <x:c r="J217" s="47"/>
      <x:c r="K217" s="47"/>
      <x:c r="L217" s="47"/>
      <x:c r="M217" s="47"/>
      <x:c r="N217" s="47"/>
    </x:row>
    <x:row r="218" ht="15.75" customHeight="1">
      <x:c r="C218" s="47"/>
      <x:c r="D218" s="47"/>
      <x:c r="E218" s="47"/>
      <x:c r="F218" s="47"/>
      <x:c r="G218" s="47"/>
      <x:c r="H218" s="47"/>
      <x:c r="I218" s="47"/>
      <x:c r="J218" s="47"/>
      <x:c r="K218" s="47"/>
      <x:c r="L218" s="47"/>
      <x:c r="M218" s="47"/>
      <x:c r="N218" s="47"/>
    </x:row>
    <x:row r="219" ht="15.75" customHeight="1">
      <x:c r="C219" s="47"/>
      <x:c r="D219" s="47"/>
      <x:c r="E219" s="47"/>
      <x:c r="F219" s="47"/>
      <x:c r="G219" s="47"/>
      <x:c r="H219" s="47"/>
      <x:c r="I219" s="47"/>
      <x:c r="J219" s="47"/>
      <x:c r="K219" s="47"/>
      <x:c r="L219" s="47"/>
      <x:c r="M219" s="47"/>
      <x:c r="N219" s="47"/>
    </x:row>
    <x:row r="220" ht="15.75" customHeight="1">
      <x:c r="C220" s="47"/>
      <x:c r="D220" s="47"/>
      <x:c r="E220" s="47"/>
      <x:c r="F220" s="47"/>
      <x:c r="G220" s="47"/>
      <x:c r="H220" s="47"/>
      <x:c r="I220" s="47"/>
      <x:c r="J220" s="47"/>
      <x:c r="K220" s="47"/>
      <x:c r="L220" s="47"/>
      <x:c r="M220" s="47"/>
      <x:c r="N220" s="47"/>
    </x:row>
    <x:row r="221" ht="15.75" customHeight="1">
      <x:c r="C221" s="47"/>
      <x:c r="D221" s="47"/>
      <x:c r="E221" s="47"/>
      <x:c r="F221" s="47"/>
      <x:c r="G221" s="47"/>
      <x:c r="H221" s="47"/>
      <x:c r="I221" s="47"/>
      <x:c r="J221" s="47"/>
      <x:c r="K221" s="47"/>
      <x:c r="L221" s="47"/>
      <x:c r="M221" s="47"/>
      <x:c r="N221" s="47"/>
    </x:row>
    <x:row r="222" ht="15.75" customHeight="1">
      <x:c r="C222" s="47"/>
      <x:c r="D222" s="47"/>
      <x:c r="E222" s="47"/>
      <x:c r="F222" s="47"/>
      <x:c r="G222" s="47"/>
      <x:c r="H222" s="47"/>
      <x:c r="I222" s="47"/>
      <x:c r="J222" s="47"/>
      <x:c r="K222" s="47"/>
      <x:c r="L222" s="47"/>
      <x:c r="M222" s="47"/>
      <x:c r="N222" s="47"/>
    </x:row>
    <x:row r="223" ht="15.75" customHeight="1">
      <x:c r="C223" s="47"/>
      <x:c r="D223" s="47"/>
      <x:c r="E223" s="47"/>
      <x:c r="F223" s="47"/>
      <x:c r="G223" s="47"/>
      <x:c r="H223" s="47"/>
      <x:c r="I223" s="47"/>
      <x:c r="J223" s="47"/>
      <x:c r="K223" s="47"/>
      <x:c r="L223" s="47"/>
      <x:c r="M223" s="47"/>
      <x:c r="N223" s="47"/>
    </x:row>
    <x:row r="224" ht="15.75" customHeight="1">
      <x:c r="C224" s="47"/>
      <x:c r="D224" s="47"/>
      <x:c r="E224" s="47"/>
      <x:c r="F224" s="47"/>
      <x:c r="G224" s="47"/>
      <x:c r="H224" s="47"/>
      <x:c r="I224" s="47"/>
      <x:c r="J224" s="47"/>
      <x:c r="K224" s="47"/>
      <x:c r="L224" s="47"/>
      <x:c r="M224" s="47"/>
      <x:c r="N224" s="47"/>
    </x:row>
    <x:row r="225" ht="15.75" customHeight="1">
      <x:c r="C225" s="47"/>
      <x:c r="D225" s="47"/>
      <x:c r="E225" s="47"/>
      <x:c r="F225" s="47"/>
      <x:c r="G225" s="47"/>
      <x:c r="H225" s="47"/>
      <x:c r="I225" s="47"/>
      <x:c r="J225" s="47"/>
      <x:c r="K225" s="47"/>
      <x:c r="L225" s="47"/>
      <x:c r="M225" s="47"/>
      <x:c r="N225" s="47"/>
    </x:row>
    <x:row r="226" ht="15.75" customHeight="1">
      <x:c r="C226" s="47"/>
      <x:c r="D226" s="47"/>
      <x:c r="E226" s="47"/>
      <x:c r="F226" s="47"/>
      <x:c r="G226" s="47"/>
      <x:c r="H226" s="47"/>
      <x:c r="I226" s="47"/>
      <x:c r="J226" s="47"/>
      <x:c r="K226" s="47"/>
      <x:c r="L226" s="47"/>
      <x:c r="M226" s="47"/>
      <x:c r="N226" s="47"/>
    </x:row>
    <x:row r="227" ht="15.75" customHeight="1">
      <x:c r="C227" s="47"/>
      <x:c r="D227" s="47"/>
      <x:c r="E227" s="47"/>
      <x:c r="F227" s="47"/>
      <x:c r="G227" s="47"/>
      <x:c r="H227" s="47"/>
      <x:c r="I227" s="47"/>
      <x:c r="J227" s="47"/>
      <x:c r="K227" s="47"/>
      <x:c r="L227" s="47"/>
      <x:c r="M227" s="47"/>
      <x:c r="N227" s="47"/>
    </x:row>
    <x:row r="228" ht="15.75" customHeight="1">
      <x:c r="C228" s="47"/>
      <x:c r="D228" s="47"/>
      <x:c r="E228" s="47"/>
      <x:c r="F228" s="47"/>
      <x:c r="G228" s="47"/>
      <x:c r="H228" s="47"/>
      <x:c r="I228" s="47"/>
      <x:c r="J228" s="47"/>
      <x:c r="K228" s="47"/>
      <x:c r="L228" s="47"/>
      <x:c r="M228" s="47"/>
      <x:c r="N228" s="47"/>
    </x:row>
    <x:row r="229" ht="15.75" customHeight="1">
      <x:c r="C229" s="47"/>
      <x:c r="D229" s="47"/>
      <x:c r="E229" s="47"/>
      <x:c r="F229" s="47"/>
      <x:c r="G229" s="47"/>
      <x:c r="H229" s="47"/>
      <x:c r="I229" s="47"/>
      <x:c r="J229" s="47"/>
      <x:c r="K229" s="47"/>
      <x:c r="L229" s="47"/>
      <x:c r="M229" s="47"/>
      <x:c r="N229" s="47"/>
    </x:row>
    <x:row r="230" ht="15.75" customHeight="1">
      <x:c r="C230" s="47"/>
      <x:c r="D230" s="47"/>
      <x:c r="E230" s="47"/>
      <x:c r="F230" s="47"/>
      <x:c r="G230" s="47"/>
      <x:c r="H230" s="47"/>
      <x:c r="I230" s="47"/>
      <x:c r="J230" s="47"/>
      <x:c r="K230" s="47"/>
      <x:c r="L230" s="47"/>
      <x:c r="M230" s="47"/>
      <x:c r="N230" s="47"/>
    </x:row>
    <x:row r="231" ht="15.75" customHeight="1">
      <x:c r="C231" s="47"/>
      <x:c r="D231" s="47"/>
      <x:c r="E231" s="47"/>
      <x:c r="F231" s="47"/>
      <x:c r="G231" s="47"/>
      <x:c r="H231" s="47"/>
      <x:c r="I231" s="47"/>
      <x:c r="J231" s="47"/>
      <x:c r="K231" s="47"/>
      <x:c r="L231" s="47"/>
      <x:c r="M231" s="47"/>
      <x:c r="N231" s="47"/>
    </x:row>
    <x:row r="232" ht="15.75" customHeight="1">
      <x:c r="C232" s="47"/>
      <x:c r="D232" s="47"/>
      <x:c r="E232" s="47"/>
      <x:c r="F232" s="47"/>
      <x:c r="G232" s="47"/>
      <x:c r="H232" s="47"/>
      <x:c r="I232" s="47"/>
      <x:c r="J232" s="47"/>
      <x:c r="K232" s="47"/>
      <x:c r="L232" s="47"/>
      <x:c r="M232" s="47"/>
      <x:c r="N232" s="47"/>
    </x:row>
    <x:row r="233" ht="15.75" customHeight="1">
      <x:c r="C233" s="47"/>
      <x:c r="D233" s="47"/>
      <x:c r="E233" s="47"/>
      <x:c r="F233" s="47"/>
      <x:c r="G233" s="47"/>
      <x:c r="H233" s="47"/>
      <x:c r="I233" s="47"/>
      <x:c r="J233" s="47"/>
      <x:c r="K233" s="47"/>
      <x:c r="L233" s="47"/>
      <x:c r="M233" s="47"/>
      <x:c r="N233" s="47"/>
    </x:row>
    <x:row r="234" ht="15.75" customHeight="1">
      <x:c r="C234" s="47"/>
      <x:c r="D234" s="47"/>
      <x:c r="E234" s="47"/>
      <x:c r="F234" s="47"/>
      <x:c r="G234" s="47"/>
      <x:c r="H234" s="47"/>
      <x:c r="I234" s="47"/>
      <x:c r="J234" s="47"/>
      <x:c r="K234" s="47"/>
      <x:c r="L234" s="47"/>
      <x:c r="M234" s="47"/>
      <x:c r="N234" s="47"/>
    </x:row>
    <x:row r="235" ht="15.75" customHeight="1">
      <x:c r="C235" s="47"/>
      <x:c r="D235" s="47"/>
      <x:c r="E235" s="47"/>
      <x:c r="F235" s="47"/>
      <x:c r="G235" s="47"/>
      <x:c r="H235" s="47"/>
      <x:c r="I235" s="47"/>
      <x:c r="J235" s="47"/>
      <x:c r="K235" s="47"/>
      <x:c r="L235" s="47"/>
      <x:c r="M235" s="47"/>
      <x:c r="N235" s="47"/>
    </x:row>
    <x:row r="236" ht="15.75" customHeight="1">
      <x:c r="C236" s="47"/>
      <x:c r="D236" s="47"/>
      <x:c r="E236" s="47"/>
      <x:c r="F236" s="47"/>
      <x:c r="G236" s="47"/>
      <x:c r="H236" s="47"/>
      <x:c r="I236" s="47"/>
      <x:c r="J236" s="47"/>
      <x:c r="K236" s="47"/>
      <x:c r="L236" s="47"/>
      <x:c r="M236" s="47"/>
      <x:c r="N236" s="47"/>
    </x:row>
    <x:row r="237" ht="15.75" customHeight="1">
      <x:c r="C237" s="47"/>
      <x:c r="D237" s="47"/>
      <x:c r="E237" s="47"/>
      <x:c r="F237" s="47"/>
      <x:c r="G237" s="47"/>
      <x:c r="H237" s="47"/>
      <x:c r="I237" s="47"/>
      <x:c r="J237" s="47"/>
      <x:c r="K237" s="47"/>
      <x:c r="L237" s="47"/>
      <x:c r="M237" s="47"/>
      <x:c r="N237" s="47"/>
    </x:row>
    <x:row r="238" ht="15.75" customHeight="1">
      <x:c r="C238" s="47"/>
      <x:c r="D238" s="47"/>
      <x:c r="E238" s="47"/>
      <x:c r="F238" s="47"/>
      <x:c r="G238" s="47"/>
      <x:c r="H238" s="47"/>
      <x:c r="I238" s="47"/>
      <x:c r="J238" s="47"/>
      <x:c r="K238" s="47"/>
      <x:c r="L238" s="47"/>
      <x:c r="M238" s="47"/>
      <x:c r="N238" s="47"/>
    </x:row>
    <x:row r="239" ht="15.75" customHeight="1">
      <x:c r="C239" s="47"/>
      <x:c r="D239" s="47"/>
      <x:c r="E239" s="47"/>
      <x:c r="F239" s="47"/>
      <x:c r="G239" s="47"/>
      <x:c r="H239" s="47"/>
      <x:c r="I239" s="47"/>
      <x:c r="J239" s="47"/>
      <x:c r="K239" s="47"/>
      <x:c r="L239" s="47"/>
      <x:c r="M239" s="47"/>
      <x:c r="N239" s="47"/>
    </x:row>
    <x:row r="240" ht="15.75" customHeight="1">
      <x:c r="C240" s="47"/>
      <x:c r="D240" s="47"/>
      <x:c r="E240" s="47"/>
      <x:c r="F240" s="47"/>
      <x:c r="G240" s="47"/>
      <x:c r="H240" s="47"/>
      <x:c r="I240" s="47"/>
      <x:c r="J240" s="47"/>
      <x:c r="K240" s="47"/>
      <x:c r="L240" s="47"/>
      <x:c r="M240" s="47"/>
      <x:c r="N240" s="47"/>
    </x:row>
    <x:row r="241" ht="15.75" customHeight="1">
      <x:c r="C241" s="47"/>
      <x:c r="D241" s="47"/>
      <x:c r="E241" s="47"/>
      <x:c r="F241" s="47"/>
      <x:c r="G241" s="47"/>
      <x:c r="H241" s="47"/>
      <x:c r="I241" s="47"/>
      <x:c r="J241" s="47"/>
      <x:c r="K241" s="47"/>
      <x:c r="L241" s="47"/>
      <x:c r="M241" s="47"/>
      <x:c r="N241" s="47"/>
    </x:row>
    <x:row r="242" ht="15.75" customHeight="1">
      <x:c r="C242" s="47"/>
      <x:c r="D242" s="47"/>
      <x:c r="E242" s="47"/>
      <x:c r="F242" s="47"/>
      <x:c r="G242" s="47"/>
      <x:c r="H242" s="47"/>
      <x:c r="I242" s="47"/>
      <x:c r="J242" s="47"/>
      <x:c r="K242" s="47"/>
      <x:c r="L242" s="47"/>
      <x:c r="M242" s="47"/>
      <x:c r="N242" s="47"/>
    </x:row>
    <x:row r="243" ht="15.75" customHeight="1">
      <x:c r="C243" s="47"/>
      <x:c r="D243" s="47"/>
      <x:c r="E243" s="47"/>
      <x:c r="F243" s="47"/>
      <x:c r="G243" s="47"/>
      <x:c r="H243" s="47"/>
      <x:c r="I243" s="47"/>
      <x:c r="J243" s="47"/>
      <x:c r="K243" s="47"/>
      <x:c r="L243" s="47"/>
      <x:c r="M243" s="47"/>
      <x:c r="N243" s="47"/>
    </x:row>
    <x:row r="244" ht="15.75" customHeight="1">
      <x:c r="C244" s="47"/>
      <x:c r="D244" s="47"/>
      <x:c r="E244" s="47"/>
      <x:c r="F244" s="47"/>
      <x:c r="G244" s="47"/>
      <x:c r="H244" s="47"/>
      <x:c r="I244" s="47"/>
      <x:c r="J244" s="47"/>
      <x:c r="K244" s="47"/>
      <x:c r="L244" s="47"/>
      <x:c r="M244" s="47"/>
      <x:c r="N244" s="47"/>
    </x:row>
    <x:row r="245" ht="15.75" customHeight="1">
      <x:c r="C245" s="47"/>
      <x:c r="D245" s="47"/>
      <x:c r="E245" s="47"/>
      <x:c r="F245" s="47"/>
      <x:c r="G245" s="47"/>
      <x:c r="H245" s="47"/>
      <x:c r="I245" s="47"/>
      <x:c r="J245" s="47"/>
      <x:c r="K245" s="47"/>
      <x:c r="L245" s="47"/>
      <x:c r="M245" s="47"/>
      <x:c r="N245" s="47"/>
    </x:row>
    <x:row r="246" ht="15.75" customHeight="1">
      <x:c r="C246" s="47"/>
      <x:c r="D246" s="47"/>
      <x:c r="E246" s="47"/>
      <x:c r="F246" s="47"/>
      <x:c r="G246" s="47"/>
      <x:c r="H246" s="47"/>
      <x:c r="I246" s="47"/>
      <x:c r="J246" s="47"/>
      <x:c r="K246" s="47"/>
      <x:c r="L246" s="47"/>
      <x:c r="M246" s="47"/>
      <x:c r="N246" s="47"/>
    </x:row>
    <x:row r="247" ht="15.75" customHeight="1">
      <x:c r="C247" s="47"/>
      <x:c r="D247" s="47"/>
      <x:c r="E247" s="47"/>
      <x:c r="F247" s="47"/>
      <x:c r="G247" s="47"/>
      <x:c r="H247" s="47"/>
      <x:c r="I247" s="47"/>
      <x:c r="J247" s="47"/>
      <x:c r="K247" s="47"/>
      <x:c r="L247" s="47"/>
      <x:c r="M247" s="47"/>
      <x:c r="N247" s="47"/>
    </x:row>
    <x:row r="248" ht="15.75" customHeight="1">
      <x:c r="C248" s="47"/>
      <x:c r="D248" s="47"/>
      <x:c r="E248" s="47"/>
      <x:c r="F248" s="47"/>
      <x:c r="G248" s="47"/>
      <x:c r="H248" s="47"/>
      <x:c r="I248" s="47"/>
      <x:c r="J248" s="47"/>
      <x:c r="K248" s="47"/>
      <x:c r="L248" s="47"/>
      <x:c r="M248" s="47"/>
      <x:c r="N248" s="47"/>
    </x:row>
    <x:row r="249" ht="15.75" customHeight="1">
      <x:c r="C249" s="47"/>
      <x:c r="D249" s="47"/>
      <x:c r="E249" s="47"/>
      <x:c r="F249" s="47"/>
      <x:c r="G249" s="47"/>
      <x:c r="H249" s="47"/>
      <x:c r="I249" s="47"/>
      <x:c r="J249" s="47"/>
      <x:c r="K249" s="47"/>
      <x:c r="L249" s="47"/>
      <x:c r="M249" s="47"/>
      <x:c r="N249" s="47"/>
    </x:row>
    <x:row r="250" ht="15.75" customHeight="1">
      <x:c r="C250" s="47"/>
      <x:c r="D250" s="47"/>
      <x:c r="E250" s="47"/>
      <x:c r="F250" s="47"/>
      <x:c r="G250" s="47"/>
      <x:c r="H250" s="47"/>
      <x:c r="I250" s="47"/>
      <x:c r="J250" s="47"/>
      <x:c r="K250" s="47"/>
      <x:c r="L250" s="47"/>
      <x:c r="M250" s="47"/>
      <x:c r="N250" s="47"/>
    </x:row>
    <x:row r="251" ht="15.75" customHeight="1">
      <x:c r="C251" s="47"/>
      <x:c r="D251" s="47"/>
      <x:c r="E251" s="47"/>
      <x:c r="F251" s="47"/>
      <x:c r="G251" s="47"/>
      <x:c r="H251" s="47"/>
      <x:c r="I251" s="47"/>
      <x:c r="J251" s="47"/>
      <x:c r="K251" s="47"/>
      <x:c r="L251" s="47"/>
      <x:c r="M251" s="47"/>
      <x:c r="N251" s="47"/>
    </x:row>
    <x:row r="252" ht="15.75" customHeight="1">
      <x:c r="C252" s="47"/>
      <x:c r="D252" s="47"/>
      <x:c r="E252" s="47"/>
      <x:c r="F252" s="47"/>
      <x:c r="G252" s="47"/>
      <x:c r="H252" s="47"/>
      <x:c r="I252" s="47"/>
      <x:c r="J252" s="47"/>
      <x:c r="K252" s="47"/>
      <x:c r="L252" s="47"/>
      <x:c r="M252" s="47"/>
      <x:c r="N252" s="47"/>
    </x:row>
    <x:row r="253" ht="15.75" customHeight="1">
      <x:c r="C253" s="47"/>
      <x:c r="D253" s="47"/>
      <x:c r="E253" s="47"/>
      <x:c r="F253" s="47"/>
      <x:c r="G253" s="47"/>
      <x:c r="H253" s="47"/>
      <x:c r="I253" s="47"/>
      <x:c r="J253" s="47"/>
      <x:c r="K253" s="47"/>
      <x:c r="L253" s="47"/>
      <x:c r="M253" s="47"/>
      <x:c r="N253" s="47"/>
    </x:row>
    <x:row r="254" ht="15.75" customHeight="1">
      <x:c r="C254" s="47"/>
      <x:c r="D254" s="47"/>
      <x:c r="E254" s="47"/>
      <x:c r="F254" s="47"/>
      <x:c r="G254" s="47"/>
      <x:c r="H254" s="47"/>
      <x:c r="I254" s="47"/>
      <x:c r="J254" s="47"/>
      <x:c r="K254" s="47"/>
      <x:c r="L254" s="47"/>
      <x:c r="M254" s="47"/>
      <x:c r="N254" s="47"/>
    </x:row>
    <x:row r="255" ht="15.75" customHeight="1">
      <x:c r="C255" s="47"/>
      <x:c r="D255" s="47"/>
      <x:c r="E255" s="47"/>
      <x:c r="F255" s="47"/>
      <x:c r="G255" s="47"/>
      <x:c r="H255" s="47"/>
      <x:c r="I255" s="47"/>
      <x:c r="J255" s="47"/>
      <x:c r="K255" s="47"/>
      <x:c r="L255" s="47"/>
      <x:c r="M255" s="47"/>
      <x:c r="N255" s="47"/>
    </x:row>
    <x:row r="256" ht="15.75" customHeight="1">
      <x:c r="C256" s="47"/>
      <x:c r="D256" s="47"/>
      <x:c r="E256" s="47"/>
      <x:c r="F256" s="47"/>
      <x:c r="G256" s="47"/>
      <x:c r="H256" s="47"/>
      <x:c r="I256" s="47"/>
      <x:c r="J256" s="47"/>
      <x:c r="K256" s="47"/>
      <x:c r="L256" s="47"/>
      <x:c r="M256" s="47"/>
      <x:c r="N256" s="47"/>
    </x:row>
    <x:row r="257" ht="15.75" customHeight="1">
      <x:c r="C257" s="47"/>
      <x:c r="D257" s="47"/>
      <x:c r="E257" s="47"/>
      <x:c r="F257" s="47"/>
      <x:c r="G257" s="47"/>
      <x:c r="H257" s="47"/>
      <x:c r="I257" s="47"/>
      <x:c r="J257" s="47"/>
      <x:c r="K257" s="47"/>
      <x:c r="L257" s="47"/>
      <x:c r="M257" s="47"/>
      <x:c r="N257" s="47"/>
    </x:row>
    <x:row r="258" ht="15.75" customHeight="1">
      <x:c r="C258" s="47"/>
      <x:c r="D258" s="47"/>
      <x:c r="E258" s="47"/>
      <x:c r="F258" s="47"/>
      <x:c r="G258" s="47"/>
      <x:c r="H258" s="47"/>
      <x:c r="I258" s="47"/>
      <x:c r="J258" s="47"/>
      <x:c r="K258" s="47"/>
      <x:c r="L258" s="47"/>
      <x:c r="M258" s="47"/>
      <x:c r="N258" s="47"/>
    </x:row>
    <x:row r="259" ht="15.75" customHeight="1">
      <x:c r="C259" s="47"/>
      <x:c r="D259" s="47"/>
      <x:c r="E259" s="47"/>
      <x:c r="F259" s="47"/>
      <x:c r="G259" s="47"/>
      <x:c r="H259" s="47"/>
      <x:c r="I259" s="47"/>
      <x:c r="J259" s="47"/>
      <x:c r="K259" s="47"/>
      <x:c r="L259" s="47"/>
      <x:c r="M259" s="47"/>
      <x:c r="N259" s="47"/>
    </x:row>
    <x:row r="260" ht="15.75" customHeight="1">
      <x:c r="C260" s="47"/>
      <x:c r="D260" s="47"/>
      <x:c r="E260" s="47"/>
      <x:c r="F260" s="47"/>
      <x:c r="G260" s="47"/>
      <x:c r="H260" s="47"/>
      <x:c r="I260" s="47"/>
      <x:c r="J260" s="47"/>
      <x:c r="K260" s="47"/>
      <x:c r="L260" s="47"/>
      <x:c r="M260" s="47"/>
      <x:c r="N260" s="47"/>
    </x:row>
    <x:row r="261" ht="15.75" customHeight="1">
      <x:c r="C261" s="47"/>
      <x:c r="D261" s="47"/>
      <x:c r="E261" s="47"/>
      <x:c r="F261" s="47"/>
      <x:c r="G261" s="47"/>
      <x:c r="H261" s="47"/>
      <x:c r="I261" s="47"/>
      <x:c r="J261" s="47"/>
      <x:c r="K261" s="47"/>
      <x:c r="L261" s="47"/>
      <x:c r="M261" s="47"/>
      <x:c r="N261" s="47"/>
    </x:row>
    <x:row r="262" ht="15.75" customHeight="1">
      <x:c r="C262" s="47"/>
      <x:c r="D262" s="47"/>
      <x:c r="E262" s="47"/>
      <x:c r="F262" s="47"/>
      <x:c r="G262" s="47"/>
      <x:c r="H262" s="47"/>
      <x:c r="I262" s="47"/>
      <x:c r="J262" s="47"/>
      <x:c r="K262" s="47"/>
      <x:c r="L262" s="47"/>
      <x:c r="M262" s="47"/>
      <x:c r="N262" s="47"/>
    </x:row>
    <x:row r="263" ht="15.75" customHeight="1">
      <x:c r="C263" s="47"/>
      <x:c r="D263" s="47"/>
      <x:c r="E263" s="47"/>
      <x:c r="F263" s="47"/>
      <x:c r="G263" s="47"/>
      <x:c r="H263" s="47"/>
      <x:c r="I263" s="47"/>
      <x:c r="J263" s="47"/>
      <x:c r="K263" s="47"/>
      <x:c r="L263" s="47"/>
      <x:c r="M263" s="47"/>
      <x:c r="N263" s="47"/>
    </x:row>
    <x:row r="264" ht="15.75" customHeight="1">
      <x:c r="C264" s="47"/>
      <x:c r="D264" s="47"/>
      <x:c r="E264" s="47"/>
      <x:c r="F264" s="47"/>
      <x:c r="G264" s="47"/>
      <x:c r="H264" s="47"/>
      <x:c r="I264" s="47"/>
      <x:c r="J264" s="47"/>
      <x:c r="K264" s="47"/>
      <x:c r="L264" s="47"/>
      <x:c r="M264" s="47"/>
      <x:c r="N264" s="47"/>
    </x:row>
    <x:row r="265" ht="15.75" customHeight="1">
      <x:c r="C265" s="47"/>
      <x:c r="D265" s="47"/>
      <x:c r="E265" s="47"/>
      <x:c r="F265" s="47"/>
      <x:c r="G265" s="47"/>
      <x:c r="H265" s="47"/>
      <x:c r="I265" s="47"/>
      <x:c r="J265" s="47"/>
      <x:c r="K265" s="47"/>
      <x:c r="L265" s="47"/>
      <x:c r="M265" s="47"/>
      <x:c r="N265" s="47"/>
    </x:row>
    <x:row r="266" ht="15.75" customHeight="1">
      <x:c r="C266" s="47"/>
      <x:c r="D266" s="47"/>
      <x:c r="E266" s="47"/>
      <x:c r="F266" s="47"/>
      <x:c r="G266" s="47"/>
      <x:c r="H266" s="47"/>
      <x:c r="I266" s="47"/>
      <x:c r="J266" s="47"/>
      <x:c r="K266" s="47"/>
      <x:c r="L266" s="47"/>
      <x:c r="M266" s="47"/>
      <x:c r="N266" s="47"/>
    </x:row>
    <x:row r="267" ht="15.75" customHeight="1">
      <x:c r="C267" s="47"/>
      <x:c r="D267" s="47"/>
      <x:c r="E267" s="47"/>
      <x:c r="F267" s="47"/>
      <x:c r="G267" s="47"/>
      <x:c r="H267" s="47"/>
      <x:c r="I267" s="47"/>
      <x:c r="J267" s="47"/>
      <x:c r="K267" s="47"/>
      <x:c r="L267" s="47"/>
      <x:c r="M267" s="47"/>
      <x:c r="N267" s="47"/>
    </x:row>
    <x:row r="268" ht="15.75" customHeight="1">
      <x:c r="C268" s="47"/>
      <x:c r="D268" s="47"/>
      <x:c r="E268" s="47"/>
      <x:c r="F268" s="47"/>
      <x:c r="G268" s="47"/>
      <x:c r="H268" s="47"/>
      <x:c r="I268" s="47"/>
      <x:c r="J268" s="47"/>
      <x:c r="K268" s="47"/>
      <x:c r="L268" s="47"/>
      <x:c r="M268" s="47"/>
      <x:c r="N268" s="47"/>
    </x:row>
    <x:row r="269" ht="15.75" customHeight="1">
      <x:c r="C269" s="47"/>
      <x:c r="D269" s="47"/>
      <x:c r="E269" s="47"/>
      <x:c r="F269" s="47"/>
      <x:c r="G269" s="47"/>
      <x:c r="H269" s="47"/>
      <x:c r="I269" s="47"/>
      <x:c r="J269" s="47"/>
      <x:c r="K269" s="47"/>
      <x:c r="L269" s="47"/>
      <x:c r="M269" s="47"/>
      <x:c r="N269" s="47"/>
    </x:row>
    <x:row r="270" ht="15.75" customHeight="1">
      <x:c r="C270" s="47"/>
      <x:c r="D270" s="47"/>
      <x:c r="E270" s="47"/>
      <x:c r="F270" s="47"/>
      <x:c r="G270" s="47"/>
      <x:c r="H270" s="47"/>
      <x:c r="I270" s="47"/>
      <x:c r="J270" s="47"/>
      <x:c r="K270" s="47"/>
      <x:c r="L270" s="47"/>
      <x:c r="M270" s="47"/>
      <x:c r="N270" s="47"/>
    </x:row>
    <x:row r="271" ht="15.75" customHeight="1">
      <x:c r="C271" s="47"/>
      <x:c r="D271" s="47"/>
      <x:c r="E271" s="47"/>
      <x:c r="F271" s="47"/>
      <x:c r="G271" s="47"/>
      <x:c r="H271" s="47"/>
      <x:c r="I271" s="47"/>
      <x:c r="J271" s="47"/>
      <x:c r="K271" s="47"/>
      <x:c r="L271" s="47"/>
      <x:c r="M271" s="47"/>
      <x:c r="N271" s="47"/>
    </x:row>
    <x:row r="272" ht="15.75" customHeight="1">
      <x:c r="C272" s="47"/>
      <x:c r="D272" s="47"/>
      <x:c r="E272" s="47"/>
      <x:c r="F272" s="47"/>
      <x:c r="G272" s="47"/>
      <x:c r="H272" s="47"/>
      <x:c r="I272" s="47"/>
      <x:c r="J272" s="47"/>
      <x:c r="K272" s="47"/>
      <x:c r="L272" s="47"/>
      <x:c r="M272" s="47"/>
      <x:c r="N272" s="47"/>
    </x:row>
    <x:row r="273" ht="15.75" customHeight="1">
      <x:c r="C273" s="47"/>
      <x:c r="D273" s="47"/>
      <x:c r="E273" s="47"/>
      <x:c r="F273" s="47"/>
      <x:c r="G273" s="47"/>
      <x:c r="H273" s="47"/>
      <x:c r="I273" s="47"/>
      <x:c r="J273" s="47"/>
      <x:c r="K273" s="47"/>
      <x:c r="L273" s="47"/>
      <x:c r="M273" s="47"/>
      <x:c r="N273" s="47"/>
    </x:row>
    <x:row r="274" ht="15.75" customHeight="1">
      <x:c r="C274" s="47"/>
      <x:c r="D274" s="47"/>
      <x:c r="E274" s="47"/>
      <x:c r="F274" s="47"/>
      <x:c r="G274" s="47"/>
      <x:c r="H274" s="47"/>
      <x:c r="I274" s="47"/>
      <x:c r="J274" s="47"/>
      <x:c r="K274" s="47"/>
      <x:c r="L274" s="47"/>
      <x:c r="M274" s="47"/>
      <x:c r="N274" s="47"/>
    </x:row>
    <x:row r="275" ht="15.75" customHeight="1">
      <x:c r="C275" s="47"/>
      <x:c r="D275" s="47"/>
      <x:c r="E275" s="47"/>
      <x:c r="F275" s="47"/>
      <x:c r="G275" s="47"/>
      <x:c r="H275" s="47"/>
      <x:c r="I275" s="47"/>
      <x:c r="J275" s="47"/>
      <x:c r="K275" s="47"/>
      <x:c r="L275" s="47"/>
      <x:c r="M275" s="47"/>
      <x:c r="N275" s="47"/>
    </x:row>
    <x:row r="276" ht="15.75" customHeight="1">
      <x:c r="C276" s="47"/>
      <x:c r="D276" s="47"/>
      <x:c r="E276" s="47"/>
      <x:c r="F276" s="47"/>
      <x:c r="G276" s="47"/>
      <x:c r="H276" s="47"/>
      <x:c r="I276" s="47"/>
      <x:c r="J276" s="47"/>
      <x:c r="K276" s="47"/>
      <x:c r="L276" s="47"/>
      <x:c r="M276" s="47"/>
      <x:c r="N276" s="47"/>
    </x:row>
    <x:row r="277" ht="15.75" customHeight="1">
      <x:c r="C277" s="47"/>
      <x:c r="D277" s="47"/>
      <x:c r="E277" s="47"/>
      <x:c r="F277" s="47"/>
      <x:c r="G277" s="47"/>
      <x:c r="H277" s="47"/>
      <x:c r="I277" s="47"/>
      <x:c r="J277" s="47"/>
      <x:c r="K277" s="47"/>
      <x:c r="L277" s="47"/>
      <x:c r="M277" s="47"/>
      <x:c r="N277" s="47"/>
    </x:row>
    <x:row r="278" ht="15.75" customHeight="1">
      <x:c r="C278" s="47"/>
      <x:c r="D278" s="47"/>
      <x:c r="E278" s="47"/>
      <x:c r="F278" s="47"/>
      <x:c r="G278" s="47"/>
      <x:c r="H278" s="47"/>
      <x:c r="I278" s="47"/>
      <x:c r="J278" s="47"/>
      <x:c r="K278" s="47"/>
      <x:c r="L278" s="47"/>
      <x:c r="M278" s="47"/>
      <x:c r="N278" s="47"/>
    </x:row>
    <x:row r="279" ht="15.75" customHeight="1">
      <x:c r="C279" s="47"/>
      <x:c r="D279" s="47"/>
      <x:c r="E279" s="47"/>
      <x:c r="F279" s="47"/>
      <x:c r="G279" s="47"/>
      <x:c r="H279" s="47"/>
      <x:c r="I279" s="47"/>
      <x:c r="J279" s="47"/>
      <x:c r="K279" s="47"/>
      <x:c r="L279" s="47"/>
      <x:c r="M279" s="47"/>
      <x:c r="N279" s="47"/>
    </x:row>
    <x:row r="280" ht="15.75" customHeight="1">
      <x:c r="C280" s="47"/>
      <x:c r="D280" s="47"/>
      <x:c r="E280" s="47"/>
      <x:c r="F280" s="47"/>
      <x:c r="G280" s="47"/>
      <x:c r="H280" s="47"/>
      <x:c r="I280" s="47"/>
      <x:c r="J280" s="47"/>
      <x:c r="K280" s="47"/>
      <x:c r="L280" s="47"/>
      <x:c r="M280" s="47"/>
      <x:c r="N280" s="47"/>
    </x:row>
    <x:row r="281" ht="15.75" customHeight="1">
      <x:c r="C281" s="47"/>
      <x:c r="D281" s="47"/>
      <x:c r="E281" s="47"/>
      <x:c r="F281" s="47"/>
      <x:c r="G281" s="47"/>
      <x:c r="H281" s="47"/>
      <x:c r="I281" s="47"/>
      <x:c r="J281" s="47"/>
      <x:c r="K281" s="47"/>
      <x:c r="L281" s="47"/>
      <x:c r="M281" s="47"/>
      <x:c r="N281" s="47"/>
    </x:row>
    <x:row r="282" ht="15.75" customHeight="1">
      <x:c r="C282" s="47"/>
      <x:c r="D282" s="47"/>
      <x:c r="E282" s="47"/>
      <x:c r="F282" s="47"/>
      <x:c r="G282" s="47"/>
      <x:c r="H282" s="47"/>
      <x:c r="I282" s="47"/>
      <x:c r="J282" s="47"/>
      <x:c r="K282" s="47"/>
      <x:c r="L282" s="47"/>
      <x:c r="M282" s="47"/>
      <x:c r="N282" s="47"/>
    </x:row>
    <x:row r="283" ht="15.75" customHeight="1">
      <x:c r="C283" s="47"/>
      <x:c r="D283" s="47"/>
      <x:c r="E283" s="47"/>
      <x:c r="F283" s="47"/>
      <x:c r="G283" s="47"/>
      <x:c r="H283" s="47"/>
      <x:c r="I283" s="47"/>
      <x:c r="J283" s="47"/>
      <x:c r="K283" s="47"/>
      <x:c r="L283" s="47"/>
      <x:c r="M283" s="47"/>
      <x:c r="N283" s="47"/>
    </x:row>
    <x:row r="284" ht="15.75" customHeight="1">
      <x:c r="C284" s="47"/>
      <x:c r="D284" s="47"/>
      <x:c r="E284" s="47"/>
      <x:c r="F284" s="47"/>
      <x:c r="G284" s="47"/>
      <x:c r="H284" s="47"/>
      <x:c r="I284" s="47"/>
      <x:c r="J284" s="47"/>
      <x:c r="K284" s="47"/>
      <x:c r="L284" s="47"/>
      <x:c r="M284" s="47"/>
      <x:c r="N284" s="47"/>
    </x:row>
    <x:row r="285" ht="15.75" customHeight="1">
      <x:c r="C285" s="47"/>
      <x:c r="D285" s="47"/>
      <x:c r="E285" s="47"/>
      <x:c r="F285" s="47"/>
      <x:c r="G285" s="47"/>
      <x:c r="H285" s="47"/>
      <x:c r="I285" s="47"/>
      <x:c r="J285" s="47"/>
      <x:c r="K285" s="47"/>
      <x:c r="L285" s="47"/>
      <x:c r="M285" s="47"/>
      <x:c r="N285" s="47"/>
    </x:row>
    <x:row r="286" ht="15.75" customHeight="1">
      <x:c r="C286" s="47"/>
      <x:c r="D286" s="47"/>
      <x:c r="E286" s="47"/>
      <x:c r="F286" s="47"/>
      <x:c r="G286" s="47"/>
      <x:c r="H286" s="47"/>
      <x:c r="I286" s="47"/>
      <x:c r="J286" s="47"/>
      <x:c r="K286" s="47"/>
      <x:c r="L286" s="47"/>
      <x:c r="M286" s="47"/>
      <x:c r="N286" s="47"/>
    </x:row>
    <x:row r="287" ht="15.75" customHeight="1">
      <x:c r="C287" s="47"/>
      <x:c r="D287" s="47"/>
      <x:c r="E287" s="47"/>
      <x:c r="F287" s="47"/>
      <x:c r="G287" s="47"/>
      <x:c r="H287" s="47"/>
      <x:c r="I287" s="47"/>
      <x:c r="J287" s="47"/>
      <x:c r="K287" s="47"/>
      <x:c r="L287" s="47"/>
      <x:c r="M287" s="47"/>
      <x:c r="N287" s="47"/>
    </x:row>
    <x:row r="288" ht="15.75" customHeight="1">
      <x:c r="C288" s="47"/>
      <x:c r="D288" s="47"/>
      <x:c r="E288" s="47"/>
      <x:c r="F288" s="47"/>
      <x:c r="G288" s="47"/>
      <x:c r="H288" s="47"/>
      <x:c r="I288" s="47"/>
      <x:c r="J288" s="47"/>
      <x:c r="K288" s="47"/>
      <x:c r="L288" s="47"/>
      <x:c r="M288" s="47"/>
      <x:c r="N288" s="47"/>
    </x:row>
    <x:row r="289" ht="15.75" customHeight="1">
      <x:c r="C289" s="47"/>
      <x:c r="D289" s="47"/>
      <x:c r="E289" s="47"/>
      <x:c r="F289" s="47"/>
      <x:c r="G289" s="47"/>
      <x:c r="H289" s="47"/>
      <x:c r="I289" s="47"/>
      <x:c r="J289" s="47"/>
      <x:c r="K289" s="47"/>
      <x:c r="L289" s="47"/>
      <x:c r="M289" s="47"/>
      <x:c r="N289" s="47"/>
    </x:row>
    <x:row r="290" ht="15.75" customHeight="1">
      <x:c r="C290" s="47"/>
      <x:c r="D290" s="47"/>
      <x:c r="E290" s="47"/>
      <x:c r="F290" s="47"/>
      <x:c r="G290" s="47"/>
      <x:c r="H290" s="47"/>
      <x:c r="I290" s="47"/>
      <x:c r="J290" s="47"/>
      <x:c r="K290" s="47"/>
      <x:c r="L290" s="47"/>
      <x:c r="M290" s="47"/>
      <x:c r="N290" s="47"/>
    </x:row>
    <x:row r="291" ht="15.75" customHeight="1">
      <x:c r="C291" s="47"/>
      <x:c r="D291" s="47"/>
      <x:c r="E291" s="47"/>
      <x:c r="F291" s="47"/>
      <x:c r="G291" s="47"/>
      <x:c r="H291" s="47"/>
      <x:c r="I291" s="47"/>
      <x:c r="J291" s="47"/>
      <x:c r="K291" s="47"/>
      <x:c r="L291" s="47"/>
      <x:c r="M291" s="47"/>
      <x:c r="N291" s="47"/>
    </x:row>
    <x:row r="292" ht="15.75" customHeight="1">
      <x:c r="C292" s="47"/>
      <x:c r="D292" s="47"/>
      <x:c r="E292" s="47"/>
      <x:c r="F292" s="47"/>
      <x:c r="G292" s="47"/>
      <x:c r="H292" s="47"/>
      <x:c r="I292" s="47"/>
      <x:c r="J292" s="47"/>
      <x:c r="K292" s="47"/>
      <x:c r="L292" s="47"/>
      <x:c r="M292" s="47"/>
      <x:c r="N292" s="47"/>
    </x:row>
    <x:row r="293" ht="15.75" customHeight="1">
      <x:c r="C293" s="47"/>
      <x:c r="D293" s="47"/>
      <x:c r="E293" s="47"/>
      <x:c r="F293" s="47"/>
      <x:c r="G293" s="47"/>
      <x:c r="H293" s="47"/>
      <x:c r="I293" s="47"/>
      <x:c r="J293" s="47"/>
      <x:c r="K293" s="47"/>
      <x:c r="L293" s="47"/>
      <x:c r="M293" s="47"/>
      <x:c r="N293" s="47"/>
    </x:row>
    <x:row r="294" ht="15.75" customHeight="1">
      <x:c r="C294" s="47"/>
      <x:c r="D294" s="47"/>
      <x:c r="E294" s="47"/>
      <x:c r="F294" s="47"/>
      <x:c r="G294" s="47"/>
      <x:c r="H294" s="47"/>
      <x:c r="I294" s="47"/>
      <x:c r="J294" s="47"/>
      <x:c r="K294" s="47"/>
      <x:c r="L294" s="47"/>
      <x:c r="M294" s="47"/>
      <x:c r="N294" s="47"/>
    </x:row>
    <x:row r="295" ht="15.75" customHeight="1">
      <x:c r="C295" s="47"/>
      <x:c r="D295" s="47"/>
      <x:c r="E295" s="47"/>
      <x:c r="F295" s="47"/>
      <x:c r="G295" s="47"/>
      <x:c r="H295" s="47"/>
      <x:c r="I295" s="47"/>
      <x:c r="J295" s="47"/>
      <x:c r="K295" s="47"/>
      <x:c r="L295" s="47"/>
      <x:c r="M295" s="47"/>
      <x:c r="N295" s="47"/>
    </x:row>
    <x:row r="296" ht="15.75" customHeight="1">
      <x:c r="C296" s="47"/>
      <x:c r="D296" s="47"/>
      <x:c r="E296" s="47"/>
      <x:c r="F296" s="47"/>
      <x:c r="G296" s="47"/>
      <x:c r="H296" s="47"/>
      <x:c r="I296" s="47"/>
      <x:c r="J296" s="47"/>
      <x:c r="K296" s="47"/>
      <x:c r="L296" s="47"/>
      <x:c r="M296" s="47"/>
      <x:c r="N296" s="47"/>
    </x:row>
    <x:row r="297" ht="15.75" customHeight="1">
      <x:c r="C297" s="47"/>
      <x:c r="D297" s="47"/>
      <x:c r="E297" s="47"/>
      <x:c r="F297" s="47"/>
      <x:c r="G297" s="47"/>
      <x:c r="H297" s="47"/>
      <x:c r="I297" s="47"/>
      <x:c r="J297" s="47"/>
      <x:c r="K297" s="47"/>
      <x:c r="L297" s="47"/>
      <x:c r="M297" s="47"/>
      <x:c r="N297" s="47"/>
    </x:row>
    <x:row r="298" ht="15.75" customHeight="1">
      <x:c r="C298" s="47"/>
      <x:c r="D298" s="47"/>
      <x:c r="E298" s="47"/>
      <x:c r="F298" s="47"/>
      <x:c r="G298" s="47"/>
      <x:c r="H298" s="47"/>
      <x:c r="I298" s="47"/>
      <x:c r="J298" s="47"/>
      <x:c r="K298" s="47"/>
      <x:c r="L298" s="47"/>
      <x:c r="M298" s="47"/>
      <x:c r="N298" s="47"/>
    </x:row>
    <x:row r="299" ht="15.75" customHeight="1">
      <x:c r="C299" s="47"/>
      <x:c r="D299" s="47"/>
      <x:c r="E299" s="47"/>
      <x:c r="F299" s="47"/>
      <x:c r="G299" s="47"/>
      <x:c r="H299" s="47"/>
      <x:c r="I299" s="47"/>
      <x:c r="J299" s="47"/>
      <x:c r="K299" s="47"/>
      <x:c r="L299" s="47"/>
      <x:c r="M299" s="47"/>
      <x:c r="N299" s="47"/>
    </x:row>
    <x:row r="300" ht="15.75" customHeight="1">
      <x:c r="C300" s="47"/>
      <x:c r="D300" s="47"/>
      <x:c r="E300" s="47"/>
      <x:c r="F300" s="47"/>
      <x:c r="G300" s="47"/>
      <x:c r="H300" s="47"/>
      <x:c r="I300" s="47"/>
      <x:c r="J300" s="47"/>
      <x:c r="K300" s="47"/>
      <x:c r="L300" s="47"/>
      <x:c r="M300" s="47"/>
      <x:c r="N300" s="47"/>
    </x:row>
    <x:row r="301" ht="15.75" customHeight="1">
      <x:c r="C301" s="47"/>
      <x:c r="D301" s="47"/>
      <x:c r="E301" s="47"/>
      <x:c r="F301" s="47"/>
      <x:c r="G301" s="47"/>
      <x:c r="H301" s="47"/>
      <x:c r="I301" s="47"/>
      <x:c r="J301" s="47"/>
      <x:c r="K301" s="47"/>
      <x:c r="L301" s="47"/>
      <x:c r="M301" s="47"/>
      <x:c r="N301" s="47"/>
    </x:row>
    <x:row r="302" ht="15.75" customHeight="1">
      <x:c r="C302" s="47"/>
      <x:c r="D302" s="47"/>
      <x:c r="E302" s="47"/>
      <x:c r="F302" s="47"/>
      <x:c r="G302" s="47"/>
      <x:c r="H302" s="47"/>
      <x:c r="I302" s="47"/>
      <x:c r="J302" s="47"/>
      <x:c r="K302" s="47"/>
      <x:c r="L302" s="47"/>
      <x:c r="M302" s="47"/>
      <x:c r="N302" s="47"/>
    </x:row>
    <x:row r="303" ht="15.75" customHeight="1">
      <x:c r="C303" s="47"/>
      <x:c r="D303" s="47"/>
      <x:c r="E303" s="47"/>
      <x:c r="F303" s="47"/>
      <x:c r="G303" s="47"/>
      <x:c r="H303" s="47"/>
      <x:c r="I303" s="47"/>
      <x:c r="J303" s="47"/>
      <x:c r="K303" s="47"/>
      <x:c r="L303" s="47"/>
      <x:c r="M303" s="47"/>
      <x:c r="N303" s="47"/>
    </x:row>
    <x:row r="304" ht="15.75" customHeight="1">
      <x:c r="C304" s="47"/>
      <x:c r="D304" s="47"/>
      <x:c r="E304" s="47"/>
      <x:c r="F304" s="47"/>
      <x:c r="G304" s="47"/>
      <x:c r="H304" s="47"/>
      <x:c r="I304" s="47"/>
      <x:c r="J304" s="47"/>
      <x:c r="K304" s="47"/>
      <x:c r="L304" s="47"/>
      <x:c r="M304" s="47"/>
      <x:c r="N304" s="47"/>
    </x:row>
    <x:row r="305" ht="15.75" customHeight="1">
      <x:c r="C305" s="47"/>
      <x:c r="D305" s="47"/>
      <x:c r="E305" s="47"/>
      <x:c r="F305" s="47"/>
      <x:c r="G305" s="47"/>
      <x:c r="H305" s="47"/>
      <x:c r="I305" s="47"/>
      <x:c r="J305" s="47"/>
      <x:c r="K305" s="47"/>
      <x:c r="L305" s="47"/>
      <x:c r="M305" s="47"/>
      <x:c r="N305" s="47"/>
    </x:row>
    <x:row r="306" ht="15.75" customHeight="1">
      <x:c r="C306" s="47"/>
      <x:c r="D306" s="47"/>
      <x:c r="E306" s="47"/>
      <x:c r="F306" s="47"/>
      <x:c r="G306" s="47"/>
      <x:c r="H306" s="47"/>
      <x:c r="I306" s="47"/>
      <x:c r="J306" s="47"/>
      <x:c r="K306" s="47"/>
      <x:c r="L306" s="47"/>
      <x:c r="M306" s="47"/>
      <x:c r="N306" s="47"/>
    </x:row>
    <x:row r="307" ht="15.75" customHeight="1">
      <x:c r="C307" s="47"/>
      <x:c r="D307" s="47"/>
      <x:c r="E307" s="47"/>
      <x:c r="F307" s="47"/>
      <x:c r="G307" s="47"/>
      <x:c r="H307" s="47"/>
      <x:c r="I307" s="47"/>
      <x:c r="J307" s="47"/>
      <x:c r="K307" s="47"/>
      <x:c r="L307" s="47"/>
      <x:c r="M307" s="47"/>
      <x:c r="N307" s="47"/>
    </x:row>
    <x:row r="308" ht="15.75" customHeight="1">
      <x:c r="C308" s="47"/>
      <x:c r="D308" s="47"/>
      <x:c r="E308" s="47"/>
      <x:c r="F308" s="47"/>
      <x:c r="G308" s="47"/>
      <x:c r="H308" s="47"/>
      <x:c r="I308" s="47"/>
      <x:c r="J308" s="47"/>
      <x:c r="K308" s="47"/>
      <x:c r="L308" s="47"/>
      <x:c r="M308" s="47"/>
      <x:c r="N308" s="47"/>
    </x:row>
    <x:row r="309" ht="15.75" customHeight="1">
      <x:c r="C309" s="47"/>
      <x:c r="D309" s="47"/>
      <x:c r="E309" s="47"/>
      <x:c r="F309" s="47"/>
      <x:c r="G309" s="47"/>
      <x:c r="H309" s="47"/>
      <x:c r="I309" s="47"/>
      <x:c r="J309" s="47"/>
      <x:c r="K309" s="47"/>
      <x:c r="L309" s="47"/>
      <x:c r="M309" s="47"/>
      <x:c r="N309" s="47"/>
    </x:row>
    <x:row r="310" ht="15.75" customHeight="1">
      <x:c r="C310" s="47"/>
      <x:c r="D310" s="47"/>
      <x:c r="E310" s="47"/>
      <x:c r="F310" s="47"/>
      <x:c r="G310" s="47"/>
      <x:c r="H310" s="47"/>
      <x:c r="I310" s="47"/>
      <x:c r="J310" s="47"/>
      <x:c r="K310" s="47"/>
      <x:c r="L310" s="47"/>
      <x:c r="M310" s="47"/>
      <x:c r="N310" s="47"/>
    </x:row>
    <x:row r="311" ht="15.75" customHeight="1">
      <x:c r="C311" s="47"/>
      <x:c r="D311" s="47"/>
      <x:c r="E311" s="47"/>
      <x:c r="F311" s="47"/>
      <x:c r="G311" s="47"/>
      <x:c r="H311" s="47"/>
      <x:c r="I311" s="47"/>
      <x:c r="J311" s="47"/>
      <x:c r="K311" s="47"/>
      <x:c r="L311" s="47"/>
      <x:c r="M311" s="47"/>
      <x:c r="N311" s="47"/>
    </x:row>
    <x:row r="312" ht="15.75" customHeight="1">
      <x:c r="C312" s="47"/>
      <x:c r="D312" s="47"/>
      <x:c r="E312" s="47"/>
      <x:c r="F312" s="47"/>
      <x:c r="G312" s="47"/>
      <x:c r="H312" s="47"/>
      <x:c r="I312" s="47"/>
      <x:c r="J312" s="47"/>
      <x:c r="K312" s="47"/>
      <x:c r="L312" s="47"/>
      <x:c r="M312" s="47"/>
      <x:c r="N312" s="47"/>
    </x:row>
    <x:row r="313" ht="15.75" customHeight="1">
      <x:c r="C313" s="47"/>
      <x:c r="D313" s="47"/>
      <x:c r="E313" s="47"/>
      <x:c r="F313" s="47"/>
      <x:c r="G313" s="47"/>
      <x:c r="H313" s="47"/>
      <x:c r="I313" s="47"/>
      <x:c r="J313" s="47"/>
      <x:c r="K313" s="47"/>
      <x:c r="L313" s="47"/>
      <x:c r="M313" s="47"/>
      <x:c r="N313" s="47"/>
    </x:row>
    <x:row r="314" ht="15.75" customHeight="1">
      <x:c r="C314" s="47"/>
      <x:c r="D314" s="47"/>
      <x:c r="E314" s="47"/>
      <x:c r="F314" s="47"/>
      <x:c r="G314" s="47"/>
      <x:c r="H314" s="47"/>
      <x:c r="I314" s="47"/>
      <x:c r="J314" s="47"/>
      <x:c r="K314" s="47"/>
      <x:c r="L314" s="47"/>
      <x:c r="M314" s="47"/>
      <x:c r="N314" s="47"/>
    </x:row>
    <x:row r="315" ht="15.75" customHeight="1">
      <x:c r="C315" s="47"/>
      <x:c r="D315" s="47"/>
      <x:c r="E315" s="47"/>
      <x:c r="F315" s="47"/>
      <x:c r="G315" s="47"/>
      <x:c r="H315" s="47"/>
      <x:c r="I315" s="47"/>
      <x:c r="J315" s="47"/>
      <x:c r="K315" s="47"/>
      <x:c r="L315" s="47"/>
      <x:c r="M315" s="47"/>
      <x:c r="N315" s="47"/>
    </x:row>
    <x:row r="316" ht="15.75" customHeight="1">
      <x:c r="C316" s="47"/>
      <x:c r="D316" s="47"/>
      <x:c r="E316" s="47"/>
      <x:c r="F316" s="47"/>
      <x:c r="G316" s="47"/>
      <x:c r="H316" s="47"/>
      <x:c r="I316" s="47"/>
      <x:c r="J316" s="47"/>
      <x:c r="K316" s="47"/>
      <x:c r="L316" s="47"/>
      <x:c r="M316" s="47"/>
      <x:c r="N316" s="47"/>
    </x:row>
    <x:row r="317" ht="15.75" customHeight="1">
      <x:c r="C317" s="47"/>
      <x:c r="D317" s="47"/>
      <x:c r="E317" s="47"/>
      <x:c r="F317" s="47"/>
      <x:c r="G317" s="47"/>
      <x:c r="H317" s="47"/>
      <x:c r="I317" s="47"/>
      <x:c r="J317" s="47"/>
      <x:c r="K317" s="47"/>
      <x:c r="L317" s="47"/>
      <x:c r="M317" s="47"/>
      <x:c r="N317" s="47"/>
    </x:row>
    <x:row r="318" ht="15.75" customHeight="1">
      <x:c r="C318" s="47"/>
      <x:c r="D318" s="47"/>
      <x:c r="E318" s="47"/>
      <x:c r="F318" s="47"/>
      <x:c r="G318" s="47"/>
      <x:c r="H318" s="47"/>
      <x:c r="I318" s="47"/>
      <x:c r="J318" s="47"/>
      <x:c r="K318" s="47"/>
      <x:c r="L318" s="47"/>
      <x:c r="M318" s="47"/>
      <x:c r="N318" s="47"/>
    </x:row>
    <x:row r="319" ht="15.75" customHeight="1">
      <x:c r="C319" s="47"/>
      <x:c r="D319" s="47"/>
      <x:c r="E319" s="47"/>
      <x:c r="F319" s="47"/>
      <x:c r="G319" s="47"/>
      <x:c r="H319" s="47"/>
      <x:c r="I319" s="47"/>
      <x:c r="J319" s="47"/>
      <x:c r="K319" s="47"/>
      <x:c r="L319" s="47"/>
      <x:c r="M319" s="47"/>
      <x:c r="N319" s="47"/>
    </x:row>
    <x:row r="320" ht="15.75" customHeight="1">
      <x:c r="C320" s="47"/>
      <x:c r="D320" s="47"/>
      <x:c r="E320" s="47"/>
      <x:c r="F320" s="47"/>
      <x:c r="G320" s="47"/>
      <x:c r="H320" s="47"/>
      <x:c r="I320" s="47"/>
      <x:c r="J320" s="47"/>
      <x:c r="K320" s="47"/>
      <x:c r="L320" s="47"/>
      <x:c r="M320" s="47"/>
      <x:c r="N320" s="47"/>
    </x:row>
    <x:row r="321" ht="15.75" customHeight="1">
      <x:c r="C321" s="47"/>
      <x:c r="D321" s="47"/>
      <x:c r="E321" s="47"/>
      <x:c r="F321" s="47"/>
      <x:c r="G321" s="47"/>
      <x:c r="H321" s="47"/>
      <x:c r="I321" s="47"/>
      <x:c r="J321" s="47"/>
      <x:c r="K321" s="47"/>
      <x:c r="L321" s="47"/>
      <x:c r="M321" s="47"/>
      <x:c r="N321" s="47"/>
    </x:row>
    <x:row r="322" ht="15.75" customHeight="1">
      <x:c r="C322" s="47"/>
      <x:c r="D322" s="47"/>
      <x:c r="E322" s="47"/>
      <x:c r="F322" s="47"/>
      <x:c r="G322" s="47"/>
      <x:c r="H322" s="47"/>
      <x:c r="I322" s="47"/>
      <x:c r="J322" s="47"/>
      <x:c r="K322" s="47"/>
      <x:c r="L322" s="47"/>
      <x:c r="M322" s="47"/>
      <x:c r="N322" s="47"/>
    </x:row>
    <x:row r="323" ht="15.75" customHeight="1">
      <x:c r="C323" s="47"/>
      <x:c r="D323" s="47"/>
      <x:c r="E323" s="47"/>
      <x:c r="F323" s="47"/>
      <x:c r="G323" s="47"/>
      <x:c r="H323" s="47"/>
      <x:c r="I323" s="47"/>
      <x:c r="J323" s="47"/>
      <x:c r="K323" s="47"/>
      <x:c r="L323" s="47"/>
      <x:c r="M323" s="47"/>
      <x:c r="N323" s="47"/>
    </x:row>
    <x:row r="324" ht="15.75" customHeight="1">
      <x:c r="C324" s="47"/>
      <x:c r="D324" s="47"/>
      <x:c r="E324" s="47"/>
      <x:c r="F324" s="47"/>
      <x:c r="G324" s="47"/>
      <x:c r="H324" s="47"/>
      <x:c r="I324" s="47"/>
      <x:c r="J324" s="47"/>
      <x:c r="K324" s="47"/>
      <x:c r="L324" s="47"/>
      <x:c r="M324" s="47"/>
      <x:c r="N324" s="47"/>
    </x:row>
    <x:row r="325" ht="15.75" customHeight="1">
      <x:c r="C325" s="47"/>
      <x:c r="D325" s="47"/>
      <x:c r="E325" s="47"/>
      <x:c r="F325" s="47"/>
      <x:c r="G325" s="47"/>
      <x:c r="H325" s="47"/>
      <x:c r="I325" s="47"/>
      <x:c r="J325" s="47"/>
      <x:c r="K325" s="47"/>
      <x:c r="L325" s="47"/>
      <x:c r="M325" s="47"/>
      <x:c r="N325" s="47"/>
    </x:row>
    <x:row r="326" ht="15.75" customHeight="1">
      <x:c r="C326" s="47"/>
      <x:c r="D326" s="47"/>
      <x:c r="E326" s="47"/>
      <x:c r="F326" s="47"/>
      <x:c r="G326" s="47"/>
      <x:c r="H326" s="47"/>
      <x:c r="I326" s="47"/>
      <x:c r="J326" s="47"/>
      <x:c r="K326" s="47"/>
      <x:c r="L326" s="47"/>
      <x:c r="M326" s="47"/>
      <x:c r="N326" s="47"/>
    </x:row>
    <x:row r="327" ht="15.75" customHeight="1">
      <x:c r="C327" s="47"/>
      <x:c r="D327" s="47"/>
      <x:c r="E327" s="47"/>
      <x:c r="F327" s="47"/>
      <x:c r="G327" s="47"/>
      <x:c r="H327" s="47"/>
      <x:c r="I327" s="47"/>
      <x:c r="J327" s="47"/>
      <x:c r="K327" s="47"/>
      <x:c r="L327" s="47"/>
      <x:c r="M327" s="47"/>
      <x:c r="N327" s="47"/>
    </x:row>
    <x:row r="328" ht="15.75" customHeight="1">
      <x:c r="C328" s="47"/>
      <x:c r="D328" s="47"/>
      <x:c r="E328" s="47"/>
      <x:c r="F328" s="47"/>
      <x:c r="G328" s="47"/>
      <x:c r="H328" s="47"/>
      <x:c r="I328" s="47"/>
      <x:c r="J328" s="47"/>
      <x:c r="K328" s="47"/>
      <x:c r="L328" s="47"/>
      <x:c r="M328" s="47"/>
      <x:c r="N328" s="47"/>
    </x:row>
    <x:row r="329" ht="15.75" customHeight="1">
      <x:c r="C329" s="47"/>
      <x:c r="D329" s="47"/>
      <x:c r="E329" s="47"/>
      <x:c r="F329" s="47"/>
      <x:c r="G329" s="47"/>
      <x:c r="H329" s="47"/>
      <x:c r="I329" s="47"/>
      <x:c r="J329" s="47"/>
      <x:c r="K329" s="47"/>
      <x:c r="L329" s="47"/>
      <x:c r="M329" s="47"/>
      <x:c r="N329" s="47"/>
    </x:row>
    <x:row r="330" ht="15.75" customHeight="1">
      <x:c r="C330" s="47"/>
      <x:c r="D330" s="47"/>
      <x:c r="E330" s="47"/>
      <x:c r="F330" s="47"/>
      <x:c r="G330" s="47"/>
      <x:c r="H330" s="47"/>
      <x:c r="I330" s="47"/>
      <x:c r="J330" s="47"/>
      <x:c r="K330" s="47"/>
      <x:c r="L330" s="47"/>
      <x:c r="M330" s="47"/>
      <x:c r="N330" s="47"/>
    </x:row>
    <x:row r="331" ht="15.75" customHeight="1">
      <x:c r="C331" s="47"/>
      <x:c r="D331" s="47"/>
      <x:c r="E331" s="47"/>
      <x:c r="F331" s="47"/>
      <x:c r="G331" s="47"/>
      <x:c r="H331" s="47"/>
      <x:c r="I331" s="47"/>
      <x:c r="J331" s="47"/>
      <x:c r="K331" s="47"/>
      <x:c r="L331" s="47"/>
      <x:c r="M331" s="47"/>
      <x:c r="N331" s="47"/>
    </x:row>
    <x:row r="332" ht="15.75" customHeight="1">
      <x:c r="C332" s="47"/>
      <x:c r="D332" s="47"/>
      <x:c r="E332" s="47"/>
      <x:c r="F332" s="47"/>
      <x:c r="G332" s="47"/>
      <x:c r="H332" s="47"/>
      <x:c r="I332" s="47"/>
      <x:c r="J332" s="47"/>
      <x:c r="K332" s="47"/>
      <x:c r="L332" s="47"/>
      <x:c r="M332" s="47"/>
      <x:c r="N332" s="47"/>
    </x:row>
    <x:row r="333" ht="15.75" customHeight="1">
      <x:c r="C333" s="47"/>
      <x:c r="D333" s="47"/>
      <x:c r="E333" s="47"/>
      <x:c r="F333" s="47"/>
      <x:c r="G333" s="47"/>
      <x:c r="H333" s="47"/>
      <x:c r="I333" s="47"/>
      <x:c r="J333" s="47"/>
      <x:c r="K333" s="47"/>
      <x:c r="L333" s="47"/>
      <x:c r="M333" s="47"/>
      <x:c r="N333" s="47"/>
    </x:row>
    <x:row r="334" ht="15.75" customHeight="1">
      <x:c r="C334" s="47"/>
      <x:c r="D334" s="47"/>
      <x:c r="E334" s="47"/>
      <x:c r="F334" s="47"/>
      <x:c r="G334" s="47"/>
      <x:c r="H334" s="47"/>
      <x:c r="I334" s="47"/>
      <x:c r="J334" s="47"/>
      <x:c r="K334" s="47"/>
      <x:c r="L334" s="47"/>
      <x:c r="M334" s="47"/>
      <x:c r="N334" s="47"/>
    </x:row>
    <x:row r="335" ht="15.75" customHeight="1">
      <x:c r="C335" s="47"/>
      <x:c r="D335" s="47"/>
      <x:c r="E335" s="47"/>
      <x:c r="F335" s="47"/>
      <x:c r="G335" s="47"/>
      <x:c r="H335" s="47"/>
      <x:c r="I335" s="47"/>
      <x:c r="J335" s="47"/>
      <x:c r="K335" s="47"/>
      <x:c r="L335" s="47"/>
      <x:c r="M335" s="47"/>
      <x:c r="N335" s="47"/>
    </x:row>
    <x:row r="336" ht="15.75" customHeight="1">
      <x:c r="C336" s="47"/>
      <x:c r="D336" s="47"/>
      <x:c r="E336" s="47"/>
      <x:c r="F336" s="47"/>
      <x:c r="G336" s="47"/>
      <x:c r="H336" s="47"/>
      <x:c r="I336" s="47"/>
      <x:c r="J336" s="47"/>
      <x:c r="K336" s="47"/>
      <x:c r="L336" s="47"/>
      <x:c r="M336" s="47"/>
      <x:c r="N336" s="47"/>
    </x:row>
    <x:row r="337" ht="15.75" customHeight="1">
      <x:c r="C337" s="47"/>
      <x:c r="D337" s="47"/>
      <x:c r="E337" s="47"/>
      <x:c r="F337" s="47"/>
      <x:c r="G337" s="47"/>
      <x:c r="H337" s="47"/>
      <x:c r="I337" s="47"/>
      <x:c r="J337" s="47"/>
      <x:c r="K337" s="47"/>
      <x:c r="L337" s="47"/>
      <x:c r="M337" s="47"/>
      <x:c r="N337" s="47"/>
    </x:row>
    <x:row r="338" ht="15.75" customHeight="1">
      <x:c r="C338" s="47"/>
      <x:c r="D338" s="47"/>
      <x:c r="E338" s="47"/>
      <x:c r="F338" s="47"/>
      <x:c r="G338" s="47"/>
      <x:c r="H338" s="47"/>
      <x:c r="I338" s="47"/>
      <x:c r="J338" s="47"/>
      <x:c r="K338" s="47"/>
      <x:c r="L338" s="47"/>
      <x:c r="M338" s="47"/>
      <x:c r="N338" s="47"/>
    </x:row>
    <x:row r="339" ht="15.75" customHeight="1">
      <x:c r="C339" s="47"/>
      <x:c r="D339" s="47"/>
      <x:c r="E339" s="47"/>
      <x:c r="F339" s="47"/>
      <x:c r="G339" s="47"/>
      <x:c r="H339" s="47"/>
      <x:c r="I339" s="47"/>
      <x:c r="J339" s="47"/>
      <x:c r="K339" s="47"/>
      <x:c r="L339" s="47"/>
      <x:c r="M339" s="47"/>
      <x:c r="N339" s="47"/>
    </x:row>
    <x:row r="340" ht="15.75" customHeight="1">
      <x:c r="C340" s="47"/>
      <x:c r="D340" s="47"/>
      <x:c r="E340" s="47"/>
      <x:c r="F340" s="47"/>
      <x:c r="G340" s="47"/>
      <x:c r="H340" s="47"/>
      <x:c r="I340" s="47"/>
      <x:c r="J340" s="47"/>
      <x:c r="K340" s="47"/>
      <x:c r="L340" s="47"/>
      <x:c r="M340" s="47"/>
      <x:c r="N340" s="47"/>
    </x:row>
    <x:row r="341" ht="15.75" customHeight="1">
      <x:c r="C341" s="47"/>
      <x:c r="D341" s="47"/>
      <x:c r="E341" s="47"/>
      <x:c r="F341" s="47"/>
      <x:c r="G341" s="47"/>
      <x:c r="H341" s="47"/>
      <x:c r="I341" s="47"/>
      <x:c r="J341" s="47"/>
      <x:c r="K341" s="47"/>
      <x:c r="L341" s="47"/>
      <x:c r="M341" s="47"/>
      <x:c r="N341" s="47"/>
    </x:row>
    <x:row r="342" ht="15.75" customHeight="1">
      <x:c r="C342" s="47"/>
      <x:c r="D342" s="47"/>
      <x:c r="E342" s="47"/>
      <x:c r="F342" s="47"/>
      <x:c r="G342" s="47"/>
      <x:c r="H342" s="47"/>
      <x:c r="I342" s="47"/>
      <x:c r="J342" s="47"/>
      <x:c r="K342" s="47"/>
      <x:c r="L342" s="47"/>
      <x:c r="M342" s="47"/>
      <x:c r="N342" s="47"/>
    </x:row>
    <x:row r="343" ht="15.75" customHeight="1">
      <x:c r="C343" s="47"/>
      <x:c r="D343" s="47"/>
      <x:c r="E343" s="47"/>
      <x:c r="F343" s="47"/>
      <x:c r="G343" s="47"/>
      <x:c r="H343" s="47"/>
      <x:c r="I343" s="47"/>
      <x:c r="J343" s="47"/>
      <x:c r="K343" s="47"/>
      <x:c r="L343" s="47"/>
      <x:c r="M343" s="47"/>
      <x:c r="N343" s="47"/>
    </x:row>
    <x:row r="344" ht="15.75" customHeight="1">
      <x:c r="C344" s="47"/>
      <x:c r="D344" s="47"/>
      <x:c r="E344" s="47"/>
      <x:c r="F344" s="47"/>
      <x:c r="G344" s="47"/>
      <x:c r="H344" s="47"/>
      <x:c r="I344" s="47"/>
      <x:c r="J344" s="47"/>
      <x:c r="K344" s="47"/>
      <x:c r="L344" s="47"/>
      <x:c r="M344" s="47"/>
      <x:c r="N344" s="47"/>
    </x:row>
    <x:row r="345" ht="15.75" customHeight="1">
      <x:c r="C345" s="47"/>
      <x:c r="D345" s="47"/>
      <x:c r="E345" s="47"/>
      <x:c r="F345" s="47"/>
      <x:c r="G345" s="47"/>
      <x:c r="H345" s="47"/>
      <x:c r="I345" s="47"/>
      <x:c r="J345" s="47"/>
      <x:c r="K345" s="47"/>
      <x:c r="L345" s="47"/>
      <x:c r="M345" s="47"/>
      <x:c r="N345" s="47"/>
    </x:row>
    <x:row r="346" ht="15.75" customHeight="1">
      <x:c r="C346" s="47"/>
      <x:c r="D346" s="47"/>
      <x:c r="E346" s="47"/>
      <x:c r="F346" s="47"/>
      <x:c r="G346" s="47"/>
      <x:c r="H346" s="47"/>
      <x:c r="I346" s="47"/>
      <x:c r="J346" s="47"/>
      <x:c r="K346" s="47"/>
      <x:c r="L346" s="47"/>
      <x:c r="M346" s="47"/>
      <x:c r="N346" s="47"/>
    </x:row>
    <x:row r="347" ht="15.75" customHeight="1">
      <x:c r="C347" s="47"/>
      <x:c r="D347" s="47"/>
      <x:c r="E347" s="47"/>
      <x:c r="F347" s="47"/>
      <x:c r="G347" s="47"/>
      <x:c r="H347" s="47"/>
      <x:c r="I347" s="47"/>
      <x:c r="J347" s="47"/>
      <x:c r="K347" s="47"/>
      <x:c r="L347" s="47"/>
      <x:c r="M347" s="47"/>
      <x:c r="N347" s="47"/>
    </x:row>
    <x:row r="348" ht="15.75" customHeight="1">
      <x:c r="C348" s="47"/>
      <x:c r="D348" s="47"/>
      <x:c r="E348" s="47"/>
      <x:c r="F348" s="47"/>
      <x:c r="G348" s="47"/>
      <x:c r="H348" s="47"/>
      <x:c r="I348" s="47"/>
      <x:c r="J348" s="47"/>
      <x:c r="K348" s="47"/>
      <x:c r="L348" s="47"/>
      <x:c r="M348" s="47"/>
      <x:c r="N348" s="47"/>
    </x:row>
    <x:row r="349" ht="15.75" customHeight="1">
      <x:c r="C349" s="47"/>
      <x:c r="D349" s="47"/>
      <x:c r="E349" s="47"/>
      <x:c r="F349" s="47"/>
      <x:c r="G349" s="47"/>
      <x:c r="H349" s="47"/>
      <x:c r="I349" s="47"/>
      <x:c r="J349" s="47"/>
      <x:c r="K349" s="47"/>
      <x:c r="L349" s="47"/>
      <x:c r="M349" s="47"/>
      <x:c r="N349" s="47"/>
    </x:row>
    <x:row r="350" ht="15.75" customHeight="1">
      <x:c r="C350" s="47"/>
      <x:c r="D350" s="47"/>
      <x:c r="E350" s="47"/>
      <x:c r="F350" s="47"/>
      <x:c r="G350" s="47"/>
      <x:c r="H350" s="47"/>
      <x:c r="I350" s="47"/>
      <x:c r="J350" s="47"/>
      <x:c r="K350" s="47"/>
      <x:c r="L350" s="47"/>
      <x:c r="M350" s="47"/>
      <x:c r="N350" s="47"/>
    </x:row>
    <x:row r="351" ht="15.75" customHeight="1">
      <x:c r="C351" s="47"/>
      <x:c r="D351" s="47"/>
      <x:c r="E351" s="47"/>
      <x:c r="F351" s="47"/>
      <x:c r="G351" s="47"/>
      <x:c r="H351" s="47"/>
      <x:c r="I351" s="47"/>
      <x:c r="J351" s="47"/>
      <x:c r="K351" s="47"/>
      <x:c r="L351" s="47"/>
      <x:c r="M351" s="47"/>
      <x:c r="N351" s="47"/>
    </x:row>
    <x:row r="352" ht="15.75" customHeight="1">
      <x:c r="C352" s="47"/>
      <x:c r="D352" s="47"/>
      <x:c r="E352" s="47"/>
      <x:c r="F352" s="47"/>
      <x:c r="G352" s="47"/>
      <x:c r="H352" s="47"/>
      <x:c r="I352" s="47"/>
      <x:c r="J352" s="47"/>
      <x:c r="K352" s="47"/>
      <x:c r="L352" s="47"/>
      <x:c r="M352" s="47"/>
      <x:c r="N352" s="47"/>
    </x:row>
    <x:row r="353" ht="15.75" customHeight="1">
      <x:c r="C353" s="47"/>
      <x:c r="D353" s="47"/>
      <x:c r="E353" s="47"/>
      <x:c r="F353" s="47"/>
      <x:c r="G353" s="47"/>
      <x:c r="H353" s="47"/>
      <x:c r="I353" s="47"/>
      <x:c r="J353" s="47"/>
      <x:c r="K353" s="47"/>
      <x:c r="L353" s="47"/>
      <x:c r="M353" s="47"/>
      <x:c r="N353" s="47"/>
    </x:row>
    <x:row r="354" ht="15.75" customHeight="1">
      <x:c r="C354" s="47"/>
      <x:c r="D354" s="47"/>
      <x:c r="E354" s="47"/>
      <x:c r="F354" s="47"/>
      <x:c r="G354" s="47"/>
      <x:c r="H354" s="47"/>
      <x:c r="I354" s="47"/>
      <x:c r="J354" s="47"/>
      <x:c r="K354" s="47"/>
      <x:c r="L354" s="47"/>
      <x:c r="M354" s="47"/>
      <x:c r="N354" s="47"/>
    </x:row>
    <x:row r="355" ht="15.75" customHeight="1">
      <x:c r="C355" s="47"/>
      <x:c r="D355" s="47"/>
      <x:c r="E355" s="47"/>
      <x:c r="F355" s="47"/>
      <x:c r="G355" s="47"/>
      <x:c r="H355" s="47"/>
      <x:c r="I355" s="47"/>
      <x:c r="J355" s="47"/>
      <x:c r="K355" s="47"/>
      <x:c r="L355" s="47"/>
      <x:c r="M355" s="47"/>
      <x:c r="N355" s="47"/>
    </x:row>
    <x:row r="356" ht="15.75" customHeight="1">
      <x:c r="C356" s="47"/>
      <x:c r="D356" s="47"/>
      <x:c r="E356" s="47"/>
      <x:c r="F356" s="47"/>
      <x:c r="G356" s="47"/>
      <x:c r="H356" s="47"/>
      <x:c r="I356" s="47"/>
      <x:c r="J356" s="47"/>
      <x:c r="K356" s="47"/>
      <x:c r="L356" s="47"/>
      <x:c r="M356" s="47"/>
      <x:c r="N356" s="47"/>
    </x:row>
    <x:row r="357" ht="15.75" customHeight="1">
      <x:c r="C357" s="47"/>
      <x:c r="D357" s="47"/>
      <x:c r="E357" s="47"/>
      <x:c r="F357" s="47"/>
      <x:c r="G357" s="47"/>
      <x:c r="H357" s="47"/>
      <x:c r="I357" s="47"/>
      <x:c r="J357" s="47"/>
      <x:c r="K357" s="47"/>
      <x:c r="L357" s="47"/>
      <x:c r="M357" s="47"/>
      <x:c r="N357" s="47"/>
    </x:row>
    <x:row r="358" ht="15.75" customHeight="1">
      <x:c r="C358" s="47"/>
      <x:c r="D358" s="47"/>
      <x:c r="E358" s="47"/>
      <x:c r="F358" s="47"/>
      <x:c r="G358" s="47"/>
      <x:c r="H358" s="47"/>
      <x:c r="I358" s="47"/>
      <x:c r="J358" s="47"/>
      <x:c r="K358" s="47"/>
      <x:c r="L358" s="47"/>
      <x:c r="M358" s="47"/>
      <x:c r="N358" s="47"/>
    </x:row>
    <x:row r="359" ht="15.75" customHeight="1">
      <x:c r="C359" s="47"/>
      <x:c r="D359" s="47"/>
      <x:c r="E359" s="47"/>
      <x:c r="F359" s="47"/>
      <x:c r="G359" s="47"/>
      <x:c r="H359" s="47"/>
      <x:c r="I359" s="47"/>
      <x:c r="J359" s="47"/>
      <x:c r="K359" s="47"/>
      <x:c r="L359" s="47"/>
      <x:c r="M359" s="47"/>
      <x:c r="N359" s="47"/>
    </x:row>
    <x:row r="360" ht="15.75" customHeight="1">
      <x:c r="C360" s="47"/>
      <x:c r="D360" s="47"/>
      <x:c r="E360" s="47"/>
      <x:c r="F360" s="47"/>
      <x:c r="G360" s="47"/>
      <x:c r="H360" s="47"/>
      <x:c r="I360" s="47"/>
      <x:c r="J360" s="47"/>
      <x:c r="K360" s="47"/>
      <x:c r="L360" s="47"/>
      <x:c r="M360" s="47"/>
      <x:c r="N360" s="47"/>
    </x:row>
    <x:row r="361" ht="15.75" customHeight="1">
      <x:c r="C361" s="47"/>
      <x:c r="D361" s="47"/>
      <x:c r="E361" s="47"/>
      <x:c r="F361" s="47"/>
      <x:c r="G361" s="47"/>
      <x:c r="H361" s="47"/>
      <x:c r="I361" s="47"/>
      <x:c r="J361" s="47"/>
      <x:c r="K361" s="47"/>
      <x:c r="L361" s="47"/>
      <x:c r="M361" s="47"/>
      <x:c r="N361" s="47"/>
    </x:row>
    <x:row r="362" ht="15.75" customHeight="1">
      <x:c r="C362" s="47"/>
      <x:c r="D362" s="47"/>
      <x:c r="E362" s="47"/>
      <x:c r="F362" s="47"/>
      <x:c r="G362" s="47"/>
      <x:c r="H362" s="47"/>
      <x:c r="I362" s="47"/>
      <x:c r="J362" s="47"/>
      <x:c r="K362" s="47"/>
      <x:c r="L362" s="47"/>
      <x:c r="M362" s="47"/>
      <x:c r="N362" s="47"/>
    </x:row>
    <x:row r="363" ht="15.75" customHeight="1">
      <x:c r="C363" s="47"/>
      <x:c r="D363" s="47"/>
      <x:c r="E363" s="47"/>
      <x:c r="F363" s="47"/>
      <x:c r="G363" s="47"/>
      <x:c r="H363" s="47"/>
      <x:c r="I363" s="47"/>
      <x:c r="J363" s="47"/>
      <x:c r="K363" s="47"/>
      <x:c r="L363" s="47"/>
      <x:c r="M363" s="47"/>
      <x:c r="N363" s="47"/>
    </x:row>
    <x:row r="364" ht="15.75" customHeight="1">
      <x:c r="C364" s="47"/>
      <x:c r="D364" s="47"/>
      <x:c r="E364" s="47"/>
      <x:c r="F364" s="47"/>
      <x:c r="G364" s="47"/>
      <x:c r="H364" s="47"/>
      <x:c r="I364" s="47"/>
      <x:c r="J364" s="47"/>
      <x:c r="K364" s="47"/>
      <x:c r="L364" s="47"/>
      <x:c r="M364" s="47"/>
      <x:c r="N364" s="47"/>
    </x:row>
    <x:row r="365" ht="15.75" customHeight="1">
      <x:c r="C365" s="47"/>
      <x:c r="D365" s="47"/>
      <x:c r="E365" s="47"/>
      <x:c r="F365" s="47"/>
      <x:c r="G365" s="47"/>
      <x:c r="H365" s="47"/>
      <x:c r="I365" s="47"/>
      <x:c r="J365" s="47"/>
      <x:c r="K365" s="47"/>
      <x:c r="L365" s="47"/>
      <x:c r="M365" s="47"/>
      <x:c r="N365" s="47"/>
    </x:row>
    <x:row r="366" ht="15.75" customHeight="1">
      <x:c r="C366" s="47"/>
      <x:c r="D366" s="47"/>
      <x:c r="E366" s="47"/>
      <x:c r="F366" s="47"/>
      <x:c r="G366" s="47"/>
      <x:c r="H366" s="47"/>
      <x:c r="I366" s="47"/>
      <x:c r="J366" s="47"/>
      <x:c r="K366" s="47"/>
      <x:c r="L366" s="47"/>
      <x:c r="M366" s="47"/>
      <x:c r="N366" s="47"/>
    </x:row>
    <x:row r="367" ht="15.75" customHeight="1">
      <x:c r="C367" s="47"/>
      <x:c r="D367" s="47"/>
      <x:c r="E367" s="47"/>
      <x:c r="F367" s="47"/>
      <x:c r="G367" s="47"/>
      <x:c r="H367" s="47"/>
      <x:c r="I367" s="47"/>
      <x:c r="J367" s="47"/>
      <x:c r="K367" s="47"/>
      <x:c r="L367" s="47"/>
      <x:c r="M367" s="47"/>
      <x:c r="N367" s="47"/>
    </x:row>
    <x:row r="368" ht="15.75" customHeight="1">
      <x:c r="C368" s="47"/>
      <x:c r="D368" s="47"/>
      <x:c r="E368" s="47"/>
      <x:c r="F368" s="47"/>
      <x:c r="G368" s="47"/>
      <x:c r="H368" s="47"/>
      <x:c r="I368" s="47"/>
      <x:c r="J368" s="47"/>
      <x:c r="K368" s="47"/>
      <x:c r="L368" s="47"/>
      <x:c r="M368" s="47"/>
      <x:c r="N368" s="47"/>
    </x:row>
    <x:row r="369" ht="15.75" customHeight="1">
      <x:c r="C369" s="47"/>
      <x:c r="D369" s="47"/>
      <x:c r="E369" s="47"/>
      <x:c r="F369" s="47"/>
      <x:c r="G369" s="47"/>
      <x:c r="H369" s="47"/>
      <x:c r="I369" s="47"/>
      <x:c r="J369" s="47"/>
      <x:c r="K369" s="47"/>
      <x:c r="L369" s="47"/>
      <x:c r="M369" s="47"/>
      <x:c r="N369" s="47"/>
    </x:row>
    <x:row r="370" ht="15.75" customHeight="1">
      <x:c r="C370" s="47"/>
      <x:c r="D370" s="47"/>
      <x:c r="E370" s="47"/>
      <x:c r="F370" s="47"/>
      <x:c r="G370" s="47"/>
      <x:c r="H370" s="47"/>
      <x:c r="I370" s="47"/>
      <x:c r="J370" s="47"/>
      <x:c r="K370" s="47"/>
      <x:c r="L370" s="47"/>
      <x:c r="M370" s="47"/>
      <x:c r="N370" s="47"/>
    </x:row>
    <x:row r="371" ht="15.75" customHeight="1">
      <x:c r="C371" s="47"/>
      <x:c r="D371" s="47"/>
      <x:c r="E371" s="47"/>
      <x:c r="F371" s="47"/>
      <x:c r="G371" s="47"/>
      <x:c r="H371" s="47"/>
      <x:c r="I371" s="47"/>
      <x:c r="J371" s="47"/>
      <x:c r="K371" s="47"/>
      <x:c r="L371" s="47"/>
      <x:c r="M371" s="47"/>
      <x:c r="N371" s="47"/>
    </x:row>
    <x:row r="372" ht="15.75" customHeight="1">
      <x:c r="C372" s="47"/>
      <x:c r="D372" s="47"/>
      <x:c r="E372" s="47"/>
      <x:c r="F372" s="47"/>
      <x:c r="G372" s="47"/>
      <x:c r="H372" s="47"/>
      <x:c r="I372" s="47"/>
      <x:c r="J372" s="47"/>
      <x:c r="K372" s="47"/>
      <x:c r="L372" s="47"/>
      <x:c r="M372" s="47"/>
      <x:c r="N372" s="47"/>
    </x:row>
    <x:row r="373" ht="15.75" customHeight="1">
      <x:c r="C373" s="47"/>
      <x:c r="D373" s="47"/>
      <x:c r="E373" s="47"/>
      <x:c r="F373" s="47"/>
      <x:c r="G373" s="47"/>
      <x:c r="H373" s="47"/>
      <x:c r="I373" s="47"/>
      <x:c r="J373" s="47"/>
      <x:c r="K373" s="47"/>
      <x:c r="L373" s="47"/>
      <x:c r="M373" s="47"/>
      <x:c r="N373" s="47"/>
    </x:row>
    <x:row r="374" ht="15.75" customHeight="1">
      <x:c r="C374" s="47"/>
      <x:c r="D374" s="47"/>
      <x:c r="E374" s="47"/>
      <x:c r="F374" s="47"/>
      <x:c r="G374" s="47"/>
      <x:c r="H374" s="47"/>
      <x:c r="I374" s="47"/>
      <x:c r="J374" s="47"/>
      <x:c r="K374" s="47"/>
      <x:c r="L374" s="47"/>
      <x:c r="M374" s="47"/>
      <x:c r="N374" s="47"/>
    </x:row>
    <x:row r="375" ht="15.75" customHeight="1">
      <x:c r="C375" s="47"/>
      <x:c r="D375" s="47"/>
      <x:c r="E375" s="47"/>
      <x:c r="F375" s="47"/>
      <x:c r="G375" s="47"/>
      <x:c r="H375" s="47"/>
      <x:c r="I375" s="47"/>
      <x:c r="J375" s="47"/>
      <x:c r="K375" s="47"/>
      <x:c r="L375" s="47"/>
      <x:c r="M375" s="47"/>
      <x:c r="N375" s="47"/>
    </x:row>
    <x:row r="376" ht="15.75" customHeight="1">
      <x:c r="C376" s="47"/>
      <x:c r="D376" s="47"/>
      <x:c r="E376" s="47"/>
      <x:c r="F376" s="47"/>
      <x:c r="G376" s="47"/>
      <x:c r="H376" s="47"/>
      <x:c r="I376" s="47"/>
      <x:c r="J376" s="47"/>
      <x:c r="K376" s="47"/>
      <x:c r="L376" s="47"/>
      <x:c r="M376" s="47"/>
      <x:c r="N376" s="47"/>
    </x:row>
    <x:row r="377" ht="15.75" customHeight="1">
      <x:c r="C377" s="47"/>
      <x:c r="D377" s="47"/>
      <x:c r="E377" s="47"/>
      <x:c r="F377" s="47"/>
      <x:c r="G377" s="47"/>
      <x:c r="H377" s="47"/>
      <x:c r="I377" s="47"/>
      <x:c r="J377" s="47"/>
      <x:c r="K377" s="47"/>
      <x:c r="L377" s="47"/>
      <x:c r="M377" s="47"/>
      <x:c r="N377" s="47"/>
    </x:row>
    <x:row r="378" ht="15.75" customHeight="1">
      <x:c r="C378" s="47"/>
      <x:c r="D378" s="47"/>
      <x:c r="E378" s="47"/>
      <x:c r="F378" s="47"/>
      <x:c r="G378" s="47"/>
      <x:c r="H378" s="47"/>
      <x:c r="I378" s="47"/>
      <x:c r="J378" s="47"/>
      <x:c r="K378" s="47"/>
      <x:c r="L378" s="47"/>
      <x:c r="M378" s="47"/>
      <x:c r="N378" s="47"/>
    </x:row>
    <x:row r="379" ht="15.75" customHeight="1">
      <x:c r="C379" s="47"/>
      <x:c r="D379" s="47"/>
      <x:c r="E379" s="47"/>
      <x:c r="F379" s="47"/>
      <x:c r="G379" s="47"/>
      <x:c r="H379" s="47"/>
      <x:c r="I379" s="47"/>
      <x:c r="J379" s="47"/>
      <x:c r="K379" s="47"/>
      <x:c r="L379" s="47"/>
      <x:c r="M379" s="47"/>
      <x:c r="N379" s="47"/>
    </x:row>
    <x:row r="380" ht="15.75" customHeight="1">
      <x:c r="C380" s="47"/>
      <x:c r="D380" s="47"/>
      <x:c r="E380" s="47"/>
      <x:c r="F380" s="47"/>
      <x:c r="G380" s="47"/>
      <x:c r="H380" s="47"/>
      <x:c r="I380" s="47"/>
      <x:c r="J380" s="47"/>
      <x:c r="K380" s="47"/>
      <x:c r="L380" s="47"/>
      <x:c r="M380" s="47"/>
      <x:c r="N380" s="47"/>
    </x:row>
    <x:row r="381" ht="15.75" customHeight="1">
      <x:c r="C381" s="47"/>
      <x:c r="D381" s="47"/>
      <x:c r="E381" s="47"/>
      <x:c r="F381" s="47"/>
      <x:c r="G381" s="47"/>
      <x:c r="H381" s="47"/>
      <x:c r="I381" s="47"/>
      <x:c r="J381" s="47"/>
      <x:c r="K381" s="47"/>
      <x:c r="L381" s="47"/>
      <x:c r="M381" s="47"/>
      <x:c r="N381" s="47"/>
    </x:row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conditionalFormatting sqref="C43:N43">
    <x:cfRule type="cellIs" dxfId="4" priority="1" operator="lessThan">
      <x:formula>-0.005</x:formula>
    </x:cfRule>
  </x:conditionalFormatting>
  <x:conditionalFormatting sqref="C62:N62">
    <x:cfRule type="cellIs" dxfId="4" priority="2" operator="lessThan">
      <x:formula>0</x:formula>
    </x:cfRule>
  </x:conditionalFormatting>
  <x:pageMargins left="0.7" right="0.7" top="0.75" bottom="0.75" header="0.3" footer="0.3"/>
  <x:legacyDrawing xmlns:r="http://schemas.openxmlformats.org/officeDocument/2006/relationships" r:id="Re05b6a7b337a400f"/>
  <x:tableParts count="1">
    <x:tablePart xmlns:r="http://schemas.openxmlformats.org/officeDocument/2006/relationships" r:id="R5aaa2a725407429d"/>
  </x:tableParts>
</x:worksheet>
</file>

<file path=xl/worksheets/sheet2.xml><?xml version="1.0" encoding="utf-8"?>
<x:worksheet xmlns:x="http://schemas.openxmlformats.org/spreadsheetml/2006/main">
  <x:sheetPr>
    <x:tabColor rgb="FF4472C4"/>
  </x:sheetPr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42" hidden="0" customWidth="1"/>
    <x:col min="4" max="4" width="24" hidden="0" customWidth="1"/>
    <x:col min="5" max="5" width="8" hidden="0" customWidth="1"/>
    <x:col min="6" max="6" width="8" hidden="0" customWidth="1"/>
    <x:col min="7" max="7" width="14" hidden="0" customWidth="1"/>
    <x:col min="8" max="8" width="10" hidden="0" customWidth="1"/>
    <x:col min="9" max="9" width="34" hidden="0" customWidth="1"/>
    <x:col min="10" max="10" width="3" hidden="0" customWidth="1"/>
    <x:col min="11" max="11" width="5" hidden="0" customWidth="1"/>
    <x:col min="12" max="12" width="5" hidden="0" customWidth="1"/>
    <x:col min="13" max="13" width="5" hidden="0" customWidth="1"/>
    <x:col min="14" max="14" width="5" hidden="0" customWidth="1"/>
    <x:col min="15" max="15" width="5" hidden="0" customWidth="1"/>
    <x:col min="16" max="16" width="5" hidden="0" customWidth="1"/>
    <x:col min="17" max="17" width="5" hidden="0" customWidth="1"/>
    <x:col min="18" max="18" width="5" hidden="0" customWidth="1"/>
    <x:col min="19" max="19" width="5" hidden="0" customWidth="1"/>
    <x:col min="20" max="20" width="5" hidden="0" customWidth="1"/>
    <x:col min="21" max="21" width="5" hidden="0" customWidth="1"/>
    <x:col min="22" max="22" width="5" hidden="0" customWidth="1"/>
  </x:cols>
  <x:sheetData>
    <x:row r="1">
      <x:c r="A1" s="248" t="str">
        <x:v>Plan híbrido de 12 meses: Gantt maestro y sprints quincenales</x:v>
      </x:c>
      <x:c r="B1" s="271"/>
      <x:c r="C1" s="271"/>
      <x:c r="D1" s="271"/>
      <x:c r="E1" s="271"/>
      <x:c r="F1" s="271"/>
      <x:c r="G1" s="271"/>
      <x:c r="H1" s="271"/>
      <x:c r="I1" s="271"/>
      <x:c r="J1" s="271"/>
      <x:c r="K1" s="271"/>
      <x:c r="L1" s="271"/>
      <x:c r="M1" s="271"/>
      <x:c r="N1" s="271"/>
      <x:c r="O1" s="271"/>
      <x:c r="P1" s="271"/>
      <x:c r="Q1" s="271"/>
      <x:c r="R1" s="271"/>
      <x:c r="S1" s="271"/>
      <x:c r="T1" s="271"/>
      <x:c r="U1" s="271"/>
      <x:c r="V1" s="271"/>
    </x:row>
    <x:row r="2">
      <x:c r="A2" s="271" t="str">
        <x:v>Dotación base</x:v>
      </x:c>
      <x:c r="B2" s="271" t="str">
        <x:v>2 ingeniería + 2 técnicos/administrativos</x:v>
      </x:c>
      <x:c r="C2" s="271"/>
      <x:c r="D2" s="271"/>
      <x:c r="E2" s="271" t="str">
        <x:v>Capacidad bruta</x:v>
      </x:c>
      <x:c r="F2" s="271" t="n">
        <x:v>7680</x:v>
      </x:c>
      <x:c r="G2" s="271" t="str">
        <x:v>horas</x:v>
      </x:c>
      <x:c r="H2" s="271"/>
      <x:c r="I2" s="271"/>
      <x:c r="J2" s="271"/>
      <x:c r="K2" s="271"/>
      <x:c r="L2" s="271"/>
      <x:c r="M2" s="271"/>
      <x:c r="N2" s="271"/>
      <x:c r="O2" s="271"/>
      <x:c r="P2" s="271"/>
      <x:c r="Q2" s="271"/>
      <x:c r="R2" s="271"/>
      <x:c r="S2" s="271"/>
      <x:c r="T2" s="271"/>
      <x:c r="U2" s="271"/>
      <x:c r="V2" s="271"/>
    </x:row>
    <x:row r="3">
      <x:c r="A3" s="271"/>
      <x:c r="B3" s="271"/>
      <x:c r="C3" s="271"/>
      <x:c r="D3" s="271"/>
      <x:c r="E3" s="271"/>
      <x:c r="F3" s="271"/>
      <x:c r="G3" s="271"/>
      <x:c r="H3" s="271"/>
      <x:c r="I3" s="271"/>
      <x:c r="J3" s="271"/>
      <x:c r="K3" s="271"/>
      <x:c r="L3" s="271"/>
      <x:c r="M3" s="271"/>
      <x:c r="N3" s="271"/>
      <x:c r="O3" s="271"/>
      <x:c r="P3" s="271"/>
      <x:c r="Q3" s="271"/>
      <x:c r="R3" s="271"/>
      <x:c r="S3" s="271"/>
      <x:c r="T3" s="271"/>
      <x:c r="U3" s="271"/>
      <x:c r="V3" s="271"/>
    </x:row>
    <x:row r="4">
      <x:c r="A4" s="271"/>
      <x:c r="B4" s="271"/>
      <x:c r="C4" s="271"/>
      <x:c r="D4" s="271"/>
      <x:c r="E4" s="271"/>
      <x:c r="F4" s="271"/>
      <x:c r="G4" s="271"/>
      <x:c r="H4" s="271"/>
      <x:c r="I4" s="271"/>
      <x:c r="J4" s="271"/>
      <x:c r="K4" s="271"/>
      <x:c r="L4" s="271"/>
      <x:c r="M4" s="271"/>
      <x:c r="N4" s="271"/>
      <x:c r="O4" s="271"/>
      <x:c r="P4" s="271"/>
      <x:c r="Q4" s="271"/>
      <x:c r="R4" s="271"/>
      <x:c r="S4" s="271"/>
      <x:c r="T4" s="271"/>
      <x:c r="U4" s="271"/>
      <x:c r="V4" s="271"/>
    </x:row>
    <x:row r="5">
      <x:c r="A5" s="253" t="str">
        <x:v>ID</x:v>
      </x:c>
      <x:c r="B5" s="253" t="str">
        <x:v>Frente</x:v>
      </x:c>
      <x:c r="C5" s="253" t="str">
        <x:v>Actividad / entregable</x:v>
      </x:c>
      <x:c r="D5" s="253" t="str">
        <x:v>Responsable</x:v>
      </x:c>
      <x:c r="E5" s="253" t="str">
        <x:v>Inicio</x:v>
      </x:c>
      <x:c r="F5" s="253" t="str">
        <x:v>Fin</x:v>
      </x:c>
      <x:c r="G5" s="253" t="str">
        <x:v>Dependencia</x:v>
      </x:c>
      <x:c r="H5" s="253" t="str">
        <x:v>Tipo</x:v>
      </x:c>
      <x:c r="I5" s="253" t="str">
        <x:v>Criterio de cierre</x:v>
      </x:c>
      <x:c r="J5" s="253" t="str"/>
      <x:c r="K5" s="253" t="str">
        <x:v>M1</x:v>
      </x:c>
      <x:c r="L5" s="253" t="str">
        <x:v>M2</x:v>
      </x:c>
      <x:c r="M5" s="253" t="str">
        <x:v>M3</x:v>
      </x:c>
      <x:c r="N5" s="253" t="str">
        <x:v>M4</x:v>
      </x:c>
      <x:c r="O5" s="253" t="str">
        <x:v>M5</x:v>
      </x:c>
      <x:c r="P5" s="253" t="str">
        <x:v>M6</x:v>
      </x:c>
      <x:c r="Q5" s="253" t="str">
        <x:v>M7</x:v>
      </x:c>
      <x:c r="R5" s="253" t="str">
        <x:v>M8</x:v>
      </x:c>
      <x:c r="S5" s="253" t="str">
        <x:v>M9</x:v>
      </x:c>
      <x:c r="T5" s="253" t="str">
        <x:v>M10</x:v>
      </x:c>
      <x:c r="U5" s="253" t="str">
        <x:v>M11</x:v>
      </x:c>
      <x:c r="V5" s="253" t="str">
        <x:v>M12</x:v>
      </x:c>
    </x:row>
    <x:row r="6">
      <x:c r="A6" s="283" t="str">
        <x:v>T01</x:v>
      </x:c>
      <x:c r="B6" s="284" t="str">
        <x:v>Gobierno</x:v>
      </x:c>
      <x:c r="C6" s="284" t="str">
        <x:v>Objetivo, alcance, MVP y trazabilidad</x:v>
      </x:c>
      <x:c r="D6" s="284" t="str">
        <x:v>Líder de proyecto</x:v>
      </x:c>
      <x:c r="E6" s="285" t="n">
        <x:v>1</x:v>
      </x:c>
      <x:c r="F6" s="285" t="n">
        <x:v>2</x:v>
      </x:c>
      <x:c r="G6" s="284" t="str">
        <x:v>-</x:v>
      </x:c>
      <x:c r="H6" s="284" t="str">
        <x:v>Trabajo</x:v>
      </x:c>
      <x:c r="I6" s="286" t="str">
        <x:v>Alcance aprobado</x:v>
      </x:c>
      <x:c r="J6" s="271"/>
      <x:c r="K6" s="279" t="str">
        <x:v>■</x:v>
      </x:c>
      <x:c r="L6" s="279" t="str">
        <x:v>■</x:v>
      </x:c>
      <x:c r="M6" s="279" t="str"/>
      <x:c r="N6" s="279" t="str"/>
      <x:c r="O6" s="279" t="str"/>
      <x:c r="P6" s="279" t="str"/>
      <x:c r="Q6" s="279" t="str"/>
      <x:c r="R6" s="279" t="str"/>
      <x:c r="S6" s="279" t="str"/>
      <x:c r="T6" s="279" t="str"/>
      <x:c r="U6" s="279" t="str"/>
      <x:c r="V6" s="279" t="str"/>
    </x:row>
    <x:row r="7">
      <x:c r="A7" s="287" t="str">
        <x:v>T02</x:v>
      </x:c>
      <x:c r="B7" s="288" t="str">
        <x:v>Regulatorio</x:v>
      </x:c>
      <x:c r="C7" s="288" t="str">
        <x:v>Uso previsto y consultas médicas, legales y regulatorias</x:v>
      </x:c>
      <x:c r="D7" s="288" t="str">
        <x:v>Técnico/administrativo</x:v>
      </x:c>
      <x:c r="E7" s="289" t="n">
        <x:v>1</x:v>
      </x:c>
      <x:c r="F7" s="289" t="n">
        <x:v>3</x:v>
      </x:c>
      <x:c r="G7" s="288" t="str">
        <x:v>T01</x:v>
      </x:c>
      <x:c r="H7" s="288" t="str">
        <x:v>Trabajo</x:v>
      </x:c>
      <x:c r="I7" s="290" t="str">
        <x:v>Preguntas y límites documentados</x:v>
      </x:c>
      <x:c r="J7" s="271"/>
      <x:c r="K7" s="279" t="str">
        <x:v>■</x:v>
      </x:c>
      <x:c r="L7" s="279" t="str">
        <x:v>■</x:v>
      </x:c>
      <x:c r="M7" s="279" t="str">
        <x:v>■</x:v>
      </x:c>
      <x:c r="N7" s="279" t="str"/>
      <x:c r="O7" s="279" t="str"/>
      <x:c r="P7" s="279" t="str"/>
      <x:c r="Q7" s="279" t="str"/>
      <x:c r="R7" s="279" t="str"/>
      <x:c r="S7" s="279" t="str"/>
      <x:c r="T7" s="279" t="str"/>
      <x:c r="U7" s="279" t="str"/>
      <x:c r="V7" s="279" t="str"/>
    </x:row>
    <x:row r="8">
      <x:c r="A8" s="287" t="str">
        <x:v>T03</x:v>
      </x:c>
      <x:c r="B8" s="288" t="str">
        <x:v>Sistema</x:v>
      </x:c>
      <x:c r="C8" s="288" t="str">
        <x:v>Arquitectura, interfaces y requerimientos verificables</x:v>
      </x:c>
      <x:c r="D8" s="288" t="str">
        <x:v>Ing. sistemas/embebidos</x:v>
      </x:c>
      <x:c r="E8" s="289" t="n">
        <x:v>1</x:v>
      </x:c>
      <x:c r="F8" s="289" t="n">
        <x:v>3</x:v>
      </x:c>
      <x:c r="G8" s="288" t="str">
        <x:v>T01</x:v>
      </x:c>
      <x:c r="H8" s="288" t="str">
        <x:v>Trabajo</x:v>
      </x:c>
      <x:c r="I8" s="290" t="str">
        <x:v>Baseline técnica aprobada</x:v>
      </x:c>
      <x:c r="J8" s="271"/>
      <x:c r="K8" s="279" t="str">
        <x:v>■</x:v>
      </x:c>
      <x:c r="L8" s="279" t="str">
        <x:v>■</x:v>
      </x:c>
      <x:c r="M8" s="279" t="str">
        <x:v>■</x:v>
      </x:c>
      <x:c r="N8" s="279" t="str"/>
      <x:c r="O8" s="279" t="str"/>
      <x:c r="P8" s="279" t="str"/>
      <x:c r="Q8" s="279" t="str"/>
      <x:c r="R8" s="279" t="str"/>
      <x:c r="S8" s="279" t="str"/>
      <x:c r="T8" s="279" t="str"/>
      <x:c r="U8" s="279" t="str"/>
      <x:c r="V8" s="279" t="str"/>
    </x:row>
    <x:row r="9">
      <x:c r="A9" s="287" t="str">
        <x:v>T04</x:v>
      </x:c>
      <x:c r="B9" s="288" t="str">
        <x:v>Abastecimiento</x:v>
      </x:c>
      <x:c r="C9" s="288" t="str">
        <x:v>Relevamiento de laboratorios y proveedores</x:v>
      </x:c>
      <x:c r="D9" s="288" t="str">
        <x:v>Técnico/administrativo</x:v>
      </x:c>
      <x:c r="E9" s="289" t="n">
        <x:v>1</x:v>
      </x:c>
      <x:c r="F9" s="289" t="n">
        <x:v>2</x:v>
      </x:c>
      <x:c r="G9" s="288" t="str">
        <x:v>T01</x:v>
      </x:c>
      <x:c r="H9" s="288" t="str">
        <x:v>Trabajo</x:v>
      </x:c>
      <x:c r="I9" s="290" t="str">
        <x:v>Alternativas y responsables</x:v>
      </x:c>
      <x:c r="J9" s="271"/>
      <x:c r="K9" s="279" t="str">
        <x:v>■</x:v>
      </x:c>
      <x:c r="L9" s="279" t="str">
        <x:v>■</x:v>
      </x:c>
      <x:c r="M9" s="279" t="str"/>
      <x:c r="N9" s="279" t="str"/>
      <x:c r="O9" s="279" t="str"/>
      <x:c r="P9" s="279" t="str"/>
      <x:c r="Q9" s="279" t="str"/>
      <x:c r="R9" s="279" t="str"/>
      <x:c r="S9" s="279" t="str"/>
      <x:c r="T9" s="279" t="str"/>
      <x:c r="U9" s="279" t="str"/>
      <x:c r="V9" s="279" t="str"/>
    </x:row>
    <x:row r="10">
      <x:c r="A10" s="287" t="str">
        <x:v>T05</x:v>
      </x:c>
      <x:c r="B10" s="288" t="str">
        <x:v>Abastecimiento</x:v>
      </x:c>
      <x:c r="C10" s="288" t="str">
        <x:v>Especificaciones, cotizaciones y plan de compras</x:v>
      </x:c>
      <x:c r="D10" s="288" t="str">
        <x:v>Ing. + compras</x:v>
      </x:c>
      <x:c r="E10" s="289" t="n">
        <x:v>2</x:v>
      </x:c>
      <x:c r="F10" s="289" t="n">
        <x:v>3</x:v>
      </x:c>
      <x:c r="G10" s="288" t="str">
        <x:v>T03,T04</x:v>
      </x:c>
      <x:c r="H10" s="288" t="str">
        <x:v>Trabajo</x:v>
      </x:c>
      <x:c r="I10" s="290" t="str">
        <x:v>Órdenes y contingencias definidas</x:v>
      </x:c>
      <x:c r="J10" s="271"/>
      <x:c r="K10" s="279" t="str"/>
      <x:c r="L10" s="279" t="str">
        <x:v>■</x:v>
      </x:c>
      <x:c r="M10" s="279" t="str">
        <x:v>■</x:v>
      </x:c>
      <x:c r="N10" s="279" t="str"/>
      <x:c r="O10" s="279" t="str"/>
      <x:c r="P10" s="279" t="str"/>
      <x:c r="Q10" s="279" t="str"/>
      <x:c r="R10" s="279" t="str"/>
      <x:c r="S10" s="279" t="str"/>
      <x:c r="T10" s="279" t="str"/>
      <x:c r="U10" s="279" t="str"/>
      <x:c r="V10" s="279" t="str"/>
    </x:row>
    <x:row r="11">
      <x:c r="A11" s="287" t="str">
        <x:v>H1</x:v>
      </x:c>
      <x:c r="B11" s="288" t="str">
        <x:v>Gobierno</x:v>
      </x:c>
      <x:c r="C11" s="288" t="str">
        <x:v>Hito: arquitectura y protocolos aprobados</x:v>
      </x:c>
      <x:c r="D11" s="288" t="str">
        <x:v>Comité del proyecto</x:v>
      </x:c>
      <x:c r="E11" s="289" t="n">
        <x:v>3</x:v>
      </x:c>
      <x:c r="F11" s="289" t="n">
        <x:v>3</x:v>
      </x:c>
      <x:c r="G11" s="288" t="str">
        <x:v>T02,T03,T05</x:v>
      </x:c>
      <x:c r="H11" s="288" t="str">
        <x:v>Hito</x:v>
      </x:c>
      <x:c r="I11" s="290" t="str">
        <x:v>Acta de revisión</x:v>
      </x:c>
      <x:c r="J11" s="271"/>
      <x:c r="K11" s="280" t="str"/>
      <x:c r="L11" s="280" t="str"/>
      <x:c r="M11" s="280" t="str">
        <x:v>◆</x:v>
      </x:c>
      <x:c r="N11" s="280" t="str"/>
      <x:c r="O11" s="280" t="str"/>
      <x:c r="P11" s="280" t="str"/>
      <x:c r="Q11" s="280" t="str"/>
      <x:c r="R11" s="280" t="str"/>
      <x:c r="S11" s="280" t="str"/>
      <x:c r="T11" s="280" t="str"/>
      <x:c r="U11" s="280" t="str"/>
      <x:c r="V11" s="280" t="str"/>
    </x:row>
    <x:row r="12">
      <x:c r="A12" s="287" t="str">
        <x:v>T06</x:v>
      </x:c>
      <x:c r="B12" s="288" t="str">
        <x:v>Abastecimiento</x:v>
      </x:c>
      <x:c r="C12" s="288" t="str">
        <x:v>Compras, importación, despacho y recepción</x:v>
      </x:c>
      <x:c r="D12" s="288" t="str">
        <x:v>Compras/administración</x:v>
      </x:c>
      <x:c r="E12" s="289" t="n">
        <x:v>3</x:v>
      </x:c>
      <x:c r="F12" s="289" t="n">
        <x:v>6</x:v>
      </x:c>
      <x:c r="G12" s="288" t="str">
        <x:v>H1</x:v>
      </x:c>
      <x:c r="H12" s="288" t="str">
        <x:v>Trabajo</x:v>
      </x:c>
      <x:c r="I12" s="290" t="str">
        <x:v>Materiales disponibles</x:v>
      </x:c>
      <x:c r="J12" s="271"/>
      <x:c r="K12" s="279" t="str"/>
      <x:c r="L12" s="279" t="str"/>
      <x:c r="M12" s="279" t="str">
        <x:v>■</x:v>
      </x:c>
      <x:c r="N12" s="279" t="str">
        <x:v>■</x:v>
      </x:c>
      <x:c r="O12" s="279" t="str">
        <x:v>■</x:v>
      </x:c>
      <x:c r="P12" s="279" t="str">
        <x:v>■</x:v>
      </x:c>
      <x:c r="Q12" s="279" t="str"/>
      <x:c r="R12" s="279" t="str"/>
      <x:c r="S12" s="279" t="str"/>
      <x:c r="T12" s="279" t="str"/>
      <x:c r="U12" s="279" t="str"/>
      <x:c r="V12" s="279" t="str"/>
    </x:row>
    <x:row r="13">
      <x:c r="A13" s="287" t="str">
        <x:v>T07</x:v>
      </x:c>
      <x:c r="B13" s="288" t="str">
        <x:v>Biosensor</x:v>
      </x:c>
      <x:c r="C13" s="288" t="str">
        <x:v>Parche, reactivos, MIP y calibración preliminar</x:v>
      </x:c>
      <x:c r="D13" s="288" t="str">
        <x:v>Ing. + laboratorio</x:v>
      </x:c>
      <x:c r="E13" s="289" t="n">
        <x:v>2</x:v>
      </x:c>
      <x:c r="F13" s="289" t="n">
        <x:v>6</x:v>
      </x:c>
      <x:c r="G13" s="288" t="str">
        <x:v>H1</x:v>
      </x:c>
      <x:c r="H13" s="288" t="str">
        <x:v>Trabajo</x:v>
      </x:c>
      <x:c r="I13" s="290" t="str">
        <x:v>Subsistema ensayable</x:v>
      </x:c>
      <x:c r="J13" s="271"/>
      <x:c r="K13" s="279" t="str"/>
      <x:c r="L13" s="279" t="str">
        <x:v>■</x:v>
      </x:c>
      <x:c r="M13" s="279" t="str">
        <x:v>■</x:v>
      </x:c>
      <x:c r="N13" s="279" t="str">
        <x:v>■</x:v>
      </x:c>
      <x:c r="O13" s="279" t="str">
        <x:v>■</x:v>
      </x:c>
      <x:c r="P13" s="279" t="str">
        <x:v>■</x:v>
      </x:c>
      <x:c r="Q13" s="279" t="str"/>
      <x:c r="R13" s="279" t="str"/>
      <x:c r="S13" s="279" t="str"/>
      <x:c r="T13" s="279" t="str"/>
      <x:c r="U13" s="279" t="str"/>
      <x:c r="V13" s="279" t="str"/>
    </x:row>
    <x:row r="14">
      <x:c r="A14" s="287" t="str">
        <x:v>T08</x:v>
      </x:c>
      <x:c r="B14" s="288" t="str">
        <x:v>Electrónica</x:v>
      </x:c>
      <x:c r="C14" s="288" t="str">
        <x:v>PCB, alimentación, firmware y BLE</x:v>
      </x:c>
      <x:c r="D14" s="288" t="str">
        <x:v>Ing. embebidos</x:v>
      </x:c>
      <x:c r="E14" s="289" t="n">
        <x:v>2</x:v>
      </x:c>
      <x:c r="F14" s="289" t="n">
        <x:v>6</x:v>
      </x:c>
      <x:c r="G14" s="288" t="str">
        <x:v>H1</x:v>
      </x:c>
      <x:c r="H14" s="288" t="str">
        <x:v>Trabajo</x:v>
      </x:c>
      <x:c r="I14" s="290" t="str">
        <x:v>Subsistema ensayable</x:v>
      </x:c>
      <x:c r="J14" s="271"/>
      <x:c r="K14" s="279" t="str"/>
      <x:c r="L14" s="279" t="str">
        <x:v>■</x:v>
      </x:c>
      <x:c r="M14" s="279" t="str">
        <x:v>■</x:v>
      </x:c>
      <x:c r="N14" s="279" t="str">
        <x:v>■</x:v>
      </x:c>
      <x:c r="O14" s="279" t="str">
        <x:v>■</x:v>
      </x:c>
      <x:c r="P14" s="279" t="str">
        <x:v>■</x:v>
      </x:c>
      <x:c r="Q14" s="279" t="str"/>
      <x:c r="R14" s="279" t="str"/>
      <x:c r="S14" s="279" t="str"/>
      <x:c r="T14" s="279" t="str"/>
      <x:c r="U14" s="279" t="str"/>
      <x:c r="V14" s="279" t="str"/>
    </x:row>
    <x:row r="15">
      <x:c r="A15" s="287" t="str">
        <x:v>T09</x:v>
      </x:c>
      <x:c r="B15" s="288" t="str">
        <x:v>Software</x:v>
      </x:c>
      <x:c r="C15" s="288" t="str">
        <x:v>Aplicación, datos y modelos iniciales</x:v>
      </x:c>
      <x:c r="D15" s="288" t="str">
        <x:v>Ing. software/IA</x:v>
      </x:c>
      <x:c r="E15" s="289" t="n">
        <x:v>2</x:v>
      </x:c>
      <x:c r="F15" s="289" t="n">
        <x:v>7</x:v>
      </x:c>
      <x:c r="G15" s="288" t="str">
        <x:v>H1</x:v>
      </x:c>
      <x:c r="H15" s="288" t="str">
        <x:v>Trabajo</x:v>
      </x:c>
      <x:c r="I15" s="290" t="str">
        <x:v>Flujo de datos operativo</x:v>
      </x:c>
      <x:c r="J15" s="271"/>
      <x:c r="K15" s="279" t="str"/>
      <x:c r="L15" s="279" t="str">
        <x:v>■</x:v>
      </x:c>
      <x:c r="M15" s="279" t="str">
        <x:v>■</x:v>
      </x:c>
      <x:c r="N15" s="279" t="str">
        <x:v>■</x:v>
      </x:c>
      <x:c r="O15" s="279" t="str">
        <x:v>■</x:v>
      </x:c>
      <x:c r="P15" s="279" t="str">
        <x:v>■</x:v>
      </x:c>
      <x:c r="Q15" s="279" t="str">
        <x:v>■</x:v>
      </x:c>
      <x:c r="R15" s="279" t="str"/>
      <x:c r="S15" s="279" t="str"/>
      <x:c r="T15" s="279" t="str"/>
      <x:c r="U15" s="279" t="str"/>
      <x:c r="V15" s="279" t="str"/>
    </x:row>
    <x:row r="16">
      <x:c r="A16" s="287" t="str">
        <x:v>T10</x:v>
      </x:c>
      <x:c r="B16" s="288" t="str">
        <x:v>QA</x:v>
      </x:c>
      <x:c r="C16" s="288" t="str">
        <x:v>Protocolos y criterios de aceptación</x:v>
      </x:c>
      <x:c r="D16" s="288" t="str">
        <x:v>QA/técnico</x:v>
      </x:c>
      <x:c r="E16" s="289" t="n">
        <x:v>2</x:v>
      </x:c>
      <x:c r="F16" s="289" t="n">
        <x:v>4</x:v>
      </x:c>
      <x:c r="G16" s="288" t="str">
        <x:v>T03</x:v>
      </x:c>
      <x:c r="H16" s="288" t="str">
        <x:v>Trabajo</x:v>
      </x:c>
      <x:c r="I16" s="290" t="str">
        <x:v>Pruebas aprobadas antes de ejecutar</x:v>
      </x:c>
      <x:c r="J16" s="271"/>
      <x:c r="K16" s="279" t="str"/>
      <x:c r="L16" s="279" t="str">
        <x:v>■</x:v>
      </x:c>
      <x:c r="M16" s="279" t="str">
        <x:v>■</x:v>
      </x:c>
      <x:c r="N16" s="279" t="str">
        <x:v>■</x:v>
      </x:c>
      <x:c r="O16" s="279" t="str"/>
      <x:c r="P16" s="279" t="str"/>
      <x:c r="Q16" s="279" t="str"/>
      <x:c r="R16" s="279" t="str"/>
      <x:c r="S16" s="279" t="str"/>
      <x:c r="T16" s="279" t="str"/>
      <x:c r="U16" s="279" t="str"/>
      <x:c r="V16" s="279" t="str"/>
    </x:row>
    <x:row r="17">
      <x:c r="A17" s="287" t="str">
        <x:v>H2</x:v>
      </x:c>
      <x:c r="B17" s="288" t="str">
        <x:v>Integración</x:v>
      </x:c>
      <x:c r="C17" s="288" t="str">
        <x:v>Hito: prototipos de subsistemas</x:v>
      </x:c>
      <x:c r="D17" s="288" t="str">
        <x:v>Equipo completo</x:v>
      </x:c>
      <x:c r="E17" s="289" t="n">
        <x:v>6</x:v>
      </x:c>
      <x:c r="F17" s="289" t="n">
        <x:v>6</x:v>
      </x:c>
      <x:c r="G17" s="288" t="str">
        <x:v>T06-T10</x:v>
      </x:c>
      <x:c r="H17" s="288" t="str">
        <x:v>Hito</x:v>
      </x:c>
      <x:c r="I17" s="290" t="str">
        <x:v>Evidencia de cada subsistema</x:v>
      </x:c>
      <x:c r="J17" s="271"/>
      <x:c r="K17" s="280" t="str"/>
      <x:c r="L17" s="280" t="str"/>
      <x:c r="M17" s="280" t="str"/>
      <x:c r="N17" s="280" t="str"/>
      <x:c r="O17" s="280" t="str"/>
      <x:c r="P17" s="280" t="str">
        <x:v>◆</x:v>
      </x:c>
      <x:c r="Q17" s="280" t="str"/>
      <x:c r="R17" s="280" t="str"/>
      <x:c r="S17" s="280" t="str"/>
      <x:c r="T17" s="280" t="str"/>
      <x:c r="U17" s="280" t="str"/>
      <x:c r="V17" s="280" t="str"/>
    </x:row>
    <x:row r="18">
      <x:c r="A18" s="287" t="str">
        <x:v>T11</x:v>
      </x:c>
      <x:c r="B18" s="288" t="str">
        <x:v>Integración</x:v>
      </x:c>
      <x:c r="C18" s="288" t="str">
        <x:v>Prototipo integrado V1</x:v>
      </x:c>
      <x:c r="D18" s="288" t="str">
        <x:v>Equipo completo</x:v>
      </x:c>
      <x:c r="E18" s="289" t="n">
        <x:v>6</x:v>
      </x:c>
      <x:c r="F18" s="289" t="n">
        <x:v>7</x:v>
      </x:c>
      <x:c r="G18" s="288" t="str">
        <x:v>H2</x:v>
      </x:c>
      <x:c r="H18" s="288" t="str">
        <x:v>Trabajo</x:v>
      </x:c>
      <x:c r="I18" s="290" t="str">
        <x:v>Adquisición y enlace extremo a extremo</x:v>
      </x:c>
      <x:c r="J18" s="271"/>
      <x:c r="K18" s="279" t="str"/>
      <x:c r="L18" s="279" t="str"/>
      <x:c r="M18" s="279" t="str"/>
      <x:c r="N18" s="279" t="str"/>
      <x:c r="O18" s="279" t="str"/>
      <x:c r="P18" s="279" t="str">
        <x:v>■</x:v>
      </x:c>
      <x:c r="Q18" s="279" t="str">
        <x:v>■</x:v>
      </x:c>
      <x:c r="R18" s="279" t="str"/>
      <x:c r="S18" s="279" t="str"/>
      <x:c r="T18" s="279" t="str"/>
      <x:c r="U18" s="279" t="str"/>
      <x:c r="V18" s="279" t="str"/>
    </x:row>
    <x:row r="19">
      <x:c r="A19" s="287" t="str">
        <x:v>H3</x:v>
      </x:c>
      <x:c r="B19" s="288" t="str">
        <x:v>Integración</x:v>
      </x:c>
      <x:c r="C19" s="288" t="str">
        <x:v>Hito: prototipo integrado intermedio</x:v>
      </x:c>
      <x:c r="D19" s="288" t="str">
        <x:v>Comité del proyecto</x:v>
      </x:c>
      <x:c r="E19" s="289" t="n">
        <x:v>7</x:v>
      </x:c>
      <x:c r="F19" s="289" t="n">
        <x:v>7</x:v>
      </x:c>
      <x:c r="G19" s="288" t="str">
        <x:v>T11</x:v>
      </x:c>
      <x:c r="H19" s="288" t="str">
        <x:v>Hito</x:v>
      </x:c>
      <x:c r="I19" s="290" t="str">
        <x:v>Revisión de fallas y alcance</x:v>
      </x:c>
      <x:c r="J19" s="271"/>
      <x:c r="K19" s="280" t="str"/>
      <x:c r="L19" s="280" t="str"/>
      <x:c r="M19" s="280" t="str"/>
      <x:c r="N19" s="280" t="str"/>
      <x:c r="O19" s="280" t="str"/>
      <x:c r="P19" s="280" t="str"/>
      <x:c r="Q19" s="280" t="str">
        <x:v>◆</x:v>
      </x:c>
      <x:c r="R19" s="280" t="str"/>
      <x:c r="S19" s="280" t="str"/>
      <x:c r="T19" s="280" t="str"/>
      <x:c r="U19" s="280" t="str"/>
      <x:c r="V19" s="280" t="str"/>
    </x:row>
    <x:row r="20">
      <x:c r="A20" s="287" t="str">
        <x:v>T12</x:v>
      </x:c>
      <x:c r="B20" s="288" t="str">
        <x:v>Validación</x:v>
      </x:c>
      <x:c r="C20" s="288" t="str">
        <x:v>Pruebas funcionales e integración</x:v>
      </x:c>
      <x:c r="D20" s="288" t="str">
        <x:v>QA + equipo</x:v>
      </x:c>
      <x:c r="E20" s="289" t="n">
        <x:v>7</x:v>
      </x:c>
      <x:c r="F20" s="289" t="n">
        <x:v>9</x:v>
      </x:c>
      <x:c r="G20" s="288" t="str">
        <x:v>H3</x:v>
      </x:c>
      <x:c r="H20" s="288" t="str">
        <x:v>Trabajo</x:v>
      </x:c>
      <x:c r="I20" s="290" t="str">
        <x:v>Resultados contra criterios</x:v>
      </x:c>
      <x:c r="J20" s="271"/>
      <x:c r="K20" s="279" t="str"/>
      <x:c r="L20" s="279" t="str"/>
      <x:c r="M20" s="279" t="str"/>
      <x:c r="N20" s="279" t="str"/>
      <x:c r="O20" s="279" t="str"/>
      <x:c r="P20" s="279" t="str"/>
      <x:c r="Q20" s="279" t="str">
        <x:v>■</x:v>
      </x:c>
      <x:c r="R20" s="279" t="str">
        <x:v>■</x:v>
      </x:c>
      <x:c r="S20" s="279" t="str">
        <x:v>■</x:v>
      </x:c>
      <x:c r="T20" s="279" t="str"/>
      <x:c r="U20" s="279" t="str"/>
      <x:c r="V20" s="279" t="str"/>
    </x:row>
    <x:row r="21">
      <x:c r="A21" s="287" t="str">
        <x:v>T13</x:v>
      </x:c>
      <x:c r="B21" s="288" t="str">
        <x:v>Validación</x:v>
      </x:c>
      <x:c r="C21" s="288" t="str">
        <x:v>Autonomía, memoria, BLE y recuperación de datos</x:v>
      </x:c>
      <x:c r="D21" s="288" t="str">
        <x:v>QA + embebidos</x:v>
      </x:c>
      <x:c r="E21" s="289" t="n">
        <x:v>7</x:v>
      </x:c>
      <x:c r="F21" s="289" t="n">
        <x:v>9</x:v>
      </x:c>
      <x:c r="G21" s="288" t="str">
        <x:v>H3</x:v>
      </x:c>
      <x:c r="H21" s="288" t="str">
        <x:v>Trabajo</x:v>
      </x:c>
      <x:c r="I21" s="290" t="str">
        <x:v>7 días y 24 h verificados o limitados</x:v>
      </x:c>
      <x:c r="J21" s="271"/>
      <x:c r="K21" s="279" t="str"/>
      <x:c r="L21" s="279" t="str"/>
      <x:c r="M21" s="279" t="str"/>
      <x:c r="N21" s="279" t="str"/>
      <x:c r="O21" s="279" t="str"/>
      <x:c r="P21" s="279" t="str"/>
      <x:c r="Q21" s="279" t="str">
        <x:v>■</x:v>
      </x:c>
      <x:c r="R21" s="279" t="str">
        <x:v>■</x:v>
      </x:c>
      <x:c r="S21" s="279" t="str">
        <x:v>■</x:v>
      </x:c>
      <x:c r="T21" s="279" t="str"/>
      <x:c r="U21" s="279" t="str"/>
      <x:c r="V21" s="279" t="str"/>
    </x:row>
    <x:row r="22">
      <x:c r="A22" s="287" t="str">
        <x:v>T14</x:v>
      </x:c>
      <x:c r="B22" s="288" t="str">
        <x:v>Validación</x:v>
      </x:c>
      <x:c r="C22" s="288" t="str">
        <x:v>Montaje, robustez y recambio del parche</x:v>
      </x:c>
      <x:c r="D22" s="288" t="str">
        <x:v>QA + mecánica</x:v>
      </x:c>
      <x:c r="E22" s="289" t="n">
        <x:v>8</x:v>
      </x:c>
      <x:c r="F22" s="289" t="n">
        <x:v>10</x:v>
      </x:c>
      <x:c r="G22" s="288" t="str">
        <x:v>H3</x:v>
      </x:c>
      <x:c r="H22" s="288" t="str">
        <x:v>Trabajo</x:v>
      </x:c>
      <x:c r="I22" s="290" t="str">
        <x:v>Desvíos y ajustes registrados</x:v>
      </x:c>
      <x:c r="J22" s="271"/>
      <x:c r="K22" s="279" t="str"/>
      <x:c r="L22" s="279" t="str"/>
      <x:c r="M22" s="279" t="str"/>
      <x:c r="N22" s="279" t="str"/>
      <x:c r="O22" s="279" t="str"/>
      <x:c r="P22" s="279" t="str"/>
      <x:c r="Q22" s="279" t="str"/>
      <x:c r="R22" s="279" t="str">
        <x:v>■</x:v>
      </x:c>
      <x:c r="S22" s="279" t="str">
        <x:v>■</x:v>
      </x:c>
      <x:c r="T22" s="279" t="str">
        <x:v>■</x:v>
      </x:c>
      <x:c r="U22" s="279" t="str"/>
      <x:c r="V22" s="279" t="str"/>
    </x:row>
    <x:row r="23">
      <x:c r="A23" s="287" t="str">
        <x:v>T15</x:v>
      </x:c>
      <x:c r="B23" s="288" t="str">
        <x:v>Validación</x:v>
      </x:c>
      <x:c r="C23" s="288" t="str">
        <x:v>Calibración, interferencias y repetibilidad</x:v>
      </x:c>
      <x:c r="D23" s="288" t="str">
        <x:v>Laboratorio + QA</x:v>
      </x:c>
      <x:c r="E23" s="289" t="n">
        <x:v>7</x:v>
      </x:c>
      <x:c r="F23" s="289" t="n">
        <x:v>10</x:v>
      </x:c>
      <x:c r="G23" s="288" t="str">
        <x:v>H3</x:v>
      </x:c>
      <x:c r="H23" s="288" t="str">
        <x:v>Trabajo</x:v>
      </x:c>
      <x:c r="I23" s="290" t="str">
        <x:v>Informe técnico</x:v>
      </x:c>
      <x:c r="J23" s="271"/>
      <x:c r="K23" s="279" t="str"/>
      <x:c r="L23" s="279" t="str"/>
      <x:c r="M23" s="279" t="str"/>
      <x:c r="N23" s="279" t="str"/>
      <x:c r="O23" s="279" t="str"/>
      <x:c r="P23" s="279" t="str"/>
      <x:c r="Q23" s="279" t="str">
        <x:v>■</x:v>
      </x:c>
      <x:c r="R23" s="279" t="str">
        <x:v>■</x:v>
      </x:c>
      <x:c r="S23" s="279" t="str">
        <x:v>■</x:v>
      </x:c>
      <x:c r="T23" s="279" t="str">
        <x:v>■</x:v>
      </x:c>
      <x:c r="U23" s="279" t="str"/>
      <x:c r="V23" s="279" t="str"/>
    </x:row>
    <x:row r="24">
      <x:c r="A24" s="287" t="str">
        <x:v>T16</x:v>
      </x:c>
      <x:c r="B24" s="288" t="str">
        <x:v>Iteración</x:v>
      </x:c>
      <x:c r="C24" s="288" t="str">
        <x:v>Correcciones y prototipo V2 / candidato a MVP</x:v>
      </x:c>
      <x:c r="D24" s="288" t="str">
        <x:v>Equipo completo</x:v>
      </x:c>
      <x:c r="E24" s="289" t="n">
        <x:v>9</x:v>
      </x:c>
      <x:c r="F24" s="289" t="n">
        <x:v>10</x:v>
      </x:c>
      <x:c r="G24" s="288" t="str">
        <x:v>T12-T15</x:v>
      </x:c>
      <x:c r="H24" s="288" t="str">
        <x:v>Trabajo</x:v>
      </x:c>
      <x:c r="I24" s="290" t="str">
        <x:v>Criterios críticos satisfechos</x:v>
      </x:c>
      <x:c r="J24" s="271"/>
      <x:c r="K24" s="279" t="str"/>
      <x:c r="L24" s="279" t="str"/>
      <x:c r="M24" s="279" t="str"/>
      <x:c r="N24" s="279" t="str"/>
      <x:c r="O24" s="279" t="str"/>
      <x:c r="P24" s="279" t="str"/>
      <x:c r="Q24" s="279" t="str"/>
      <x:c r="R24" s="279" t="str"/>
      <x:c r="S24" s="279" t="str">
        <x:v>■</x:v>
      </x:c>
      <x:c r="T24" s="279" t="str">
        <x:v>■</x:v>
      </x:c>
      <x:c r="U24" s="279" t="str"/>
      <x:c r="V24" s="279" t="str"/>
    </x:row>
    <x:row r="25">
      <x:c r="A25" s="287" t="str">
        <x:v>H4</x:v>
      </x:c>
      <x:c r="B25" s="288" t="str">
        <x:v>Producto</x:v>
      </x:c>
      <x:c r="C25" s="288" t="str">
        <x:v>Hito: candidato a MVP</x:v>
      </x:c>
      <x:c r="D25" s="288" t="str">
        <x:v>Comité del proyecto</x:v>
      </x:c>
      <x:c r="E25" s="289" t="n">
        <x:v>10</x:v>
      </x:c>
      <x:c r="F25" s="289" t="n">
        <x:v>10</x:v>
      </x:c>
      <x:c r="G25" s="288" t="str">
        <x:v>T16</x:v>
      </x:c>
      <x:c r="H25" s="288" t="str">
        <x:v>Hito</x:v>
      </x:c>
      <x:c r="I25" s="290" t="str">
        <x:v>Revisión de aceptación</x:v>
      </x:c>
      <x:c r="J25" s="271"/>
      <x:c r="K25" s="280" t="str"/>
      <x:c r="L25" s="280" t="str"/>
      <x:c r="M25" s="280" t="str"/>
      <x:c r="N25" s="280" t="str"/>
      <x:c r="O25" s="280" t="str"/>
      <x:c r="P25" s="280" t="str"/>
      <x:c r="Q25" s="280" t="str"/>
      <x:c r="R25" s="280" t="str"/>
      <x:c r="S25" s="280" t="str"/>
      <x:c r="T25" s="280" t="str">
        <x:v>◆</x:v>
      </x:c>
      <x:c r="U25" s="280" t="str"/>
      <x:c r="V25" s="280" t="str"/>
    </x:row>
    <x:row r="26">
      <x:c r="A26" s="287" t="str">
        <x:v>T17</x:v>
      </x:c>
      <x:c r="B26" s="288" t="str">
        <x:v>Producto</x:v>
      </x:c>
      <x:c r="C26" s="288" t="str">
        <x:v>Validación funcional y técnica final</x:v>
      </x:c>
      <x:c r="D26" s="288" t="str">
        <x:v>QA independiente</x:v>
      </x:c>
      <x:c r="E26" s="289" t="n">
        <x:v>10</x:v>
      </x:c>
      <x:c r="F26" s="289" t="n">
        <x:v>11</x:v>
      </x:c>
      <x:c r="G26" s="288" t="str">
        <x:v>H4</x:v>
      </x:c>
      <x:c r="H26" s="288" t="str">
        <x:v>Trabajo</x:v>
      </x:c>
      <x:c r="I26" s="290" t="str">
        <x:v>Acta de aceptación técnica</x:v>
      </x:c>
      <x:c r="J26" s="271"/>
      <x:c r="K26" s="279" t="str"/>
      <x:c r="L26" s="279" t="str"/>
      <x:c r="M26" s="279" t="str"/>
      <x:c r="N26" s="279" t="str"/>
      <x:c r="O26" s="279" t="str"/>
      <x:c r="P26" s="279" t="str"/>
      <x:c r="Q26" s="279" t="str"/>
      <x:c r="R26" s="279" t="str"/>
      <x:c r="S26" s="279" t="str"/>
      <x:c r="T26" s="279" t="str">
        <x:v>■</x:v>
      </x:c>
      <x:c r="U26" s="279" t="str">
        <x:v>■</x:v>
      </x:c>
      <x:c r="V26" s="279" t="str"/>
    </x:row>
    <x:row r="27">
      <x:c r="A27" s="287" t="str">
        <x:v>T18</x:v>
      </x:c>
      <x:c r="B27" s="288" t="str">
        <x:v>Industrialización</x:v>
      </x:c>
      <x:c r="C27" s="288" t="str">
        <x:v>Diseño congelado, QA y documentación de producción</x:v>
      </x:c>
      <x:c r="D27" s="288" t="str">
        <x:v>Ing. + QA</x:v>
      </x:c>
      <x:c r="E27" s="289" t="n">
        <x:v>10</x:v>
      </x:c>
      <x:c r="F27" s="289" t="n">
        <x:v>12</x:v>
      </x:c>
      <x:c r="G27" s="288" t="str">
        <x:v>H4</x:v>
      </x:c>
      <x:c r="H27" s="288" t="str">
        <x:v>Trabajo</x:v>
      </x:c>
      <x:c r="I27" s="290" t="str">
        <x:v>Paquete de producción</x:v>
      </x:c>
      <x:c r="J27" s="271"/>
      <x:c r="K27" s="279" t="str"/>
      <x:c r="L27" s="279" t="str"/>
      <x:c r="M27" s="279" t="str"/>
      <x:c r="N27" s="279" t="str"/>
      <x:c r="O27" s="279" t="str"/>
      <x:c r="P27" s="279" t="str"/>
      <x:c r="Q27" s="279" t="str"/>
      <x:c r="R27" s="279" t="str"/>
      <x:c r="S27" s="279" t="str"/>
      <x:c r="T27" s="279" t="str">
        <x:v>■</x:v>
      </x:c>
      <x:c r="U27" s="279" t="str">
        <x:v>■</x:v>
      </x:c>
      <x:c r="V27" s="279" t="str">
        <x:v>■</x:v>
      </x:c>
    </x:row>
    <x:row r="28">
      <x:c r="A28" s="287" t="str">
        <x:v>T19</x:v>
      </x:c>
      <x:c r="B28" s="288" t="str">
        <x:v>Operación</x:v>
      </x:c>
      <x:c r="C28" s="288" t="str">
        <x:v>Manual, soporte, entrenamiento y solución de problemas</x:v>
      </x:c>
      <x:c r="D28" s="288" t="str">
        <x:v>Técnico/administrativo</x:v>
      </x:c>
      <x:c r="E28" s="289" t="n">
        <x:v>10</x:v>
      </x:c>
      <x:c r="F28" s="289" t="n">
        <x:v>12</x:v>
      </x:c>
      <x:c r="G28" s="288" t="str">
        <x:v>H4</x:v>
      </x:c>
      <x:c r="H28" s="288" t="str">
        <x:v>Trabajo</x:v>
      </x:c>
      <x:c r="I28" s="290" t="str">
        <x:v>Documentación entregable</x:v>
      </x:c>
      <x:c r="J28" s="271"/>
      <x:c r="K28" s="279" t="str"/>
      <x:c r="L28" s="279" t="str"/>
      <x:c r="M28" s="279" t="str"/>
      <x:c r="N28" s="279" t="str"/>
      <x:c r="O28" s="279" t="str"/>
      <x:c r="P28" s="279" t="str"/>
      <x:c r="Q28" s="279" t="str"/>
      <x:c r="R28" s="279" t="str"/>
      <x:c r="S28" s="279" t="str"/>
      <x:c r="T28" s="279" t="str">
        <x:v>■</x:v>
      </x:c>
      <x:c r="U28" s="279" t="str">
        <x:v>■</x:v>
      </x:c>
      <x:c r="V28" s="279" t="str">
        <x:v>■</x:v>
      </x:c>
    </x:row>
    <x:row r="29">
      <x:c r="A29" s="287" t="str">
        <x:v>T20</x:v>
      </x:c>
      <x:c r="B29" s="288" t="str">
        <x:v>Comercial</x:v>
      </x:c>
      <x:c r="C29" s="288" t="str">
        <x:v>Acuerdos con clínicas y preparación del año 2</x:v>
      </x:c>
      <x:c r="D29" s="288" t="str">
        <x:v>Comercial + legal</x:v>
      </x:c>
      <x:c r="E29" s="289" t="n">
        <x:v>9</x:v>
      </x:c>
      <x:c r="F29" s="289" t="n">
        <x:v>12</x:v>
      </x:c>
      <x:c r="G29" s="288" t="str">
        <x:v>T02</x:v>
      </x:c>
      <x:c r="H29" s="288" t="str">
        <x:v>Trabajo</x:v>
      </x:c>
      <x:c r="I29" s="290" t="str">
        <x:v>Embudo y acuerdos documentados</x:v>
      </x:c>
      <x:c r="J29" s="271"/>
      <x:c r="K29" s="279" t="str"/>
      <x:c r="L29" s="279" t="str"/>
      <x:c r="M29" s="279" t="str"/>
      <x:c r="N29" s="279" t="str"/>
      <x:c r="O29" s="279" t="str"/>
      <x:c r="P29" s="279" t="str"/>
      <x:c r="Q29" s="279" t="str"/>
      <x:c r="R29" s="279" t="str"/>
      <x:c r="S29" s="279" t="str">
        <x:v>■</x:v>
      </x:c>
      <x:c r="T29" s="279" t="str">
        <x:v>■</x:v>
      </x:c>
      <x:c r="U29" s="279" t="str">
        <x:v>■</x:v>
      </x:c>
      <x:c r="V29" s="279" t="str">
        <x:v>■</x:v>
      </x:c>
    </x:row>
    <x:row r="30">
      <x:c r="A30" s="291" t="str">
        <x:v>H5</x:v>
      </x:c>
      <x:c r="B30" s="292" t="str">
        <x:v>Producto</x:v>
      </x:c>
      <x:c r="C30" s="292" t="str">
        <x:v>Hito: MVP aceptado y cierre del año 1</x:v>
      </x:c>
      <x:c r="D30" s="292" t="str">
        <x:v>Sponsor/comité</x:v>
      </x:c>
      <x:c r="E30" s="293" t="n">
        <x:v>12</x:v>
      </x:c>
      <x:c r="F30" s="293" t="n">
        <x:v>12</x:v>
      </x:c>
      <x:c r="G30" s="292" t="str">
        <x:v>T17-T20</x:v>
      </x:c>
      <x:c r="H30" s="292" t="str">
        <x:v>Hito</x:v>
      </x:c>
      <x:c r="I30" s="294" t="str">
        <x:v>Entrega y retrospectiva</x:v>
      </x:c>
      <x:c r="J30" s="271"/>
      <x:c r="K30" s="280" t="str"/>
      <x:c r="L30" s="280" t="str"/>
      <x:c r="M30" s="280" t="str"/>
      <x:c r="N30" s="280" t="str"/>
      <x:c r="O30" s="280" t="str"/>
      <x:c r="P30" s="280" t="str"/>
      <x:c r="Q30" s="280" t="str"/>
      <x:c r="R30" s="280" t="str"/>
      <x:c r="S30" s="280" t="str"/>
      <x:c r="T30" s="280" t="str"/>
      <x:c r="U30" s="280" t="str"/>
      <x:c r="V30" s="280" t="str">
        <x:v>◆</x:v>
      </x:c>
    </x:row>
    <x:row r="31">
      <x:c r="A31" s="271"/>
      <x:c r="B31" s="271"/>
      <x:c r="C31" s="271"/>
      <x:c r="D31" s="271"/>
      <x:c r="E31" s="271"/>
      <x:c r="F31" s="271"/>
      <x:c r="G31" s="271"/>
      <x:c r="H31" s="271"/>
      <x:c r="I31" s="271"/>
      <x:c r="J31" s="271"/>
      <x:c r="K31" s="271"/>
      <x:c r="L31" s="271"/>
      <x:c r="M31" s="271"/>
      <x:c r="N31" s="271"/>
      <x:c r="O31" s="271"/>
      <x:c r="P31" s="271"/>
      <x:c r="Q31" s="271"/>
      <x:c r="R31" s="271"/>
      <x:c r="S31" s="271"/>
      <x:c r="T31" s="271"/>
      <x:c r="U31" s="271"/>
      <x:c r="V31" s="271"/>
    </x:row>
    <x:row r="32">
      <x:c r="A32" s="271"/>
      <x:c r="B32" s="271"/>
      <x:c r="C32" s="271"/>
      <x:c r="D32" s="271"/>
      <x:c r="E32" s="271"/>
      <x:c r="F32" s="271"/>
      <x:c r="G32" s="271"/>
      <x:c r="H32" s="271"/>
      <x:c r="I32" s="271"/>
      <x:c r="J32" s="271"/>
      <x:c r="K32" s="271"/>
      <x:c r="L32" s="271"/>
      <x:c r="M32" s="271"/>
      <x:c r="N32" s="271"/>
      <x:c r="O32" s="271"/>
      <x:c r="P32" s="271"/>
      <x:c r="Q32" s="271"/>
      <x:c r="R32" s="271"/>
      <x:c r="S32" s="271"/>
      <x:c r="T32" s="271"/>
      <x:c r="U32" s="271"/>
      <x:c r="V32" s="271"/>
    </x:row>
    <x:row r="33">
      <x:c r="A33" s="275" t="str">
        <x:v>Cadencia ágil</x:v>
      </x:c>
      <x:c r="B33" s="276"/>
      <x:c r="C33" s="276"/>
      <x:c r="D33" s="276"/>
      <x:c r="E33" s="276"/>
      <x:c r="F33" s="276"/>
      <x:c r="G33" s="276"/>
      <x:c r="H33" s="276"/>
      <x:c r="I33" s="276"/>
      <x:c r="J33" s="276"/>
      <x:c r="K33" s="276"/>
      <x:c r="L33" s="276"/>
      <x:c r="M33" s="276"/>
      <x:c r="N33" s="276"/>
      <x:c r="O33" s="276"/>
      <x:c r="P33" s="276"/>
      <x:c r="Q33" s="276"/>
      <x:c r="R33" s="276"/>
      <x:c r="S33" s="276"/>
      <x:c r="T33" s="276"/>
      <x:c r="U33" s="276"/>
      <x:c r="V33" s="277"/>
    </x:row>
    <x:row r="34" ht="42" customHeight="1">
      <x:c r="A34" s="282" t="str">
        <x:v>26 sprints quincenales con planificación, demostración, revisión de riesgos y retrospectiva. El Gantt gobierna dependencias externas; el backlog gobierna el trabajo técnico.</x:v>
      </x:c>
      <x:c r="B34" s="282"/>
      <x:c r="C34" s="282"/>
      <x:c r="D34" s="282"/>
      <x:c r="E34" s="282"/>
      <x:c r="F34" s="282"/>
      <x:c r="G34" s="282"/>
      <x:c r="H34" s="282"/>
      <x:c r="I34" s="282"/>
      <x:c r="J34" s="271"/>
      <x:c r="K34" s="271"/>
      <x:c r="L34" s="271"/>
      <x:c r="M34" s="271"/>
      <x:c r="N34" s="271"/>
      <x:c r="O34" s="271"/>
      <x:c r="P34" s="271"/>
      <x:c r="Q34" s="271"/>
      <x:c r="R34" s="271"/>
      <x:c r="S34" s="271"/>
      <x:c r="T34" s="271"/>
      <x:c r="U34" s="271"/>
      <x:c r="V34" s="271"/>
    </x:row>
    <x:row r="35">
      <x:c r="A35" s="271"/>
      <x:c r="B35" s="271"/>
      <x:c r="C35" s="271"/>
      <x:c r="D35" s="271"/>
      <x:c r="E35" s="271"/>
      <x:c r="F35" s="271"/>
      <x:c r="G35" s="271"/>
      <x:c r="H35" s="271"/>
      <x:c r="I35" s="271"/>
      <x:c r="J35" s="271"/>
      <x:c r="K35" s="271"/>
      <x:c r="L35" s="271"/>
      <x:c r="M35" s="271"/>
      <x:c r="N35" s="271"/>
      <x:c r="O35" s="271"/>
      <x:c r="P35" s="271"/>
      <x:c r="Q35" s="271"/>
      <x:c r="R35" s="271"/>
      <x:c r="S35" s="271"/>
      <x:c r="T35" s="271"/>
      <x:c r="U35" s="271"/>
      <x:c r="V35" s="271"/>
    </x:row>
    <x:row r="36">
      <x:c r="A36" s="253" t="str">
        <x:v>Epic</x:v>
      </x:c>
      <x:c r="B36" s="253" t="str">
        <x:v>Historia / necesidad</x:v>
      </x:c>
      <x:c r="C36" s="253" t="str">
        <x:v>Criterio de aceptación</x:v>
      </x:c>
      <x:c r="D36" s="271"/>
      <x:c r="E36" s="271"/>
      <x:c r="F36" s="271"/>
      <x:c r="G36" s="271"/>
      <x:c r="H36" s="271"/>
      <x:c r="I36" s="271"/>
      <x:c r="J36" s="271"/>
      <x:c r="K36" s="271"/>
      <x:c r="L36" s="271"/>
      <x:c r="M36" s="271"/>
      <x:c r="N36" s="271"/>
      <x:c r="O36" s="271"/>
      <x:c r="P36" s="271"/>
      <x:c r="Q36" s="271"/>
      <x:c r="R36" s="271"/>
      <x:c r="S36" s="271"/>
      <x:c r="T36" s="271"/>
      <x:c r="U36" s="271"/>
      <x:c r="V36" s="271"/>
    </x:row>
    <x:row r="37">
      <x:c r="A37" s="271" t="str">
        <x:v>Trazabilidad</x:v>
      </x:c>
      <x:c r="B37" s="282" t="str">
        <x:v>Como equipo, queremos relacionar objetivos, requisitos, pruebas y entregables.</x:v>
      </x:c>
      <x:c r="C37" s="282" t="str">
        <x:v>Cada requisito tiene evidencia o limitación explícita.</x:v>
      </x:c>
      <x:c r="D37" s="271"/>
      <x:c r="E37" s="271"/>
      <x:c r="F37" s="271"/>
      <x:c r="G37" s="271"/>
      <x:c r="H37" s="271"/>
      <x:c r="I37" s="271"/>
      <x:c r="J37" s="271"/>
      <x:c r="K37" s="271"/>
      <x:c r="L37" s="271"/>
      <x:c r="M37" s="271"/>
      <x:c r="N37" s="271"/>
      <x:c r="O37" s="271"/>
      <x:c r="P37" s="271"/>
      <x:c r="Q37" s="271"/>
      <x:c r="R37" s="271"/>
      <x:c r="S37" s="271"/>
      <x:c r="T37" s="271"/>
      <x:c r="U37" s="271"/>
      <x:c r="V37" s="271"/>
    </x:row>
    <x:row r="38">
      <x:c r="A38" s="271" t="str">
        <x:v>Sensado</x:v>
      </x:c>
      <x:c r="B38" s="282" t="str">
        <x:v>Como usuario, quiero que el parche y el lector adquieran las señales definidas.</x:v>
      </x:c>
      <x:c r="C38" s="282" t="str">
        <x:v>Se verifican adquisición, calibración e interferencias según protocolo.</x:v>
      </x:c>
      <x:c r="D38" s="271"/>
      <x:c r="E38" s="271"/>
      <x:c r="F38" s="271"/>
      <x:c r="G38" s="271"/>
      <x:c r="H38" s="271"/>
      <x:c r="I38" s="271"/>
      <x:c r="J38" s="271"/>
      <x:c r="K38" s="271"/>
      <x:c r="L38" s="271"/>
      <x:c r="M38" s="271"/>
      <x:c r="N38" s="271"/>
      <x:c r="O38" s="271"/>
      <x:c r="P38" s="271"/>
      <x:c r="Q38" s="271"/>
      <x:c r="R38" s="271"/>
      <x:c r="S38" s="271"/>
      <x:c r="T38" s="271"/>
      <x:c r="U38" s="271"/>
      <x:c r="V38" s="271"/>
    </x:row>
    <x:row r="39">
      <x:c r="A39" s="271" t="str">
        <x:v>Conectividad</x:v>
      </x:c>
      <x:c r="B39" s="282" t="str">
        <x:v>Como usuario, quiero recuperar datos luego de una pérdida temporal de BLE.</x:v>
      </x:c>
      <x:c r="C39" s="282" t="str">
        <x:v>Buffer de 24 h y sincronización posterior demostrados.</x:v>
      </x:c>
      <x:c r="D39" s="271"/>
      <x:c r="E39" s="271"/>
      <x:c r="F39" s="271"/>
      <x:c r="G39" s="271"/>
      <x:c r="H39" s="271"/>
      <x:c r="I39" s="271"/>
      <x:c r="J39" s="271"/>
      <x:c r="K39" s="271"/>
      <x:c r="L39" s="271"/>
      <x:c r="M39" s="271"/>
      <x:c r="N39" s="271"/>
      <x:c r="O39" s="271"/>
      <x:c r="P39" s="271"/>
      <x:c r="Q39" s="271"/>
      <x:c r="R39" s="271"/>
      <x:c r="S39" s="271"/>
      <x:c r="T39" s="271"/>
      <x:c r="U39" s="271"/>
      <x:c r="V39" s="271"/>
    </x:row>
    <x:row r="40">
      <x:c r="A40" s="271" t="str">
        <x:v>Autonomía</x:v>
      </x:c>
      <x:c r="B40" s="282" t="str">
        <x:v>Como usuario, quiero al menos siete días de uso normal.</x:v>
      </x:c>
      <x:c r="C40" s="282" t="str">
        <x:v>Perfil de consumo, capacidad y prueba de descarga documentados.</x:v>
      </x:c>
      <x:c r="D40" s="271"/>
      <x:c r="E40" s="271"/>
      <x:c r="F40" s="271"/>
      <x:c r="G40" s="271"/>
      <x:c r="H40" s="271"/>
      <x:c r="I40" s="271"/>
      <x:c r="J40" s="271"/>
      <x:c r="K40" s="271"/>
      <x:c r="L40" s="271"/>
      <x:c r="M40" s="271"/>
      <x:c r="N40" s="271"/>
      <x:c r="O40" s="271"/>
      <x:c r="P40" s="271"/>
      <x:c r="Q40" s="271"/>
      <x:c r="R40" s="271"/>
      <x:c r="S40" s="271"/>
      <x:c r="T40" s="271"/>
      <x:c r="U40" s="271"/>
      <x:c r="V40" s="271"/>
    </x:row>
    <x:row r="41">
      <x:c r="A41" s="271" t="str">
        <x:v>Recambio</x:v>
      </x:c>
      <x:c r="B41" s="282" t="str">
        <x:v>Como usuario, quiero reemplazar el parche sin reemplazar la electrónica.</x:v>
      </x:c>
      <x:c r="C41" s="282" t="str">
        <x:v>Montaje guiado y prueba de recambio completados.</x:v>
      </x:c>
      <x:c r="D41" s="271"/>
      <x:c r="E41" s="271"/>
      <x:c r="F41" s="271"/>
      <x:c r="G41" s="271"/>
      <x:c r="H41" s="271"/>
      <x:c r="I41" s="271"/>
      <x:c r="J41" s="271"/>
      <x:c r="K41" s="271"/>
      <x:c r="L41" s="271"/>
      <x:c r="M41" s="271"/>
      <x:c r="N41" s="271"/>
      <x:c r="O41" s="271"/>
      <x:c r="P41" s="271"/>
      <x:c r="Q41" s="271"/>
      <x:c r="R41" s="271"/>
      <x:c r="S41" s="271"/>
      <x:c r="T41" s="271"/>
      <x:c r="U41" s="271"/>
      <x:c r="V41" s="271"/>
    </x:row>
    <x:row r="42">
      <x:c r="A42" s="271" t="str">
        <x:v>Avisos</x:v>
      </x:c>
      <x:c r="B42" s="282" t="str">
        <x:v>Como usuario, quiero información contextual sin recomendaciones clínicas automáticas.</x:v>
      </x:c>
      <x:c r="C42" s="282" t="str">
        <x:v>Horizonte, incertidumbre y limitaciones visibles.</x:v>
      </x:c>
      <x:c r="D42" s="271"/>
      <x:c r="E42" s="271"/>
      <x:c r="F42" s="271"/>
      <x:c r="G42" s="271"/>
      <x:c r="H42" s="271"/>
      <x:c r="I42" s="271"/>
      <x:c r="J42" s="271"/>
      <x:c r="K42" s="271"/>
      <x:c r="L42" s="271"/>
      <x:c r="M42" s="271"/>
      <x:c r="N42" s="271"/>
      <x:c r="O42" s="271"/>
      <x:c r="P42" s="271"/>
      <x:c r="Q42" s="271"/>
      <x:c r="R42" s="271"/>
      <x:c r="S42" s="271"/>
      <x:c r="T42" s="271"/>
      <x:c r="U42" s="271"/>
      <x:c r="V42" s="271"/>
    </x:row>
    <x:row r="43">
      <x:c r="A43" s="271" t="str">
        <x:v>Producción</x:v>
      </x:c>
      <x:c r="B43" s="282" t="str">
        <x:v>Como responsable de QA, quiero trazabilidad de lotes y controles.</x:v>
      </x:c>
      <x:c r="C43" s="282" t="str">
        <x:v>Registro de componentes, pruebas y aceptación por unidad.</x:v>
      </x:c>
      <x:c r="D43" s="271"/>
      <x:c r="E43" s="271"/>
      <x:c r="F43" s="271"/>
      <x:c r="G43" s="271"/>
      <x:c r="H43" s="271"/>
      <x:c r="I43" s="271"/>
      <x:c r="J43" s="271"/>
      <x:c r="K43" s="271"/>
      <x:c r="L43" s="271"/>
      <x:c r="M43" s="271"/>
      <x:c r="N43" s="271"/>
      <x:c r="O43" s="271"/>
      <x:c r="P43" s="271"/>
      <x:c r="Q43" s="271"/>
      <x:c r="R43" s="271"/>
      <x:c r="S43" s="271"/>
      <x:c r="T43" s="271"/>
      <x:c r="U43" s="271"/>
      <x:c r="V43" s="271"/>
    </x:row>
    <x:row r="44">
      <x:c r="A44" s="271" t="str">
        <x:v>Comercial</x:v>
      </x:c>
      <x:c r="B44" s="282" t="str">
        <x:v>Como responsable del proyecto, quiero ventas explicadas por aliados y adopción.</x:v>
      </x:c>
      <x:c r="C44" s="282" t="str">
        <x:v>El flujo se conecta al embudo y a sus costos.</x:v>
      </x:c>
      <x:c r="D44" s="271"/>
      <x:c r="E44" s="271"/>
      <x:c r="F44" s="271"/>
      <x:c r="G44" s="271"/>
      <x:c r="H44" s="271"/>
      <x:c r="I44" s="271"/>
      <x:c r="J44" s="271"/>
      <x:c r="K44" s="271"/>
      <x:c r="L44" s="271"/>
      <x:c r="M44" s="271"/>
      <x:c r="N44" s="271"/>
      <x:c r="O44" s="271"/>
      <x:c r="P44" s="271"/>
      <x:c r="Q44" s="271"/>
      <x:c r="R44" s="271"/>
      <x:c r="S44" s="271"/>
      <x:c r="T44" s="271"/>
      <x:c r="U44" s="271"/>
      <x:c r="V44" s="271"/>
    </x:row>
    <x:row r="45">
      <x:c r="A45" s="271"/>
      <x:c r="B45" s="271"/>
      <x:c r="C45" s="271"/>
      <x:c r="D45" s="271"/>
      <x:c r="E45" s="271"/>
      <x:c r="F45" s="271"/>
      <x:c r="G45" s="271"/>
      <x:c r="H45" s="271"/>
      <x:c r="I45" s="271"/>
      <x:c r="J45" s="271"/>
      <x:c r="K45" s="271"/>
      <x:c r="L45" s="271"/>
      <x:c r="M45" s="271"/>
      <x:c r="N45" s="271"/>
      <x:c r="O45" s="271"/>
      <x:c r="P45" s="271"/>
      <x:c r="Q45" s="271"/>
      <x:c r="R45" s="271"/>
      <x:c r="S45" s="271"/>
      <x:c r="T45" s="271"/>
      <x:c r="U45" s="271"/>
      <x:c r="V45" s="271"/>
    </x:row>
    <x:row r="46">
      <x:c r="A46" s="271"/>
      <x:c r="B46" s="271"/>
      <x:c r="C46" s="271"/>
      <x:c r="D46" s="271"/>
      <x:c r="E46" s="271"/>
      <x:c r="F46" s="271"/>
      <x:c r="G46" s="271"/>
      <x:c r="H46" s="271"/>
      <x:c r="I46" s="271"/>
      <x:c r="J46" s="271"/>
      <x:c r="K46" s="271"/>
      <x:c r="L46" s="271"/>
      <x:c r="M46" s="271"/>
      <x:c r="N46" s="271"/>
      <x:c r="O46" s="271"/>
      <x:c r="P46" s="271"/>
      <x:c r="Q46" s="271"/>
      <x:c r="R46" s="271"/>
      <x:c r="S46" s="271"/>
      <x:c r="T46" s="271"/>
      <x:c r="U46" s="271"/>
      <x:c r="V46" s="271"/>
    </x:row>
    <x:row r="47">
      <x:c r="A47" s="275" t="str">
        <x:v>Roadmap de explotación</x:v>
      </x:c>
      <x:c r="B47" s="276"/>
      <x:c r="C47" s="276"/>
      <x:c r="D47" s="276"/>
      <x:c r="E47" s="276"/>
      <x:c r="F47" s="276"/>
      <x:c r="G47" s="276"/>
      <x:c r="H47" s="276"/>
      <x:c r="I47" s="276"/>
      <x:c r="J47" s="276"/>
      <x:c r="K47" s="276"/>
      <x:c r="L47" s="276"/>
      <x:c r="M47" s="276"/>
      <x:c r="N47" s="276"/>
      <x:c r="O47" s="276"/>
      <x:c r="P47" s="276"/>
      <x:c r="Q47" s="276"/>
      <x:c r="R47" s="276"/>
      <x:c r="S47" s="276"/>
      <x:c r="T47" s="276"/>
      <x:c r="U47" s="276"/>
      <x:c r="V47" s="277"/>
    </x:row>
    <x:row r="48">
      <x:c r="A48" s="253" t="str">
        <x:v>Período</x:v>
      </x:c>
      <x:c r="B48" s="253" t="str">
        <x:v>Objetivo</x:v>
      </x:c>
      <x:c r="C48" s="253" t="str">
        <x:v>Actividades principales</x:v>
      </x:c>
      <x:c r="D48" s="271"/>
      <x:c r="E48" s="271"/>
      <x:c r="F48" s="271"/>
      <x:c r="G48" s="271"/>
      <x:c r="H48" s="271"/>
      <x:c r="I48" s="271"/>
      <x:c r="J48" s="271"/>
      <x:c r="K48" s="271"/>
      <x:c r="L48" s="271"/>
      <x:c r="M48" s="271"/>
      <x:c r="N48" s="271"/>
      <x:c r="O48" s="271"/>
      <x:c r="P48" s="271"/>
      <x:c r="Q48" s="271"/>
      <x:c r="R48" s="271"/>
      <x:c r="S48" s="271"/>
      <x:c r="T48" s="271"/>
      <x:c r="U48" s="271"/>
      <x:c r="V48" s="271"/>
    </x:row>
    <x:row r="49">
      <x:c r="A49" s="271" t="str">
        <x:v>Año 2</x:v>
      </x:c>
      <x:c r="B49" s="282" t="str">
        <x:v>Lanzamiento controlado</x:v>
      </x:c>
      <x:c r="C49" s="282" t="str">
        <x:v>Producción inicial, acuerdos con clínicas, soporte, QA de campo y validación del embudo comercial.</x:v>
      </x:c>
      <x:c r="D49" s="271"/>
      <x:c r="E49" s="271"/>
      <x:c r="F49" s="271"/>
      <x:c r="G49" s="271"/>
      <x:c r="H49" s="271"/>
      <x:c r="I49" s="271"/>
      <x:c r="J49" s="271"/>
      <x:c r="K49" s="271"/>
      <x:c r="L49" s="271"/>
      <x:c r="M49" s="271"/>
      <x:c r="N49" s="271"/>
      <x:c r="O49" s="271"/>
      <x:c r="P49" s="271"/>
      <x:c r="Q49" s="271"/>
      <x:c r="R49" s="271"/>
      <x:c r="S49" s="271"/>
      <x:c r="T49" s="271"/>
      <x:c r="U49" s="271"/>
      <x:c r="V49" s="271"/>
    </x:row>
    <x:row r="50">
      <x:c r="A50" s="271" t="str">
        <x:v>Año 3</x:v>
      </x:c>
      <x:c r="B50" s="282" t="str">
        <x:v>Expansión y versión evolutiva 1</x:v>
      </x:c>
      <x:c r="C50" s="282" t="str">
        <x:v>Más aliados, mejoras de robustez y manufactura, revisión de costos y evidencia de uso.</x:v>
      </x:c>
      <x:c r="D50" s="271"/>
      <x:c r="E50" s="271"/>
      <x:c r="F50" s="271"/>
      <x:c r="G50" s="271"/>
      <x:c r="H50" s="271"/>
      <x:c r="I50" s="271"/>
      <x:c r="J50" s="271"/>
      <x:c r="K50" s="271"/>
      <x:c r="L50" s="271"/>
      <x:c r="M50" s="271"/>
      <x:c r="N50" s="271"/>
      <x:c r="O50" s="271"/>
      <x:c r="P50" s="271"/>
      <x:c r="Q50" s="271"/>
      <x:c r="R50" s="271"/>
      <x:c r="S50" s="271"/>
      <x:c r="T50" s="271"/>
      <x:c r="U50" s="271"/>
      <x:c r="V50" s="271"/>
    </x:row>
    <x:row r="51">
      <x:c r="A51" s="271" t="str">
        <x:v>Año 4</x:v>
      </x:c>
      <x:c r="B51" s="282" t="str">
        <x:v>Escala y versión evolutiva 2</x:v>
      </x:c>
      <x:c r="C51" s="282" t="str">
        <x:v>Ampliación de capacidad y funcionalidades solo si la evidencia técnica y regulatoria lo permite.</x:v>
      </x:c>
      <x:c r="D51" s="271"/>
      <x:c r="E51" s="271"/>
      <x:c r="F51" s="271"/>
      <x:c r="G51" s="271"/>
      <x:c r="H51" s="271"/>
      <x:c r="I51" s="271"/>
      <x:c r="J51" s="271"/>
      <x:c r="K51" s="271"/>
      <x:c r="L51" s="271"/>
      <x:c r="M51" s="271"/>
      <x:c r="N51" s="271"/>
      <x:c r="O51" s="271"/>
      <x:c r="P51" s="271"/>
      <x:c r="Q51" s="271"/>
      <x:c r="R51" s="271"/>
      <x:c r="S51" s="271"/>
      <x:c r="T51" s="271"/>
      <x:c r="U51" s="271"/>
      <x:c r="V51" s="271"/>
    </x:row>
  </x:sheetData>
  <x:mergeCells>
    <x:mergeCell ref="A34:I3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0AD47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48" hidden="0" customWidth="1"/>
    <x:col min="2" max="2" width="18" hidden="0" customWidth="1"/>
    <x:col min="3" max="3" width="14" hidden="0" customWidth="1"/>
    <x:col min="4" max="4" width="14" hidden="0" customWidth="1"/>
    <x:col min="5" max="5" width="14" hidden="0" customWidth="1"/>
  </x:cols>
  <x:sheetData>
    <x:row r="1">
      <x:c r="A1" s="248" t="str">
        <x:v>Plan comercial por clínicas y profesionales</x:v>
      </x:c>
      <x:c r="B1" s="91"/>
      <x:c r="C1" s="91"/>
      <x:c r="D1" s="91"/>
      <x:c r="E1" s="91"/>
    </x:row>
    <x:row r="2">
      <x:c r="A2" s="91" t="str">
        <x:v>Escenario activo (1-3)</x:v>
      </x:c>
      <x:c r="B2" s="260" t="n">
        <x:v>2</x:v>
      </x:c>
      <x:c r="C2" s="91"/>
      <x:c r="D2" s="91" t="str">
        <x:v>Caso seleccionado</x:v>
      </x:c>
      <x:c r="E2" s="261" t="str">
        <x:f>CHOOSE($B$2,"Conservador","Base","Expansivo")</x:f>
        <x:v>Base</x:v>
      </x:c>
    </x:row>
    <x:row r="3">
      <x:c r="A3" s="91"/>
      <x:c r="B3" s="91"/>
      <x:c r="C3" s="91"/>
      <x:c r="D3" s="91"/>
      <x:c r="E3" s="91"/>
    </x:row>
    <x:row r="4">
      <x:c r="A4" s="256" t="str">
        <x:v>Embudo de adopción</x:v>
      </x:c>
      <x:c r="B4" s="257"/>
      <x:c r="C4" s="257"/>
      <x:c r="D4" s="257"/>
      <x:c r="E4" s="258"/>
    </x:row>
    <x:row r="5">
      <x:c r="A5" s="253" t="str">
        <x:v>Driver</x:v>
      </x:c>
      <x:c r="B5" s="253" t="str">
        <x:v>Escenario</x:v>
      </x:c>
      <x:c r="C5" s="253" t="str">
        <x:v>Año 2</x:v>
      </x:c>
      <x:c r="D5" s="253" t="str">
        <x:v>Año 3</x:v>
      </x:c>
      <x:c r="E5" s="253" t="str">
        <x:v>Año 4</x:v>
      </x:c>
    </x:row>
    <x:row r="6">
      <x:c r="A6" s="256" t="str">
        <x:v>Clínicas/profesionales aliados</x:v>
      </x:c>
      <x:c r="B6" s="257"/>
      <x:c r="C6" s="257"/>
      <x:c r="D6" s="257"/>
      <x:c r="E6" s="258"/>
    </x:row>
    <x:row r="7">
      <x:c r="A7" s="262" t="str">
        <x:v>Selección activa</x:v>
      </x:c>
      <x:c r="B7" s="262"/>
      <x:c r="C7" s="262" t="n">
        <x:f>CHOOSE($B$2,C8,C9,C10)</x:f>
        <x:v>25</x:v>
      </x:c>
      <x:c r="D7" s="262" t="n">
        <x:f>CHOOSE($B$2,D8,D9,D10)</x:f>
        <x:v>50</x:v>
      </x:c>
      <x:c r="E7" s="262" t="n">
        <x:f>CHOOSE($B$2,E8,E9,E10)</x:f>
        <x:v>80</x:v>
      </x:c>
    </x:row>
    <x:row r="8">
      <x:c r="A8" s="91"/>
      <x:c r="B8" s="91" t="str">
        <x:v>Conservador</x:v>
      </x:c>
      <x:c r="C8" s="91" t="n">
        <x:v>12</x:v>
      </x:c>
      <x:c r="D8" s="91" t="n">
        <x:v>25</x:v>
      </x:c>
      <x:c r="E8" s="91" t="n">
        <x:v>40</x:v>
      </x:c>
    </x:row>
    <x:row r="9">
      <x:c r="A9" s="91"/>
      <x:c r="B9" s="91" t="str">
        <x:v>Base</x:v>
      </x:c>
      <x:c r="C9" s="91" t="n">
        <x:v>25</x:v>
      </x:c>
      <x:c r="D9" s="91" t="n">
        <x:v>50</x:v>
      </x:c>
      <x:c r="E9" s="91" t="n">
        <x:v>80</x:v>
      </x:c>
    </x:row>
    <x:row r="10">
      <x:c r="A10" s="91"/>
      <x:c r="B10" s="91" t="str">
        <x:v>Expansivo</x:v>
      </x:c>
      <x:c r="C10" s="91" t="n">
        <x:v>40</x:v>
      </x:c>
      <x:c r="D10" s="91" t="n">
        <x:v>90</x:v>
      </x:c>
      <x:c r="E10" s="91" t="n">
        <x:v>150</x:v>
      </x:c>
    </x:row>
    <x:row r="11">
      <x:c r="A11" s="91"/>
      <x:c r="B11" s="91"/>
      <x:c r="C11" s="91"/>
      <x:c r="D11" s="91"/>
      <x:c r="E11" s="91"/>
    </x:row>
    <x:row r="12">
      <x:c r="A12" s="256" t="str">
        <x:v>Pacientes alcanzables por aliado/año</x:v>
      </x:c>
      <x:c r="B12" s="257"/>
      <x:c r="C12" s="257"/>
      <x:c r="D12" s="257"/>
      <x:c r="E12" s="258"/>
    </x:row>
    <x:row r="13">
      <x:c r="A13" s="262" t="str">
        <x:v>Selección activa</x:v>
      </x:c>
      <x:c r="B13" s="262"/>
      <x:c r="C13" s="262" t="n">
        <x:f>CHOOSE($B$2,C14,C15,C16)</x:f>
        <x:v>40</x:v>
      </x:c>
      <x:c r="D13" s="262" t="n">
        <x:f>CHOOSE($B$2,D14,D15,D16)</x:f>
        <x:v>50</x:v>
      </x:c>
      <x:c r="E13" s="262" t="n">
        <x:f>CHOOSE($B$2,E14,E15,E16)</x:f>
        <x:v>60</x:v>
      </x:c>
    </x:row>
    <x:row r="14">
      <x:c r="A14" s="91"/>
      <x:c r="B14" s="91" t="str">
        <x:v>Conservador</x:v>
      </x:c>
      <x:c r="C14" s="91" t="n">
        <x:v>30</x:v>
      </x:c>
      <x:c r="D14" s="91" t="n">
        <x:v>35</x:v>
      </x:c>
      <x:c r="E14" s="91" t="n">
        <x:v>40</x:v>
      </x:c>
    </x:row>
    <x:row r="15">
      <x:c r="A15" s="91"/>
      <x:c r="B15" s="91" t="str">
        <x:v>Base</x:v>
      </x:c>
      <x:c r="C15" s="91" t="n">
        <x:v>40</x:v>
      </x:c>
      <x:c r="D15" s="91" t="n">
        <x:v>50</x:v>
      </x:c>
      <x:c r="E15" s="91" t="n">
        <x:v>60</x:v>
      </x:c>
    </x:row>
    <x:row r="16">
      <x:c r="A16" s="91"/>
      <x:c r="B16" s="91" t="str">
        <x:v>Expansivo</x:v>
      </x:c>
      <x:c r="C16" s="91" t="n">
        <x:v>50</x:v>
      </x:c>
      <x:c r="D16" s="91" t="n">
        <x:v>65</x:v>
      </x:c>
      <x:c r="E16" s="91" t="n">
        <x:v>80</x:v>
      </x:c>
    </x:row>
    <x:row r="17">
      <x:c r="A17" s="91"/>
      <x:c r="B17" s="91"/>
      <x:c r="C17" s="91"/>
      <x:c r="D17" s="91"/>
      <x:c r="E17" s="91"/>
    </x:row>
    <x:row r="18">
      <x:c r="A18" s="256" t="str">
        <x:v>Tasa de adopción sobre pacientes alcanzados</x:v>
      </x:c>
      <x:c r="B18" s="257"/>
      <x:c r="C18" s="257"/>
      <x:c r="D18" s="257"/>
      <x:c r="E18" s="258"/>
    </x:row>
    <x:row r="19">
      <x:c r="A19" s="262" t="str">
        <x:v>Selección activa</x:v>
      </x:c>
      <x:c r="B19" s="262"/>
      <x:c r="C19" s="264" t="n">
        <x:f>CHOOSE($B$2,C20,C21,C22)</x:f>
        <x:v>0.3</x:v>
      </x:c>
      <x:c r="D19" s="264" t="n">
        <x:f>CHOOSE($B$2,D20,D21,D22)</x:f>
        <x:v>0.32</x:v>
      </x:c>
      <x:c r="E19" s="264" t="n">
        <x:f>CHOOSE($B$2,E20,E21,E22)</x:f>
        <x:v>0.35</x:v>
      </x:c>
    </x:row>
    <x:row r="20">
      <x:c r="A20" s="91"/>
      <x:c r="B20" s="91" t="str">
        <x:v>Conservador</x:v>
      </x:c>
      <x:c r="C20" s="263" t="n">
        <x:v>0.2</x:v>
      </x:c>
      <x:c r="D20" s="263" t="n">
        <x:v>0.22</x:v>
      </x:c>
      <x:c r="E20" s="263" t="n">
        <x:v>0.25</x:v>
      </x:c>
    </x:row>
    <x:row r="21">
      <x:c r="A21" s="91"/>
      <x:c r="B21" s="91" t="str">
        <x:v>Base</x:v>
      </x:c>
      <x:c r="C21" s="263" t="n">
        <x:v>0.3</x:v>
      </x:c>
      <x:c r="D21" s="263" t="n">
        <x:v>0.32</x:v>
      </x:c>
      <x:c r="E21" s="263" t="n">
        <x:v>0.35</x:v>
      </x:c>
    </x:row>
    <x:row r="22">
      <x:c r="A22" s="91"/>
      <x:c r="B22" s="91" t="str">
        <x:v>Expansivo</x:v>
      </x:c>
      <x:c r="C22" s="263" t="n">
        <x:v>0.4</x:v>
      </x:c>
      <x:c r="D22" s="263" t="n">
        <x:v>0.45</x:v>
      </x:c>
      <x:c r="E22" s="263" t="n">
        <x:v>0.5</x:v>
      </x:c>
    </x:row>
    <x:row r="23">
      <x:c r="A23" s="91"/>
      <x:c r="B23" s="91"/>
      <x:c r="C23" s="91"/>
      <x:c r="D23" s="91"/>
      <x:c r="E23" s="91"/>
    </x:row>
    <x:row r="24">
      <x:c r="A24" s="256" t="str">
        <x:v>Ventas de kits resultantes</x:v>
      </x:c>
      <x:c r="B24" s="257"/>
      <x:c r="C24" s="266" t="n">
        <x:f>ROUND(C7*C13*C19,0)</x:f>
        <x:v>300</x:v>
      </x:c>
      <x:c r="D24" s="266" t="n">
        <x:f>ROUND(D7*D13*D19,0)</x:f>
        <x:v>800</x:v>
      </x:c>
      <x:c r="E24" s="267" t="n">
        <x:f>ROUND(E7*E13*E19,0)</x:f>
        <x:v>1680</x:v>
      </x:c>
    </x:row>
    <x:row r="25">
      <x:c r="A25" s="91" t="str">
        <x:v>Mercado de referencia argentino</x:v>
      </x:c>
      <x:c r="B25" s="91" t="n">
        <x:v>4000000</x:v>
      </x:c>
      <x:c r="C25" s="91"/>
      <x:c r="D25" s="91"/>
      <x:c r="E25" s="91"/>
    </x:row>
    <x:row r="26">
      <x:c r="A26" s="91" t="str">
        <x:v>Participación sobre mercado de referencia</x:v>
      </x:c>
      <x:c r="B26" s="91"/>
      <x:c r="C26" s="265" t="n">
        <x:f>C24/$B$25</x:f>
        <x:v>0.000075</x:v>
      </x:c>
      <x:c r="D26" s="265" t="n">
        <x:f>D24/$B$25</x:f>
        <x:v>0.0002</x:v>
      </x:c>
      <x:c r="E26" s="265" t="n">
        <x:f>E24/$B$25</x:f>
        <x:v>0.00042</x:v>
      </x:c>
    </x:row>
    <x:row r="27">
      <x:c r="A27" s="256" t="str">
        <x:v>Equipo comercial fijo (FTE)</x:v>
      </x:c>
      <x:c r="B27" s="257"/>
      <x:c r="C27" s="257"/>
      <x:c r="D27" s="257"/>
      <x:c r="E27" s="258"/>
    </x:row>
    <x:row r="28">
      <x:c r="A28" s="262" t="str">
        <x:v>Selección activa</x:v>
      </x:c>
      <x:c r="B28" s="262"/>
      <x:c r="C28" s="262" t="n">
        <x:f>CHOOSE($B$2,C29,C30,C31)</x:f>
        <x:v>1</x:v>
      </x:c>
      <x:c r="D28" s="262" t="n">
        <x:f>CHOOSE($B$2,D29,D30,D31)</x:f>
        <x:v>2</x:v>
      </x:c>
      <x:c r="E28" s="262" t="n">
        <x:f>CHOOSE($B$2,E29,E30,E31)</x:f>
        <x:v>3</x:v>
      </x:c>
    </x:row>
    <x:row r="29">
      <x:c r="A29" s="91"/>
      <x:c r="B29" s="91" t="str">
        <x:v>Conservador</x:v>
      </x:c>
      <x:c r="C29" s="91" t="n">
        <x:v>1</x:v>
      </x:c>
      <x:c r="D29" s="91" t="n">
        <x:v>1</x:v>
      </x:c>
      <x:c r="E29" s="91" t="n">
        <x:v>2</x:v>
      </x:c>
    </x:row>
    <x:row r="30">
      <x:c r="A30" s="91"/>
      <x:c r="B30" s="91" t="str">
        <x:v>Base</x:v>
      </x:c>
      <x:c r="C30" s="91" t="n">
        <x:v>1</x:v>
      </x:c>
      <x:c r="D30" s="91" t="n">
        <x:v>2</x:v>
      </x:c>
      <x:c r="E30" s="91" t="n">
        <x:v>3</x:v>
      </x:c>
    </x:row>
    <x:row r="31">
      <x:c r="A31" s="91"/>
      <x:c r="B31" s="91" t="str">
        <x:v>Expansivo</x:v>
      </x:c>
      <x:c r="C31" s="91" t="n">
        <x:v>2</x:v>
      </x:c>
      <x:c r="D31" s="91" t="n">
        <x:v>4</x:v>
      </x:c>
      <x:c r="E31" s="91" t="n">
        <x:v>6</x:v>
      </x:c>
    </x:row>
    <x:row r="32">
      <x:c r="A32" s="91"/>
      <x:c r="B32" s="91"/>
      <x:c r="C32" s="91"/>
      <x:c r="D32" s="91"/>
      <x:c r="E32" s="91"/>
    </x:row>
    <x:row r="33">
      <x:c r="A33" s="256" t="str">
        <x:v>Difusión mensual (USD)</x:v>
      </x:c>
      <x:c r="B33" s="257"/>
      <x:c r="C33" s="257"/>
      <x:c r="D33" s="257"/>
      <x:c r="E33" s="258"/>
    </x:row>
    <x:row r="34">
      <x:c r="A34" s="262" t="str">
        <x:v>Selección activa</x:v>
      </x:c>
      <x:c r="B34" s="262"/>
      <x:c r="C34" s="268" t="n">
        <x:f>CHOOSE($B$2,C35,C36,C37)</x:f>
        <x:v>2000</x:v>
      </x:c>
      <x:c r="D34" s="268" t="n">
        <x:f>CHOOSE($B$2,D35,D36,D37)</x:f>
        <x:v>3500</x:v>
      </x:c>
      <x:c r="E34" s="268" t="n">
        <x:f>CHOOSE($B$2,E35,E36,E37)</x:f>
        <x:v>5000</x:v>
      </x:c>
    </x:row>
    <x:row r="35">
      <x:c r="A35" s="91"/>
      <x:c r="B35" s="91" t="str">
        <x:v>Conservador</x:v>
      </x:c>
      <x:c r="C35" s="269" t="n">
        <x:v>1000</x:v>
      </x:c>
      <x:c r="D35" s="269" t="n">
        <x:v>1500</x:v>
      </x:c>
      <x:c r="E35" s="269" t="n">
        <x:v>2000</x:v>
      </x:c>
    </x:row>
    <x:row r="36">
      <x:c r="A36" s="91"/>
      <x:c r="B36" s="91" t="str">
        <x:v>Base</x:v>
      </x:c>
      <x:c r="C36" s="269" t="n">
        <x:v>2000</x:v>
      </x:c>
      <x:c r="D36" s="269" t="n">
        <x:v>3500</x:v>
      </x:c>
      <x:c r="E36" s="269" t="n">
        <x:v>5000</x:v>
      </x:c>
    </x:row>
    <x:row r="37">
      <x:c r="A37" s="91"/>
      <x:c r="B37" s="91" t="str">
        <x:v>Expansivo</x:v>
      </x:c>
      <x:c r="C37" s="269" t="n">
        <x:v>4000</x:v>
      </x:c>
      <x:c r="D37" s="269" t="n">
        <x:v>7500</x:v>
      </x:c>
      <x:c r="E37" s="269" t="n">
        <x:v>12000</x:v>
      </x:c>
    </x:row>
    <x:row r="38">
      <x:c r="A38" s="91"/>
      <x:c r="B38" s="91"/>
      <x:c r="C38" s="91"/>
      <x:c r="D38" s="91"/>
      <x:c r="E38" s="91"/>
    </x:row>
    <x:row r="39">
      <x:c r="A39" s="256" t="str">
        <x:v>Comparación de ventas por escenario</x:v>
      </x:c>
      <x:c r="B39" s="257"/>
      <x:c r="C39" s="257"/>
      <x:c r="D39" s="257"/>
      <x:c r="E39" s="258"/>
    </x:row>
    <x:row r="40">
      <x:c r="A40" s="91"/>
      <x:c r="B40" s="253" t="str">
        <x:v>Escenario</x:v>
      </x:c>
      <x:c r="C40" s="253" t="str">
        <x:v>Año 2</x:v>
      </x:c>
      <x:c r="D40" s="253" t="str">
        <x:v>Año 3</x:v>
      </x:c>
      <x:c r="E40" s="253" t="str">
        <x:v>Año 4</x:v>
      </x:c>
    </x:row>
    <x:row r="41">
      <x:c r="A41" s="91"/>
      <x:c r="B41" s="91" t="str">
        <x:v>Conservador</x:v>
      </x:c>
      <x:c r="C41" s="91" t="n">
        <x:f>ROUND(C8*C14*C20,0)</x:f>
        <x:v>72</x:v>
      </x:c>
      <x:c r="D41" s="91" t="n">
        <x:f>ROUND(D8*D14*D20,0)</x:f>
        <x:v>193</x:v>
      </x:c>
      <x:c r="E41" s="91" t="n">
        <x:f>ROUND(E8*E14*E20,0)</x:f>
        <x:v>400</x:v>
      </x:c>
    </x:row>
    <x:row r="42">
      <x:c r="A42" s="91"/>
      <x:c r="B42" s="91" t="str">
        <x:v>Base</x:v>
      </x:c>
      <x:c r="C42" s="91" t="n">
        <x:f>ROUND(C9*C15*C21,0)</x:f>
        <x:v>300</x:v>
      </x:c>
      <x:c r="D42" s="91" t="n">
        <x:f>ROUND(D9*D15*D21,0)</x:f>
        <x:v>800</x:v>
      </x:c>
      <x:c r="E42" s="91" t="n">
        <x:f>ROUND(E9*E15*E21,0)</x:f>
        <x:v>1680</x:v>
      </x:c>
    </x:row>
    <x:row r="43">
      <x:c r="A43" s="91"/>
      <x:c r="B43" s="91" t="str">
        <x:v>Expansivo</x:v>
      </x:c>
      <x:c r="C43" s="91" t="n">
        <x:f>ROUND(C10*C16*C22,0)</x:f>
        <x:v>800</x:v>
      </x:c>
      <x:c r="D43" s="91" t="n">
        <x:f>ROUND(D10*D16*D22,0)</x:f>
        <x:v>2633</x:v>
      </x:c>
      <x:c r="E43" s="91" t="n">
        <x:f>ROUND(E10*E16*E22,0)</x:f>
        <x:v>6000</x:v>
      </x:c>
    </x:row>
    <x:row r="44">
      <x:c r="A44" s="91"/>
      <x:c r="B44" s="91"/>
      <x:c r="C44" s="91"/>
      <x:c r="D44" s="91"/>
      <x:c r="E44" s="91"/>
    </x:row>
    <x:row r="45">
      <x:c r="A45" s="91"/>
      <x:c r="B45" s="91"/>
      <x:c r="C45" s="91"/>
      <x:c r="D45" s="91"/>
      <x:c r="E45" s="91"/>
    </x:row>
    <x:row r="46">
      <x:c r="A46" s="256" t="str">
        <x:v>Notas y fuentes</x:v>
      </x:c>
      <x:c r="B46" s="257"/>
      <x:c r="C46" s="257"/>
      <x:c r="D46" s="257"/>
      <x:c r="E46" s="258"/>
    </x:row>
    <x:row r="47">
      <x:c r="A47" s="270" t="str">
        <x:v>El mercado de referencia de 4 millones surge de la extrapolación documentada en el informe a partir del IDF Diabetes Atlas; no equivale al mercado accesible.</x:v>
      </x:c>
      <x:c r="B47" s="91"/>
      <x:c r="C47" s="91"/>
      <x:c r="D47" s="91"/>
      <x:c r="E47" s="91"/>
    </x:row>
    <x:row r="48">
      <x:c r="A48" s="270" t="str">
        <x:v>Las ventas se derivan de aliados, alcance y adopción. Todos los valores son supuestos editables que deben validarse con entrevistas y acuerdos reales.</x:v>
      </x:c>
      <x:c r="B48" s="91"/>
      <x:c r="C48" s="91"/>
      <x:c r="D48" s="91"/>
      <x:c r="E48" s="91"/>
    </x:row>
    <x:row r="49">
      <x:c r="A49" s="270" t="str">
        <x:v>Los pagos de canal representan servicios de comercialización y soporte institucional; no se pagan decisiones o derivaciones clínicas.</x:v>
      </x:c>
      <x:c r="B49" s="91"/>
      <x:c r="C49" s="91"/>
      <x:c r="D49" s="91"/>
      <x:c r="E49" s="91"/>
    </x:row>
  </x:sheetData>
  <x:dataValidations count="1">
    <x:dataValidation type="list" sqref="B2">
      <x:formula1>"1,2,3"</x:formula1>
    </x:dataValidation>
  </x:dataValidations>
  <x:pageMargins left="0.7" right="0.7" top="0.75" bottom="0.75" header="0.3" footer="0.3"/>
</x:worksheet>
</file>