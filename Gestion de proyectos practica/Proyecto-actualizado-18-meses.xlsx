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6803148e8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jo de caja" sheetId="1" r:id="R48b78070b735487d"/>
    <x:sheet xmlns:r="http://schemas.openxmlformats.org/officeDocument/2006/relationships" name="Plan 12 meses" sheetId="2" r:id="R4a14f9cb9742415d"/>
    <x:sheet xmlns:r="http://schemas.openxmlformats.org/officeDocument/2006/relationships" name="Plan comercial" sheetId="3" r:id="R0c2dd7c146ac49a6"/>
    <x:sheet xmlns:r="http://schemas.openxmlformats.org/officeDocument/2006/relationships" name="Cambios realizados" sheetId="4" r:id="R50cc424032624f11"/>
    <x:sheet xmlns:r="http://schemas.openxmlformats.org/officeDocument/2006/relationships" name="Supuestos nuevos" sheetId="5" r:id="R0630845fb67b4f82"/>
    <x:sheet xmlns:r="http://schemas.openxmlformats.org/officeDocument/2006/relationships" name="Flujo mensual nuevo" sheetId="6" r:id="Rbfd2c984539d49ba"/>
    <x:sheet xmlns:r="http://schemas.openxmlformats.org/officeDocument/2006/relationships" name="Resumen nuevo" sheetId="7" r:id="R36d8681479b14997"/>
    <x:sheet xmlns:r="http://schemas.openxmlformats.org/officeDocument/2006/relationships" name="Tareas y sprints" sheetId="8" r:id="R31ba074fc9c44bdb"/>
    <x:sheet xmlns:r="http://schemas.openxmlformats.org/officeDocument/2006/relationships" name="Plan 18 meses" sheetId="9" r:id="Rff7e2e5ad5924c87"/>
  </x:sheets>
</x:workbook>
</file>

<file path=xl/comments1.xml><?xml version="1.0" encoding="utf-8"?>
<x:comments xmlns:x="http://schemas.openxmlformats.org/spreadsheetml/2006/main">
  <x:authors>
    <x:author/>
  </x:authors>
  <x:commentList>
    <x:comment ref="C53" authorId="0">
      <x:text>
        <x:r>
          <x:t>======
ID#doco.Kf7i6RxW2-TwnDpX_P6d_w
ignacio cavicchioli    (2026-10-12 21:39:19)
esta es la inversión inicial total necesaria, sería el máx negativo del flujo acumulado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<x:sst xmlns:x="http://schemas.openxmlformats.org/spreadsheetml/2006/main">
  <x:si>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Concepto</x:t>
  </x:si>
  <x:si>
    <x:t xml:space="preserve">Unidad</x:t>
  </x:si>
  <x:si>
    <x:t xml:space="preserve">Mes 1</x:t>
  </x:si>
  <x:si>
    <x:t xml:space="preserve">Mes 2</x:t>
  </x:si>
  <x:si>
    <x:t xml:space="preserve">Mes 3</x:t>
  </x:si>
  <x:si>
    <x:t xml:space="preserve">Mes 4</x:t>
  </x:si>
  <x:si>
    <x:t xml:space="preserve">Mes 5</x:t>
  </x:si>
  <x:si>
    <x:t xml:space="preserve">Mes 6</x:t>
  </x:si>
  <x:si>
    <x:t xml:space="preserve">Mes 7</x:t>
  </x:si>
  <x:si>
    <x:t xml:space="preserve">Mes 8</x:t>
  </x:si>
  <x:si>
    <x:t xml:space="preserve">Mes 9</x:t>
  </x:si>
  <x:si>
    <x:t xml:space="preserve">Mes 10</x:t>
  </x:si>
  <x:si>
    <x:t xml:space="preserve">Mes 11</x:t>
  </x:si>
  <x:si>
    <x:t xml:space="preserve">Mes 12</x:t>
  </x:si>
  <x:si>
    <x:t xml:space="preserve">Año 1</x:t>
  </x:si>
  <x:si>
    <x:t xml:space="preserve">Año 2</x:t>
  </x:si>
  <x:si>
    <x:t xml:space="preserve">Año 3</x:t>
  </x:si>
  <x:si>
    <x:t xml:space="preserve">Año 4</x:t>
  </x:si>
  <x:si>
    <x:t xml:space="preserve">Ingresos</x:t>
  </x:si>
  <x:si>
    <x:t xml:space="preserve">Aporte de capital estimado</x:t>
  </x:si>
  <x:si>
    <x:t xml:space="preserve">USD</x:t>
  </x:si>
  <x:si>
    <x:t xml:space="preserve">Cobros por kits</x:t>
  </x:si>
  <x:si>
    <x:t xml:space="preserve">Cobros por parches de recambio</x:t>
  </x:si>
  <x:si>
    <x:t xml:space="preserve">Otros ingresos</x:t>
  </x:si>
  <x:si>
    <x:t xml:space="preserve">Total ingresos y financiamiento</x:t>
  </x:si>
  <x:si>
    <x:t xml:space="preserve">Egresos</x:t>
  </x:si>
  <x:si>
    <x:t xml:space="preserve">Infraestructura</x:t>
  </x:si>
  <x:si>
    <x:t xml:space="preserve">Alquiler de oficina y taller</x:t>
  </x:si>
  <x:si>
    <x:t xml:space="preserve">Servicios generales</x:t>
  </x:si>
  <x:si>
    <x:t xml:space="preserve">Alquiler de equipamiento y laboratorio</x:t>
  </x:si>
  <x:si>
    <x:t xml:space="preserve">Diseño, prototipos y ensayos</x:t>
  </x:si>
  <x:si>
    <x:t xml:space="preserve">Componentes de prototipos</x:t>
  </x:si>
  <x:si>
    <x:t xml:space="preserve">Carcasas y montajes de prototipos</x:t>
  </x:si>
  <x:si>
    <x:t xml:space="preserve">Insumos de pruebas</x:t>
  </x:si>
  <x:si>
    <x:t xml:space="preserve">Producción y comercialización variable</x:t>
  </x:si>
  <x:si>
    <x:t xml:space="preserve">Fabricación de kits</x:t>
  </x:si>
  <x:si>
    <x:t xml:space="preserve">Importación, flete y recepción</x:t>
  </x:si>
  <x:si>
    <x:t xml:space="preserve">Almacenamiento de kits</x:t>
  </x:si>
  <x:si>
    <x:t xml:space="preserve">Fabricación y entrega de recambios</x:t>
  </x:si>
  <x:si>
    <x:t xml:space="preserve">Costos comerciales variables</x:t>
  </x:si>
  <x:si>
    <x:t xml:space="preserve">Equipo, servicios, onboarding y soporte</x:t>
  </x:si>
  <x:si>
    <x:t xml:space="preserve">Equipo de ingeniería (2 FTE)</x:t>
  </x:si>
  <x:si>
    <x:t xml:space="preserve">Equipo técnico/administrativo (2 FTE)</x:t>
  </x:si>
  <x:si>
    <x:t xml:space="preserve">Laboratorio y asesoramiento bioquímico</x:t>
  </x:si>
  <x:si>
    <x:t xml:space="preserve">Consultas médicas, legales y regulatorias</x:t>
  </x:si>
  <x:si>
    <x:t xml:space="preserve">QA y validación técnica externa</x:t>
  </x:si>
  <x:si>
    <x:t xml:space="preserve">Herramientas, nube y licencias</x:t>
  </x:si>
  <x:si>
    <x:t xml:space="preserve">Reserva de contingencia técnica</x:t>
  </x:si>
  <x:si>
    <x:t xml:space="preserve">Onboarding de médicos y clínicas</x:t>
  </x:si>
  <x:si>
    <x:t xml:space="preserve">Soporte y mantenimiento</x:t>
  </x:si>
  <x:si>
    <x:t xml:space="preserve">Administración y lanzamiento</x:t>
  </x:si>
  <x:si>
    <x:t xml:space="preserve">Equipo comercial fijo</x:t>
  </x:si>
  <x:si>
    <x:t xml:space="preserve">Difusión y desarrollo de canales</x:t>
  </x:si>
  <x:si>
    <x:t xml:space="preserve">Total egresos</x:t>
  </x:si>
  <x:si>
    <x:t xml:space="preserve">Flujo neto con financiamiento</x:t>
  </x:si>
  <x:si>
    <x:t xml:space="preserve">Saldo de caja acumulado</x:t>
  </x:si>
  <x:si>
    <x:t xml:space="preserve">Flujo del proyecto sin financiamiento</x:t>
  </x:si>
  <x:si>
    <x:t xml:space="preserve">Acumulado sin financiamiento</x:t>
  </x:si>
  <x:si>
    <x:t xml:space="preserve">Resumen de los 4 años</x:t>
  </x:si>
  <x:si>
    <x:t xml:space="preserve">Cobros por ventas</x:t>
  </x:si>
  <x:si>
    <x:t xml:space="preserve">VAN (USD)</x:t>
  </x:si>
  <x:si>
    <x:t xml:space="preserve">Egresos totales</x:t>
  </x:si>
  <x:si>
    <x:t xml:space="preserve">TIR anual</x:t>
  </x:si>
  <x:si>
    <x:t xml:space="preserve">Resultado sin financiamiento</x:t>
  </x:si>
  <x:si>
    <x:t xml:space="preserve">Descuento anual</x:t>
  </x:si>
  <x:si>
    <x:t xml:space="preserve">Capital mínimo necesario</x:t>
  </x:si>
  <x:si>
    <x:t xml:space="preserve">FTE desarrollo</x:t>
  </x:si>
  <x:si>
    <x:t xml:space="preserve">Aporte previsto</x:t>
  </x:si>
  <x:si>
    <x:t xml:space="preserve">Horas brutas año 1</x:t>
  </x:si>
  <x:si>
    <x:t xml:space="preserve">Caja al cierre</x:t>
  </x:si>
  <x:si>
    <x:t xml:space="preserve">Inicio de ventas</x:t>
  </x:si>
  <x:si>
    <x:t xml:space="preserve">Presupuesto total del año 1</x:t>
  </x:si>
  <x:si>
    <x:t xml:space="preserve">Control: Año 1 menos suma mensual</x:t>
  </x:si>
  <x:si>
    <x:t xml:space="preserve">Actividad comercial y existencias</x:t>
  </x:si>
  <x:si>
    <x:t xml:space="preserve">Kits vendidos</x:t>
  </x:si>
  <x:si>
    <x:t xml:space="preserve">unidades</x:t>
  </x:si>
  <x:si>
    <x:t xml:space="preserve">Clientes activos: mes / promedio anual</x:t>
  </x:si>
  <x:si>
    <x:t xml:space="preserve">clientes</x:t>
  </x:si>
  <x:si>
    <x:t xml:space="preserve">Parches de recambio vendidos</x:t>
  </x:si>
  <x:si>
    <x:t xml:space="preserve">Kits disponibles al cierre</x:t>
  </x:si>
  <x:si>
    <x:t xml:space="preserve">Kits demostradores entregados a clínicas</x:t>
  </x:si>
  <x:si>
    <x:t xml:space="preserve">Supuestos editables y fuentes</x:t>
  </x:si>
  <x:si>
    <x:t xml:space="preserve">Costos unitarios trazables</x:t>
  </x:si>
  <x:si>
    <x:t xml:space="preserve">Importación simplificada por kit</x:t>
  </x:si>
  <x:si>
    <x:t xml:space="preserve">Consultas especializadas</x:t>
  </x:si>
  <x:si>
    <x:t xml:space="preserve">Lote pre-serie aceptado (kits)</x:t>
  </x:si>
  <x:si>
    <x:t xml:space="preserve">Lector: materiales y procesos</x:t>
  </x:si>
  <x:si>
    <x:t xml:space="preserve">USD/u</x:t>
  </x:si>
  <x:si>
    <x:t xml:space="preserve">Lector ensamblado importado</x:t>
  </x:si>
  <x:si>
    <x:t xml:space="preserve">USD/kit</x:t>
  </x:si>
  <x:si>
    <x:t xml:space="preserve">Médicas</x:t>
  </x:si>
  <x:si>
    <x:t xml:space="preserve">Costo directo de fabricación por kit</x:t>
  </x:si>
  <x:si>
    <x:t xml:space="preserve">Lector: armado e inspección</x:t>
  </x:si>
  <x:si>
    <x:t xml:space="preserve">min/u</x:t>
  </x:si>
  <x:si>
    <x:t xml:space="preserve">Pulsera ensamblada importada</x:t>
  </x:si>
  <x:si>
    <x:t xml:space="preserve">Legales</x:t>
  </x:si>
  <x:si>
    <x:t xml:space="preserve">Logística e importación por kit</x:t>
  </x:si>
  <x:si>
    <x:t xml:space="preserve">Lector: programación</x:t>
  </x:si>
  <x:si>
    <x:t xml:space="preserve">Valor importado total</x:t>
  </x:si>
  <x:si>
    <x:t xml:space="preserve">Regulatorias</x:t>
  </x:si>
  <x:si>
    <x:t xml:space="preserve">Almacenamiento total del lote pre-serie</x:t>
  </x:si>
  <x:si>
    <x:t xml:space="preserve">Lector: prueba funcional</x:t>
  </x:si>
  <x:si>
    <x:t xml:space="preserve">Flete internacional</x:t>
  </x:si>
  <x:si>
    <x:t xml:space="preserve">Contables e impositivas</x:t>
  </x:si>
  <x:si>
    <x:t xml:space="preserve">Fabricación directa por parche de recambio</x:t>
  </x:si>
  <x:si>
    <x:t xml:space="preserve">USD/parche</x:t>
  </x:si>
  <x:si>
    <x:t xml:space="preserve">Lector: registro y trazabilidad</x:t>
  </x:si>
  <x:si>
    <x:t xml:space="preserve">Seguro</x:t>
  </x:si>
  <x:si>
    <x:t xml:space="preserve">Total consultas</x:t>
  </x:si>
  <x:si>
    <x:t xml:space="preserve">Entrega e insumos por recambio</x:t>
  </x:si>
  <x:si>
    <x:t xml:space="preserve">Lector: total</x:t>
  </x:si>
  <x:si>
    <x:t xml:space="preserve">CIF</x:t>
  </x:si>
  <x:si>
    <x:t xml:space="preserve">Salario bruto mensual de ingeniería</x:t>
  </x:si>
  <x:si>
    <x:t xml:space="preserve">ARS/FTE</x:t>
  </x:si>
  <x:si>
    <x:t xml:space="preserve">Lector: mano de obra</x:t>
  </x:si>
  <x:si>
    <x:t xml:space="preserve">Derecho estimado</x:t>
  </x:si>
  <x:si>
    <x:t xml:space="preserve">% CIF</x:t>
  </x:si>
  <x:si>
    <x:t xml:space="preserve">Salario bruto mensual técnico/administrativo</x:t>
  </x:si>
  <x:si>
    <x:t xml:space="preserve">Pulsera: materiales y procesos</x:t>
  </x:si>
  <x:si>
    <x:t xml:space="preserve">Tasa estadística estimada</x:t>
  </x:si>
  <x:si>
    <x:t xml:space="preserve">FTE de ingeniería</x:t>
  </x:si>
  <x:si>
    <x:t xml:space="preserve">FTE</x:t>
  </x:si>
  <x:si>
    <x:t xml:space="preserve">Pulsera: armado e inspección</x:t>
  </x:si>
  <x:si>
    <x:t xml:space="preserve">IVA estimado</x:t>
  </x:si>
  <x:si>
    <x:t xml:space="preserve">FTE técnicos/administrativos</x:t>
  </x:si>
  <x:si>
    <x:t xml:space="preserve">Pulsera: programación</x:t>
  </x:si>
  <x:si>
    <x:t xml:space="preserve">Carga presupuestaria simplificada</x:t>
  </x:si>
  <x:si>
    <x:t xml:space="preserve">45% CIF</x:t>
  </x:si>
  <x:si>
    <x:t xml:space="preserve">Meses de desarrollo</x:t>
  </x:si>
  <x:si>
    <x:t xml:space="preserve">meses</x:t>
  </x:si>
  <x:si>
    <x:t xml:space="preserve">Pulsera: prueba funcional</x:t>
  </x:si>
  <x:si>
    <x:t xml:space="preserve">Gestión de importación y despacho</x:t>
  </x:si>
  <x:si>
    <x:t xml:space="preserve">Horas mensuales por FTE</x:t>
  </x:si>
  <x:si>
    <x:t xml:space="preserve">h/FTE</x:t>
  </x:si>
  <x:si>
    <x:t xml:space="preserve">Pulsera: registro y trazabilidad</x:t>
  </x:si>
  <x:si>
    <x:t xml:space="preserve">Traslado local</x:t>
  </x:si>
  <x:si>
    <x:t xml:space="preserve">Factor de costo laboral</x:t>
  </x:si>
  <x:si>
    <x:t xml:space="preserve">factor</x:t>
  </x:si>
  <x:si>
    <x:t xml:space="preserve">Pulsera: total</x:t>
  </x:si>
  <x:si>
    <x:t xml:space="preserve">Recepción e inventario</x:t>
  </x:si>
  <x:si>
    <x:t xml:space="preserve">Tipo de cambio presupuestario</x:t>
  </x:si>
  <x:si>
    <x:t xml:space="preserve">ARS/USD</x:t>
  </x:si>
  <x:si>
    <x:t xml:space="preserve">Pulsera: mano de obra</x:t>
  </x:si>
  <x:si>
    <x:t xml:space="preserve">Costo horario de ingeniería</x:t>
  </x:si>
  <x:si>
    <x:t xml:space="preserve">USD/h</x:t>
  </x:si>
  <x:si>
    <x:t xml:space="preserve">Parche: materiales</x:t>
  </x:si>
  <x:si>
    <x:t xml:space="preserve">Almacenamiento inicial</x:t>
  </x:si>
  <x:si>
    <x:t xml:space="preserve">Costo horario técnico/administrativo</x:t>
  </x:si>
  <x:si>
    <x:t xml:space="preserve">Parche: horas por 100 unidades</x:t>
  </x:si>
  <x:si>
    <x:t xml:space="preserve">h/100 u</x:t>
  </x:si>
  <x:si>
    <x:t xml:space="preserve">Presupuesto por kit en Argentina</x:t>
  </x:si>
  <x:si>
    <x:t xml:space="preserve">Servicios generales mensuales</x:t>
  </x:si>
  <x:si>
    <x:t xml:space="preserve">USD/mes</x:t>
  </x:si>
  <x:si>
    <x:t xml:space="preserve">Parche: tarifa productiva</x:t>
  </x:si>
  <x:si>
    <x:t xml:space="preserve">Alquiler de oficina/taller mensual</x:t>
  </x:si>
  <x:si>
    <x:t xml:space="preserve">Parche: mano de obra</x:t>
  </x:si>
  <x:si>
    <x:t xml:space="preserve">Preserie año 1 sin doble mano de obra</x:t>
  </x:si>
  <x:si>
    <x:t xml:space="preserve">Alquiler de equipamiento/laboratorio mensual</x:t>
  </x:si>
  <x:si>
    <x:t xml:space="preserve">Empaque y accesorios</x:t>
  </x:si>
  <x:si>
    <x:t xml:space="preserve">Costo directo preserie sin MO interna</x:t>
  </x:si>
  <x:si>
    <x:t xml:space="preserve">Componentes para prototipos</x:t>
  </x:si>
  <x:si>
    <x:t xml:space="preserve">Cargo fijo de proveedor sin cotización</x:t>
  </x:si>
  <x:si>
    <x:t xml:space="preserve">Valor importado preserie</x:t>
  </x:si>
  <x:si>
    <x:t xml:space="preserve">CIF preserie</x:t>
  </x:si>
  <x:si>
    <x:t xml:space="preserve">Insumos para pruebas</x:t>
  </x:si>
  <x:si>
    <x:t xml:space="preserve">Costo directo por parche</x:t>
  </x:si>
  <x:si>
    <x:t xml:space="preserve">Logística/importación preserie</x:t>
  </x:si>
  <x:si>
    <x:t xml:space="preserve">Consultas especializadas (sin bioquímica)</x:t>
  </x:si>
  <x:si>
    <x:t xml:space="preserve">Criterios de costeo e importación</x:t>
  </x:si>
  <x:si>
    <x:t xml:space="preserve">Los tiempos y tarifas de armado, programación y prueba son estimaciones internas de producción; no constituyen cotizaciones de proveedor.</x:t>
  </x:si>
  <x:si>
    <x:t xml:space="preserve">Merma de fabricación</x:t>
  </x:si>
  <x:si>
    <x:t xml:space="preserve">% unidades</x:t>
  </x:si>
  <x:si>
    <x:t xml:space="preserve">En el año 1 el armado final, la programación, la prueba y la preparación del parche quedan cubiertos por los cuatro FTE: la preserie usa un costo específico sin esa mano de obra. En los años 2 a 4 sí forman parte del costo variable unitario.</x:t>
  </x:si>
  <x:si>
    <x:t xml:space="preserve">Costo comercial variable sobre ventas</x:t>
  </x:si>
  <x:si>
    <x:t xml:space="preserve">% ventas</x:t>
  </x:si>
  <x:si>
    <x:t xml:space="preserve">El cargo fijo de proveedor permanece editable en cero hasta contar con evidencia. La merma se aplica mediante unidades brutas, no mediante un multiplicador general.</x:t>
  </x:si>
  <x:si>
    <x:t xml:space="preserve">Costo mensual por FTE comercial</x:t>
  </x:si>
  <x:si>
    <x:t xml:space="preserve">USD/FTE</x:t>
  </x:si>
  <x:si>
    <x:t xml:space="preserve">La carga de importación es una previsión académica simplificada del 45% sobre CIF; una operación real debe verificar la posición arancelaria y el tratamiento fiscal aplicable.</x:t>
  </x:si>
  <x:si>
    <x:t xml:space="preserve">Difusión mensual de referencia</x:t>
  </x:si>
  <x:si>
    <x:t xml:space="preserve">En explotación se presupuestan lector y pulsera ensamblados desde China. Para la preserie del año 1 se importan sus materiales y procesos base; el armado final, la programación, la prueba, el parche y el acondicionamiento se realizan con la dotación interna.</x:t>
  </x:si>
  <x:si>
    <x:t xml:space="preserve">Horas mensuales de soporte por 100 clientes</x:t>
  </x:si>
  <x:si>
    <x:t xml:space="preserve">h</x:t>
  </x:si>
  <x:si>
    <x:t xml:space="preserve">Costo horario de soporte</x:t>
  </x:si>
  <x:si>
    <x:t xml:space="preserve">Tasa de descuento anual</x:t>
  </x:si>
  <x:si>
    <x:t xml:space="preserve">% anual</x:t>
  </x:si>
  <x:si>
    <x:t xml:space="preserve">Caja adicional de seguridad</x:t>
  </x:si>
  <x:si>
    <x:t xml:space="preserve">Precio cobrado por kit</x:t>
  </x:si>
  <x:si>
    <x:t xml:space="preserve">Precio cobrado por recambio</x:t>
  </x:si>
  <x:si>
    <x:t xml:space="preserve">Recambios por cliente al mes</x:t>
  </x:si>
  <x:si>
    <x:t xml:space="preserve">parches</x:t>
  </x:si>
  <x:si>
    <x:t xml:space="preserve">Retención mensual de clientes</x:t>
  </x:si>
  <x:si>
    <x:t xml:space="preserve">% clientes</x:t>
  </x:si>
  <x:si>
    <x:t xml:space="preserve">Inventario objetivo al cierre</x:t>
  </x:si>
  <x:si>
    <x:t xml:space="preserve">% ventas anuales</x:t>
  </x:si>
  <x:si>
    <x:t xml:space="preserve">Herramientas, nube y licencias mensuales</x:t>
  </x:si>
  <x:si>
    <x:t xml:space="preserve">% partidas técnicas</x:t>
  </x:si>
  <x:si>
    <x:t xml:space="preserve">Criterios del escenario</x:t>
  </x:si>
  <x:si>
    <x:t xml:space="preserve">Año 1: doce meses de desarrollo con cuatro personas full-time. Las horas son capacidad derivada, no presupuesto por tarea.</x:t>
  </x:si>
  <x:si>
    <x:t xml:space="preserve">El prototipo integrado es un hito intermedio; el entregable del mes 12 es el MVP sujeto a validación funcional y técnica.</x:t>
  </x:si>
  <x:si>
    <x:t xml:space="preserve">No hay ventas en el año 1. La explotación comienza en el año 2 y queda condicionada a los requisitos regulatorios aplicables.</x:t>
  </x:si>
  <x:si>
    <x:t xml:space="preserve">La merma aumenta las unidades brutas a fabricar. El inventario objetivo y las ventas determinan la producción anual.</x:t>
  </x:si>
  <x:si>
    <x:t xml:space="preserve">Los acuerdos de canal se modelan como costo comercial, nunca como pago por decisión o derivación clínica.</x:t>
  </x:si>
  <x:si>
    <x:t xml:space="preserve">El 50% general anterior se elimina. Se usan merma de producción y una reserva técnica separada, aplicadas una sola vez.</x:t>
  </x:si>
  <x:si>
    <x:t xml:space="preserve">TAM de referencia: alrededor de 4 millones de adultos con diabetes tipo 2; el embudo de clínicas determina el mercado obtenible.</x:t>
  </x:si>
  <x:si>
    <x:t xml:space="preserve">VAN y TIR son salidas informativas. El modelo no modifica supuestos para obtener un resultado financiero deseado.</x:t>
  </x:si>
  <x:si>
    <x:t xml:space="preserve">Plan mensual editable del año 1</x:t>
  </x:si>
  <x:si>
    <x:t xml:space="preserve">Actividad / control</x:t>
  </x:si>
  <x:si>
    <x:t xml:space="preserve">Kits aceptados recibidos</x:t>
  </x:si>
  <x:si>
    <x:t xml:space="preserve">Control de dotación</x:t>
  </x:si>
  <x:si>
    <x:t xml:space="preserve">Capacidad bruta del año</x:t>
  </x:si>
  <x:si>
    <x:t xml:space="preserve">horas</x:t>
  </x:si>
  <x:si>
    <x:t xml:space="preserve">Supuestos y cálculos de los años 2, 3 y 4</x:t>
  </x:si>
  <x:si>
    <x:t xml:space="preserve">Ventas anuales de kits</x:t>
  </x:si>
  <x:si>
    <x:t xml:space="preserve">Producción neta de kits</x:t>
  </x:si>
  <x:si>
    <x:t xml:space="preserve">Equipo comercial fijo (FTE)</x:t>
  </x:si>
  <x:si>
    <x:t xml:space="preserve">Difusión mensual (USD)</x:t>
  </x:si>
  <x:si>
    <x:t xml:space="preserve">Kits demostradores a clínicas</x:t>
  </x:si>
  <x:si>
    <x:t xml:space="preserve">Cálculo anual de clientes y recambios</x:t>
  </x:si>
  <x:si>
    <x:t xml:space="preserve">Meses por año</x:t>
  </x:si>
  <x:si>
    <x:t xml:space="preserve">Meses acumulados por cliente inicial</x:t>
  </x:si>
  <x:si>
    <x:t xml:space="preserve">Factor de altas durante el año</x:t>
  </x:si>
  <x:si>
    <x:t xml:space="preserve">Clientes activos en el primer mes</x:t>
  </x:si>
  <x:si>
    <x:t xml:space="preserve">Clientes activos en el último mes</x:t>
  </x:si>
  <x:si>
    <x:t xml:space="preserve">Control: inventario final no negativo</x:t>
  </x:si>
  <x:si>
    <x:t xml:space="preserve">Flujo neto anual sin financiamiento</x:t>
  </x:si>
  <x:si>
    <x:t xml:space="preserve">Años 2-4: ventas originadas por el embudo de clínicas/profesionales del escenario seleccionado.</x:t>
  </x:si>
  <x:si>
    <x:t xml:space="preserve">La producción repone inventario, cubre demostradores, alcanza el objetivo de cierre e incorpora la merma antes de valorizar costos.</x:t>
  </x:si>
  <x:si>
    <x:t xml:space="preserve">El equipo comercial fijo, el canal variable, la difusión y el soporte crecen con la explotación.</x:t>
  </x:si>
  <x:si>
    <x:t xml:space="preserve">El capital mínimo cubre el mayor déficit acumulado; no representa financiamiento confirmado.</x:t>
  </x:si>
  <x:si>
    <x:t xml:space="preserve">VAN y TIR del proyecto</x:t>
  </x:si>
  <x:si>
    <x:t xml:space="preserve">Supuesto editable de evaluación, no tasa de mercado.</x:t>
  </x:si>
  <x:si>
    <x:t xml:space="preserve">Origen temporal de cálculo</x:t>
  </x:si>
  <x:si>
    <x:t xml:space="preserve">Fecha convencional para medir distancias entre períodos.</x:t>
  </x:si>
  <x:si>
    <x:t xml:space="preserve">Los flujos se ubican al cierre de cada período y excluyen los aportes de capital.</x:t>
  </x:si>
  <x:si>
    <x:t xml:space="preserve">Resultados antes de Ganancias y tributos locales; no incluyen validación clínica ni certificación comercial.</x:t>
  </x:si>
  <x:si>
    <x:t xml:space="preserve">Mes desde inicio</x:t>
  </x:si>
  <x:si>
    <x:t xml:space="preserve">Fecha equivalente</x:t>
  </x:si>
  <x:si>
    <x:t xml:space="preserve">Flujo (USD)</x:t>
  </x:si>
  <x:si>
    <x:t xml:space="preserve">Dotación base</x:t>
  </x:si>
  <x:si>
    <x:t xml:space="preserve">2 ingeniería + 2 técnicos/administrativos</x:t>
  </x:si>
  <x:si>
    <x:t xml:space="preserve">Capacidad bruta</x:t>
  </x:si>
  <x:si>
    <x:t xml:space="preserve">ID</x:t>
  </x:si>
  <x:si>
    <x:t xml:space="preserve">Frente</x:t>
  </x:si>
  <x:si>
    <x:t xml:space="preserve">Actividad / entregable</x:t>
  </x:si>
  <x:si>
    <x:t xml:space="preserve">Responsable</x:t>
  </x:si>
  <x:si>
    <x:t xml:space="preserve">Inicio</x:t>
  </x:si>
  <x:si>
    <x:t xml:space="preserve">Fin</x:t>
  </x:si>
  <x:si>
    <x:t xml:space="preserve">Dependencia</x:t>
  </x:si>
  <x:si>
    <x:t xml:space="preserve">Tipo</x:t>
  </x:si>
  <x:si>
    <x:t xml:space="preserve">Criterio de cierre</x:t>
  </x:si>
  <x:si>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</x:si>
  <x:si>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</x:si>
  <x:si>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</x:si>
  <x:si>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</x:si>
  <x:si>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</x:si>
  <x:si>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</x:si>
  <x:si>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M7</x:t>
  </x:si>
  <x:si>
    <x:t xml:space="preserve">M8</x:t>
  </x:si>
  <x:si>
    <x:t xml:space="preserve">M9</x:t>
  </x:si>
  <x:si>
    <x:t xml:space="preserve">M10</x:t>
  </x:si>
  <x:si>
    <x:t xml:space="preserve">M11</x:t>
  </x:si>
  <x:si>
    <x:t xml:space="preserve">M12</x:t>
  </x:si>
  <x:si>
    <x:t xml:space="preserve">T01</x:t>
  </x:si>
  <x:si>
    <x:t xml:space="preserve">Gobierno</x:t>
  </x:si>
  <x:si>
    <x:t xml:space="preserve">Objetivo, alcance, MVP y trazabilidad</x:t>
  </x:si>
  <x:si>
    <x:t xml:space="preserve">Líder de proyecto</x:t>
  </x:si>
  <x:si>
    <x:t xml:space="preserve">-</x:t>
  </x:si>
  <x:si>
    <x:t xml:space="preserve">Trabajo</x:t>
  </x:si>
  <x:si>
    <x:t xml:space="preserve">Alcance aprobado</x:t>
  </x:si>
  <x:si>
    <x:t xml:space="preserve">■</x:t>
  </x:si>
  <x:si>
    <x:t xml:space="preserve">T02</x:t>
  </x:si>
  <x:si>
    <x:t xml:space="preserve">Regulatorio</x:t>
  </x:si>
  <x:si>
    <x:t xml:space="preserve">Uso previsto y consultas médicas, legales y regulatorias</x:t>
  </x:si>
  <x:si>
    <x:t xml:space="preserve">Técnico/administrativo</x:t>
  </x:si>
  <x:si>
    <x:t xml:space="preserve">Preguntas y límites documentados</x:t>
  </x:si>
  <x:si>
    <x:t xml:space="preserve">T03</x:t>
  </x:si>
  <x:si>
    <x:t xml:space="preserve">Sistema</x:t>
  </x:si>
  <x:si>
    <x:t xml:space="preserve">Arquitectura, interfaces y requerimientos verificables</x:t>
  </x:si>
  <x:si>
    <x:t xml:space="preserve">Ing. sistemas/embebidos</x:t>
  </x:si>
  <x:si>
    <x:t xml:space="preserve">Baseline técnica aprobada</x:t>
  </x:si>
  <x:si>
    <x:t xml:space="preserve">T04</x:t>
  </x:si>
  <x:si>
    <x:t xml:space="preserve">Abastecimiento</x:t>
  </x:si>
  <x:si>
    <x:t xml:space="preserve">Relevamiento de laboratorios y proveedores</x:t>
  </x:si>
  <x:si>
    <x:t xml:space="preserve">Alternativas y responsables</x:t>
  </x:si>
  <x:si>
    <x:t xml:space="preserve">T05</x:t>
  </x:si>
  <x:si>
    <x:t xml:space="preserve">Especificaciones, cotizaciones y plan de compras</x:t>
  </x:si>
  <x:si>
    <x:t xml:space="preserve">Ing. + compras</x:t>
  </x:si>
  <x:si>
    <x:t xml:space="preserve">T03,T04</x:t>
  </x:si>
  <x:si>
    <x:t xml:space="preserve">Órdenes y contingencias definidas</x:t>
  </x:si>
  <x:si>
    <x:t xml:space="preserve">H1</x:t>
  </x:si>
  <x:si>
    <x:t xml:space="preserve">Hito: arquitectura y protocolos aprobados</x:t>
  </x:si>
  <x:si>
    <x:t xml:space="preserve">Comité del proyecto</x:t>
  </x:si>
  <x:si>
    <x:t xml:space="preserve">T02,T03,T05</x:t>
  </x:si>
  <x:si>
    <x:t xml:space="preserve">Hito</x:t>
  </x:si>
  <x:si>
    <x:t xml:space="preserve">Acta de revisión</x:t>
  </x:si>
  <x:si>
    <x:t xml:space="preserve">◆</x:t>
  </x:si>
  <x:si>
    <x:t xml:space="preserve">T06</x:t>
  </x:si>
  <x:si>
    <x:t xml:space="preserve">Compras, importación, despacho y recepción</x:t>
  </x:si>
  <x:si>
    <x:t xml:space="preserve">Compras/administración</x:t>
  </x:si>
  <x:si>
    <x:t xml:space="preserve">Materiales disponibles</x:t>
  </x:si>
  <x:si>
    <x:t xml:space="preserve">T07</x:t>
  </x:si>
  <x:si>
    <x:t xml:space="preserve">Biosensor</x:t>
  </x:si>
  <x:si>
    <x:t xml:space="preserve">Parche, reactivos, MIP y calibración preliminar</x:t>
  </x:si>
  <x:si>
    <x:t xml:space="preserve">Ing. + laboratorio</x:t>
  </x:si>
  <x:si>
    <x:t xml:space="preserve">Subsistema ensayable</x:t>
  </x:si>
  <x:si>
    <x:t xml:space="preserve">T08</x:t>
  </x:si>
  <x:si>
    <x:t xml:space="preserve">Electrónica</x:t>
  </x:si>
  <x:si>
    <x:t xml:space="preserve">PCB, alimentación, firmware y BLE</x:t>
  </x:si>
  <x:si>
    <x:t xml:space="preserve">Ing. embebidos</x:t>
  </x:si>
  <x:si>
    <x:t xml:space="preserve">T09</x:t>
  </x:si>
  <x:si>
    <x:t xml:space="preserve">Software</x:t>
  </x:si>
  <x:si>
    <x:t xml:space="preserve">Aplicación, datos y modelos iniciales</x:t>
  </x:si>
  <x:si>
    <x:t xml:space="preserve">Ing. software/IA</x:t>
  </x:si>
  <x:si>
    <x:t xml:space="preserve">Flujo de datos operativo</x:t>
  </x:si>
  <x:si>
    <x:t xml:space="preserve">T10</x:t>
  </x:si>
  <x:si>
    <x:t xml:space="preserve">QA</x:t>
  </x:si>
  <x:si>
    <x:t xml:space="preserve">Protocolos y criterios de aceptación</x:t>
  </x:si>
  <x:si>
    <x:t xml:space="preserve">QA/técnico</x:t>
  </x:si>
  <x:si>
    <x:t xml:space="preserve">Pruebas aprobadas antes de ejecutar</x:t>
  </x:si>
  <x:si>
    <x:t xml:space="preserve">H2</x:t>
  </x:si>
  <x:si>
    <x:t xml:space="preserve">Integración</x:t>
  </x:si>
  <x:si>
    <x:t xml:space="preserve">Hito: prototipos de subsistemas</x:t>
  </x:si>
  <x:si>
    <x:t xml:space="preserve">Equipo completo</x:t>
  </x:si>
  <x:si>
    <x:t xml:space="preserve">T06-T10</x:t>
  </x:si>
  <x:si>
    <x:t xml:space="preserve">Evidencia de cada subsistema</x:t>
  </x:si>
  <x:si>
    <x:t xml:space="preserve">T11</x:t>
  </x:si>
  <x:si>
    <x:t xml:space="preserve">Prototipo integrado V1</x:t>
  </x:si>
  <x:si>
    <x:t xml:space="preserve">Adquisición y enlace extremo a extremo</x:t>
  </x:si>
  <x:si>
    <x:t xml:space="preserve">H3</x:t>
  </x:si>
  <x:si>
    <x:t xml:space="preserve">Hito: prototipo integrado intermedio</x:t>
  </x:si>
  <x:si>
    <x:t xml:space="preserve">Revisión de fallas y alcance</x:t>
  </x:si>
  <x:si>
    <x:t xml:space="preserve">T12</x:t>
  </x:si>
  <x:si>
    <x:t xml:space="preserve">Validación</x:t>
  </x:si>
  <x:si>
    <x:t xml:space="preserve">Pruebas funcionales e integración</x:t>
  </x:si>
  <x:si>
    <x:t xml:space="preserve">QA + equipo</x:t>
  </x:si>
  <x:si>
    <x:t xml:space="preserve">Resultados contra criterios</x:t>
  </x:si>
  <x:si>
    <x:t xml:space="preserve">T13</x:t>
  </x:si>
  <x:si>
    <x:t xml:space="preserve">Autonomía, memoria, BLE y recuperación de datos</x:t>
  </x:si>
  <x:si>
    <x:t xml:space="preserve">QA + embebidos</x:t>
  </x:si>
  <x:si>
    <x:t xml:space="preserve">7 días y 24 h verificados o limitados</x:t>
  </x:si>
  <x:si>
    <x:t xml:space="preserve">T14</x:t>
  </x:si>
  <x:si>
    <x:t xml:space="preserve">Montaje, robustez y recambio del parche</x:t>
  </x:si>
  <x:si>
    <x:t xml:space="preserve">QA + mecánica</x:t>
  </x:si>
  <x:si>
    <x:t xml:space="preserve">Desvíos y ajustes registrados</x:t>
  </x:si>
  <x:si>
    <x:t xml:space="preserve">T15</x:t>
  </x:si>
  <x:si>
    <x:t xml:space="preserve">Calibración, interferencias y repetibilidad</x:t>
  </x:si>
  <x:si>
    <x:t xml:space="preserve">Laboratorio + QA</x:t>
  </x:si>
  <x:si>
    <x:t xml:space="preserve">Informe técnico</x:t>
  </x:si>
  <x:si>
    <x:t xml:space="preserve">T16</x:t>
  </x:si>
  <x:si>
    <x:t xml:space="preserve">Iteración</x:t>
  </x:si>
  <x:si>
    <x:t xml:space="preserve">Correcciones y prototipo V2 / candidato a MVP</x:t>
  </x:si>
  <x:si>
    <x:t xml:space="preserve">T12-T15</x:t>
  </x:si>
  <x:si>
    <x:t xml:space="preserve">Criterios críticos satisfechos</x:t>
  </x:si>
  <x:si>
    <x:t xml:space="preserve">H4</x:t>
  </x:si>
  <x:si>
    <x:t xml:space="preserve">Producto</x:t>
  </x:si>
  <x:si>
    <x:t xml:space="preserve">Hito: candidato a MVP</x:t>
  </x:si>
  <x:si>
    <x:t xml:space="preserve">Revisión de aceptación</x:t>
  </x:si>
  <x:si>
    <x:t xml:space="preserve">T17</x:t>
  </x:si>
  <x:si>
    <x:t xml:space="preserve">Validación funcional y técnica final</x:t>
  </x:si>
  <x:si>
    <x:t xml:space="preserve">QA independiente</x:t>
  </x:si>
  <x:si>
    <x:t xml:space="preserve">Acta de aceptación técnica</x:t>
  </x:si>
  <x:si>
    <x:t xml:space="preserve">T18</x:t>
  </x:si>
  <x:si>
    <x:t xml:space="preserve">Industrialización</x:t>
  </x:si>
  <x:si>
    <x:t xml:space="preserve">Diseño congelado, QA y documentación de producción</x:t>
  </x:si>
  <x:si>
    <x:t xml:space="preserve">Ing. + QA</x:t>
  </x:si>
  <x:si>
    <x:t xml:space="preserve">Paquete de producción</x:t>
  </x:si>
  <x:si>
    <x:t xml:space="preserve">T19</x:t>
  </x:si>
  <x:si>
    <x:t xml:space="preserve">Operación</x:t>
  </x:si>
  <x:si>
    <x:t xml:space="preserve">Manual, soporte, entrenamiento y solución de problemas</x:t>
  </x:si>
  <x:si>
    <x:t xml:space="preserve">Documentación entregable</x:t>
  </x:si>
  <x:si>
    <x:t xml:space="preserve">T20</x:t>
  </x:si>
  <x:si>
    <x:t xml:space="preserve">Comercial</x:t>
  </x:si>
  <x:si>
    <x:t xml:space="preserve">Acuerdos con clínicas y preparación del año 2</x:t>
  </x:si>
  <x:si>
    <x:t xml:space="preserve">Comercial + legal</x:t>
  </x:si>
  <x:si>
    <x:t xml:space="preserve">Embudo y acuerdos documentados</x:t>
  </x:si>
  <x:si>
    <x:t xml:space="preserve">H5</x:t>
  </x:si>
  <x:si>
    <x:t xml:space="preserve">Hito: MVP aceptado y cierre del año 1</x:t>
  </x:si>
  <x:si>
    <x:t xml:space="preserve">Sponsor/comité</x:t>
  </x:si>
  <x:si>
    <x:t xml:space="preserve">T17-T20</x:t>
  </x:si>
  <x:si>
    <x:t xml:space="preserve">Entrega y retrospectiva</x:t>
  </x:si>
  <x:si>
    <x:t xml:space="preserve">Cadencia ágil</x:t>
  </x:si>
  <x:si>
    <x:t xml:space="preserve">26 sprints quincenales con planificación, demostración, revisión de riesgos y retrospectiva. El Gantt gobierna dependencias externas; el backlog gobierna el trabajo técnico.</x:t>
  </x:si>
  <x:si>
    <x:t xml:space="preserve">Epic</x:t>
  </x:si>
  <x:si>
    <x:t xml:space="preserve">Historia / necesidad</x:t>
  </x:si>
  <x:si>
    <x:t xml:space="preserve">Criterio de aceptación</x:t>
  </x:si>
  <x:si>
    <x:t xml:space="preserve">Trazabilidad</x:t>
  </x:si>
  <x:si>
    <x:t xml:space="preserve">Como equipo, queremos relacionar objetivos, requisitos, pruebas y entregables.</x:t>
  </x:si>
  <x:si>
    <x:t xml:space="preserve">Cada requisito tiene evidencia o limitación explícita.</x:t>
  </x:si>
  <x:si>
    <x:t xml:space="preserve">Sensado</x:t>
  </x:si>
  <x:si>
    <x:t xml:space="preserve">Como usuario, quiero que el parche y el lector adquieran las señales definidas.</x:t>
  </x:si>
  <x:si>
    <x:t xml:space="preserve">Se verifican adquisición, calibración e interferencias según protocolo.</x:t>
  </x:si>
  <x:si>
    <x:t xml:space="preserve">Conectividad</x:t>
  </x:si>
  <x:si>
    <x:t xml:space="preserve">Como usuario, quiero recuperar datos luego de una pérdida temporal de BLE.</x:t>
  </x:si>
  <x:si>
    <x:t xml:space="preserve">Buffer de 24 h y sincronización posterior demostrados.</x:t>
  </x:si>
  <x:si>
    <x:t xml:space="preserve">Autonomía</x:t>
  </x:si>
  <x:si>
    <x:t xml:space="preserve">Como usuario, quiero al menos siete días de uso normal.</x:t>
  </x:si>
  <x:si>
    <x:t xml:space="preserve">Perfil de consumo, capacidad y prueba de descarga documentados.</x:t>
  </x:si>
  <x:si>
    <x:t xml:space="preserve">Recambio</x:t>
  </x:si>
  <x:si>
    <x:t xml:space="preserve">Como usuario, quiero reemplazar el parche sin reemplazar la electrónica.</x:t>
  </x:si>
  <x:si>
    <x:t xml:space="preserve">Montaje guiado y prueba de recambio completados.</x:t>
  </x:si>
  <x:si>
    <x:t xml:space="preserve">Avisos</x:t>
  </x:si>
  <x:si>
    <x:t xml:space="preserve">Como usuario, quiero información contextual sin recomendaciones clínicas automáticas.</x:t>
  </x:si>
  <x:si>
    <x:t xml:space="preserve">Horizonte, incertidumbre y limitaciones visibles.</x:t>
  </x:si>
  <x:si>
    <x:t xml:space="preserve">Producción</x:t>
  </x:si>
  <x:si>
    <x:t xml:space="preserve">Como responsable de QA, quiero trazabilidad de lotes y controles.</x:t>
  </x:si>
  <x:si>
    <x:t xml:space="preserve">Registro de componentes, pruebas y aceptación por unidad.</x:t>
  </x:si>
  <x:si>
    <x:t xml:space="preserve">Como responsable del proyecto, quiero ventas explicadas por aliados y adopción.</x:t>
  </x:si>
  <x:si>
    <x:t xml:space="preserve">El flujo se conecta al embudo y a sus costos.</x:t>
  </x:si>
  <x:si>
    <x:t xml:space="preserve">Roadmap de explotación</x:t>
  </x:si>
  <x:si>
    <x:t xml:space="preserve">Período</x:t>
  </x:si>
  <x:si>
    <x:t xml:space="preserve">Objetivo</x:t>
  </x:si>
  <x:si>
    <x:t xml:space="preserve">Actividades principales</x:t>
  </x:si>
  <x:si>
    <x:t xml:space="preserve">Lanzamiento controlado</x:t>
  </x:si>
  <x:si>
    <x:t xml:space="preserve">Producción inicial, acuerdos con clínicas, soporte, QA de campo y validación del embudo comercial.</x:t>
  </x:si>
  <x:si>
    <x:t xml:space="preserve">Expansión y versión evolutiva 1</x:t>
  </x:si>
  <x:si>
    <x:t xml:space="preserve">Más aliados, mejoras de robustez y manufactura, revisión de costos y evidencia de uso.</x:t>
  </x:si>
  <x:si>
    <x:t xml:space="preserve">Escala y versión evolutiva 2</x:t>
  </x:si>
  <x:si>
    <x:t xml:space="preserve">Ampliación de capacidad y funcionalidades solo si la evidencia técnica y regulatoria lo permite.</x:t>
  </x:si>
  <x:si>
    <x:t xml:space="preserve">Años 2 a 4: Kanban comercial/operativo y objetivos trimestrales</x:t>
  </x:si>
  <x:si>
    <x:t xml:space="preserve">El tablero se revisa semanalmente; las metas trimestrales se reconcilian con el escenario activo del plan comercial y con el flujo de fondos.</x:t>
  </x:si>
  <x:si>
    <x:t xml:space="preserve">Columnas del tablero Kanban</x:t>
  </x:si>
  <x:si>
    <x:t xml:space="preserve">Backlog</x:t>
  </x:si>
  <x:si>
    <x:t xml:space="preserve">Prospectado</x:t>
  </x:si>
  <x:si>
    <x:t xml:space="preserve">Contactado</x:t>
  </x:si>
  <x:si>
    <x:t xml:space="preserve">Reunión</x:t>
  </x:si>
  <x:si>
    <x:t xml:space="preserve">Acuerdo</x:t>
  </x:si>
  <x:si>
    <x:t xml:space="preserve">Aliado activo</x:t>
  </x:si>
  <x:si>
    <x:t xml:space="preserve">Seguimiento</x:t>
  </x:si>
  <x:si>
    <x:t xml:space="preserve">Cada tarjeta conserva responsable, próxima acción, fecha objetivo, evidencia y desvío; ningún acuerdo avanza a activo sin onboarding registrado.</x:t>
  </x:si>
  <x:si>
    <x:t xml:space="preserve">Frentes paralelos</x:t>
  </x:si>
  <x:si>
    <x:t xml:space="preserve">Cadencia</x:t>
  </x:si>
  <x:si>
    <x:t xml:space="preserve">Médicos</x:t>
  </x:si>
  <x:si>
    <x:t xml:space="preserve">Activar el canal principal</x:t>
  </x:si>
  <x:si>
    <x:t xml:space="preserve">Semanal</x:t>
  </x:si>
  <x:si>
    <x:t xml:space="preserve">Clínicas</x:t>
  </x:si>
  <x:si>
    <x:t xml:space="preserve">Demostraciones y acuerdos institucionales</x:t>
  </x:si>
  <x:si>
    <x:t xml:space="preserve">Proveedores y producción</x:t>
  </x:si>
  <x:si>
    <x:t xml:space="preserve">Cumplir volumen, costo y calidad</x:t>
  </x:si>
  <x:si>
    <x:t xml:space="preserve">Quincenal</x:t>
  </x:si>
  <x:si>
    <x:t xml:space="preserve">Inventario y logística</x:t>
  </x:si>
  <x:si>
    <x:t xml:space="preserve">Evitar quiebres y excedentes</x:t>
  </x:si>
  <x:si>
    <x:t xml:space="preserve">Soporte y QA de campo</x:t>
  </x:si>
  <x:si>
    <x:t xml:space="preserve">Resolver incidentes y capturar evidencia</x:t>
  </x:si>
  <x:si>
    <x:t xml:space="preserve">Mejoras del producto</x:t>
  </x:si>
  <x:si>
    <x:t xml:space="preserve">Priorizar evidencia y uso real</x:t>
  </x:si>
  <x:si>
    <x:t xml:space="preserve">Sprint</x:t>
  </x:si>
  <x:si>
    <x:t xml:space="preserve">Revisión regulatoria</x:t>
  </x:si>
  <x:si>
    <x:t xml:space="preserve">Mantener límites y requisitos vigentes</x:t>
  </x:si>
  <x:si>
    <x:t xml:space="preserve">Trimestral</x:t>
  </x:si>
  <x:si>
    <x:t xml:space="preserve">Metas trimestrales vinculadas al escenario activo</x:t>
  </x:si>
  <x:si>
    <x:t xml:space="preserve">Año</x:t>
  </x:si>
  <x:si>
    <x:t xml:space="preserve">Trimestre</x:t>
  </x:si>
  <x:si>
    <x:t xml:space="preserve">Aliados acumulados</x:t>
  </x:si>
  <x:si>
    <x:t xml:space="preserve">Ventas de kits</x:t>
  </x:si>
  <x:si>
    <x:t xml:space="preserve">Producción bruta</x:t>
  </x:si>
  <x:si>
    <x:t xml:space="preserve">Retención</x:t>
  </x:si>
  <x:si>
    <x:t xml:space="preserve">Soporte (h)</x:t>
  </x:si>
  <x:si>
    <x:t xml:space="preserve">T1</x:t>
  </x:si>
  <x:si>
    <x:t xml:space="preserve">Metas revisadas; 100% de desvíos críticos con responsable y fecha</x:t>
  </x:si>
  <x:si>
    <x:t xml:space="preserve">T2</x:t>
  </x:si>
  <x:si>
    <x:t xml:space="preserve">T3</x:t>
  </x:si>
  <x:si>
    <x:t xml:space="preserve">T4</x:t>
  </x:si>
  <x:si>
    <x:t xml:space="preserve">La producción bruta incluye la merma y concilia con el volumen anual del flujo; los demostradores y el onboarding comienzan únicamente en el año 2.</x:t>
  </x:si>
  <x:si>
    <x:t xml:space="preserve">Plan comercial por clínicas y profesionales</x:t>
  </x:si>
  <x:si>
    <x:t xml:space="preserve">Escenario activo (1-3)</x:t>
  </x:si>
  <x:si>
    <x:t xml:space="preserve">Caso seleccionado</x:t>
  </x:si>
  <x:si>
    <x:t xml:space="preserve">Embudo de adopción</x:t>
  </x:si>
  <x:si>
    <x:t xml:space="preserve">Driver</x:t>
  </x:si>
  <x:si>
    <x:t xml:space="preserve">Escenario</x:t>
  </x:si>
  <x:si>
    <x:t xml:space="preserve">Clínicas/profesionales aliados</x:t>
  </x:si>
  <x:si>
    <x:t xml:space="preserve">Selección activa</x:t>
  </x:si>
  <x:si>
    <x:t xml:space="preserve">Conservador</x:t>
  </x:si>
  <x:si>
    <x:t xml:space="preserve">Base</x:t>
  </x:si>
  <x:si>
    <x:t xml:space="preserve">Expansivo</x:t>
  </x:si>
  <x:si>
    <x:t xml:space="preserve">Pacientes alcanzables por aliado/año</x:t>
  </x:si>
  <x:si>
    <x:t xml:space="preserve">Tasa de adopción sobre pacientes alcanzados</x:t>
  </x:si>
  <x:si>
    <x:t xml:space="preserve">Ventas de kits resultantes</x:t>
  </x:si>
  <x:si>
    <x:t xml:space="preserve">Mercado de referencia argentino</x:t>
  </x:si>
  <x:si>
    <x:t xml:space="preserve">Participación sobre mercado de referencia</x:t>
  </x:si>
  <x:si>
    <x:t xml:space="preserve">Comparación de ventas por escenario</x:t>
  </x:si>
  <x:si>
    <x:t xml:space="preserve">Notas y fuentes</x:t>
  </x:si>
  <x:si>
    <x:t xml:space="preserve">El mercado de referencia de 4 millones surge de la extrapolación documentada en el informe a partir del IDF Diabetes Atlas; no equivale al mercado accesible.</x:t>
  </x:si>
  <x:si>
    <x:t xml:space="preserve">Las ventas se derivan de aliados, alcance y adopción. Todos los valores son supuestos editables que deben validarse con entrevistas y acuerdos reales.</x:t>
  </x:si>
  <x:si>
    <x:t xml:space="preserve">Los pagos de canal representan servicios de comercialización y soporte institucional; no se pagan decisiones o derivaciones clínicas.</x:t>
  </x:si>
  <x:si>
    <x:t xml:space="preserve">Canales de adquisición y costos de activación</x:t>
  </x:si>
  <x:si>
    <x:t xml:space="preserve">Tarifa / criterio</x:t>
  </x:si>
  <x:si>
    <x:t xml:space="preserve">Médicos aliados - selección activa</x:t>
  </x:si>
  <x:si>
    <x:t xml:space="preserve">Clínicas aliadas - selección activa</x:t>
  </x:si>
  <x:si>
    <x:t xml:space="preserve">Médicos aliados - base aprobada</x:t>
  </x:si>
  <x:si>
    <x:t xml:space="preserve">Clínicas aliadas - base aprobada</x:t>
  </x:si>
  <x:si>
    <x:t xml:space="preserve">Prospectos médicos calificados</x:t>
  </x:si>
  <x:si>
    <x:t xml:space="preserve">Conversión de prospectos médicos</x:t>
  </x:si>
  <x:si>
    <x:t xml:space="preserve">Prospectos de clínicas calificadas</x:t>
  </x:si>
  <x:si>
    <x:t xml:space="preserve">Conversión de prospectos de clínicas</x:t>
  </x:si>
  <x:si>
    <x:t xml:space="preserve">Kits demostradores (uno por clínica)</x:t>
  </x:si>
  <x:si>
    <x:t xml:space="preserve">Onboarding de médicos (USD)</x:t>
  </x:si>
  <x:si>
    <x:t xml:space="preserve">Onboarding de clínicas (USD)</x:t>
  </x:si>
  <x:si>
    <x:t xml:space="preserve">Onboarding total (USD)</x:t>
  </x:si>
  <x:si>
    <x:t xml:space="preserve">Acciones del canal</x:t>
  </x:si>
  <x:si>
    <x:t xml:space="preserve">Etapa</x:t>
  </x:si>
  <x:si>
    <x:t xml:space="preserve">Evidencia de cierre</x:t>
  </x:si>
  <x:si>
    <x:t xml:space="preserve">Construcción de base</x:t>
  </x:si>
  <x:si>
    <x:t xml:space="preserve">Registro calificado con fuente y contacto</x:t>
  </x:si>
  <x:si>
    <x:t xml:space="preserve">Prioridad principal</x:t>
  </x:si>
  <x:si>
    <x:t xml:space="preserve">Instituciones objetivo</x:t>
  </x:si>
  <x:si>
    <x:t xml:space="preserve">Contacto</x:t>
  </x:si>
  <x:si>
    <x:t xml:space="preserve">Respuesta o siguiente acción registrada</x:t>
  </x:si>
  <x:si>
    <x:t xml:space="preserve">Contacto individual</x:t>
  </x:si>
  <x:si>
    <x:t xml:space="preserve">Contacto institucional</x:t>
  </x:si>
  <x:si>
    <x:t xml:space="preserve">Necesidad, alcance y objeciones documentadas</x:t>
  </x:si>
  <x:si>
    <x:t xml:space="preserve">Entrevista breve</x:t>
  </x:si>
  <x:si>
    <x:t xml:space="preserve">Reunión con decisores</x:t>
  </x:si>
  <x:si>
    <x:t xml:space="preserve">Comercial + producto</x:t>
  </x:si>
  <x:si>
    <x:t xml:space="preserve">Presentación</x:t>
  </x:si>
  <x:si>
    <x:t xml:space="preserve">Demostración y límites de uso comunicados</x:t>
  </x:si>
  <x:si>
    <x:t xml:space="preserve">Material clínico</x:t>
  </x:si>
  <x:si>
    <x:t xml:space="preserve">Kit demostrador</x:t>
  </x:si>
  <x:si>
    <x:t xml:space="preserve">Producto + regulatorio</x:t>
  </x:si>
  <x:si>
    <x:t xml:space="preserve">Condiciones comerciales y soporte aprobados</x:t>
  </x:si>
  <x:si>
    <x:t xml:space="preserve">Acuerdo de colaboración</x:t>
  </x:si>
  <x:si>
    <x:t xml:space="preserve">Acuerdo institucional</x:t>
  </x:si>
  <x:si>
    <x:t xml:space="preserve">Legal + comercial</x:t>
  </x:si>
  <x:si>
    <x:t xml:space="preserve">Capacitación</x:t>
  </x:si>
  <x:si>
    <x:t xml:space="preserve">Asistencia y guía entregada</x:t>
  </x:si>
  <x:si>
    <x:t xml:space="preserve">Onboarding USD 75</x:t>
  </x:si>
  <x:si>
    <x:t xml:space="preserve">Onboarding USD 300</x:t>
  </x:si>
  <x:si>
    <x:t xml:space="preserve">Soporte</x:t>
  </x:si>
  <x:si>
    <x:t xml:space="preserve">Actividad, pacientes, soporte y desvíos revisados</x:t>
  </x:si>
  <x:si>
    <x:t xml:space="preserve">Cadencia mensual</x:t>
  </x:si>
  <x:si>
    <x:t xml:space="preserve">Comercial + QA</x:t>
  </x:si>
  <x:si>
    <x:t xml:space="preserve">Notas del canal</x:t>
  </x:si>
  <x:si>
    <x:t xml:space="preserve">En el escenario base, los prospectos son 90/175/280 médicos y 35/75/120 clínicas, ambos con conversión del 20%.</x:t>
  </x:si>
  <x:si>
    <x:t xml:space="preserve">Los médicos constituyen el canal principal; las clínicas concentran demostraciones, acuerdos institucionales y onboarding.</x:t>
  </x:si>
  <x:si>
    <x:t xml:space="preserve">Los demostradores se entregan desde el año 2 y están vinculados a producción, merma, importación e inventario.</x:t>
  </x:si>
  <x:si>
    <x:t xml:space="preserve">No se modelan pagos por decisiones ni derivaciones clínicas. El 8% variable remunera comercialización, soporte institucional y cobranza.</x:t>
  </x:si>
  <x:si>
    <x:t xml:space="preserve">Resumen informativo. La hoja Flujo de caja sigue siendo la fuente financiera autoritativa.</x:t>
  </x:si>
  <x:si>
    <x:t xml:space="preserve">Área</x:t>
  </x:si>
  <x:si>
    <x:t xml:space="preserve">Cambio realizado</x:t>
  </x:si>
  <x:si>
    <x:t xml:space="preserve">Resultado final</x:t>
  </x:si>
  <x:si>
    <x:t xml:space="preserve">Evidencia en el libro</x:t>
  </x:si>
  <x:si>
    <x:t xml:space="preserve">Planificación</x:t>
  </x:si>
  <x:si>
    <x:t xml:space="preserve">Se reemplazó el desarrollo corto por dotación anual full-time y metodología híbrida.</x:t>
  </x:si>
  <x:si>
    <x:t xml:space="preserve">4 FTE · 12 meses · 26 sprints · 7.680 h</x:t>
  </x:si>
  <x:si>
    <x:t xml:space="preserve">Plan 12 meses</x:t>
  </x:si>
  <x:si>
    <x:t xml:space="preserve">Alcance</x:t>
  </x:si>
  <x:si>
    <x:t xml:space="preserve">Se separaron prototipo intermedio, candidato a MVP y MVP aceptado.</x:t>
  </x:si>
  <x:si>
    <x:t xml:space="preserve">Mes 7 · mes 10 · mes 12</x:t>
  </x:si>
  <x:si>
    <x:t xml:space="preserve">FODA y riesgos</x:t>
  </x:si>
  <x:si>
    <x:t xml:space="preserve">Las fortalezas ahora son capacidades internas; integración/calibración se gestiona como riesgo.</x:t>
  </x:si>
  <x:si>
    <x:t xml:space="preserve">Rúbrica verificable y seguimiento por hitos</x:t>
  </x:si>
  <x:si>
    <x:t xml:space="preserve">Informe LaTeX</x:t>
  </x:si>
  <x:si>
    <x:t xml:space="preserve">Costeo</x:t>
  </x:si>
  <x:si>
    <x:t xml:space="preserve">Se eliminó el recargo general y se trazaron armado, programación, prueba y registro.</x:t>
  </x:si>
  <x:si>
    <x:t xml:space="preserve">Lector USD 6,08 · pulsera USD 5,10 · parche USD 4,08</x:t>
  </x:si>
  <x:si>
    <x:t xml:space="preserve">Flujo de caja · filas 64–86</x:t>
  </x:si>
  <x:si>
    <x:t xml:space="preserve">Preserie año 1</x:t>
  </x:si>
  <x:si>
    <x:t xml:space="preserve">Se excluyó la mano de obra ya cubierta por los cuatro FTE.</x:t>
  </x:si>
  <x:si>
    <x:t xml:space="preserve">Directo USD 87,20 · import./logística USD 64,03 · total USD 17.103,06</x:t>
  </x:si>
  <x:si>
    <x:t xml:space="preserve">Flujo de caja · filas 82–86</x:t>
  </x:si>
  <x:si>
    <x:t xml:space="preserve">Importación</x:t>
  </x:si>
  <x:si>
    <x:t xml:space="preserve">Se reemplazó la provisión fija por una carga académica sobre CIF y partidas separadas.</x:t>
  </x:si>
  <x:si>
    <x:t xml:space="preserve">45% del CIF · posición arancelaria a verificar</x:t>
  </x:si>
  <x:si>
    <x:t xml:space="preserve">Flujo de caja · filas 64–80</x:t>
  </x:si>
  <x:si>
    <x:t xml:space="preserve">Modelo comercial</x:t>
  </x:si>
  <x:si>
    <x:t xml:space="preserve">Las ventas se vincularon a aliados, pacientes alcanzables y adopción.</x:t>
  </x:si>
  <x:si>
    <x:t xml:space="preserve">300 / 800 / 1.680 kits</x:t>
  </x:si>
  <x:si>
    <x:t xml:space="preserve">Plan comercial</x:t>
  </x:si>
  <x:si>
    <x:t xml:space="preserve">Canales</x:t>
  </x:si>
  <x:si>
    <x:t xml:space="preserve">Se priorizaron médicos y se reservaron clínicas para demos y acuerdos institucionales.</x:t>
  </x:si>
  <x:si>
    <x:t xml:space="preserve">Médicos 18/35/56 · clínicas 7/15/24</x:t>
  </x:si>
  <x:si>
    <x:t xml:space="preserve">Plan comercial · filas 52–81</x:t>
  </x:si>
  <x:si>
    <x:t xml:space="preserve">Se mantuvo como etapa de desarrollo e inversión sin ventas ni demostradores.</x:t>
  </x:si>
  <x:si>
    <x:t xml:space="preserve">Presupuesto y capital mínimo USD 228.303,06</x:t>
  </x:si>
  <x:si>
    <x:t xml:space="preserve">Flujo de caja</x:t>
  </x:si>
  <x:si>
    <x:t xml:space="preserve">Viabilidad</x:t>
  </x:si>
  <x:si>
    <x:t xml:space="preserve">Se recalcularon resultados sin aumentar artificialmente las ventas.</x:t>
  </x:si>
  <x:si>
    <x:t xml:space="preserve">VAN USD 103.250,74 · TIR 36,83%</x:t>
  </x:si>
  <x:si>
    <x:t xml:space="preserve">Flujo de caja · indicadores</x:t>
  </x:si>
  <x:si>
    <x:t xml:space="preserve">Verificación</x:t>
  </x:si>
  <x:si>
    <x:t xml:space="preserve">Se probaron escenarios y sensibilidades y se restauró el caso base.</x:t>
  </x:si>
  <x:si>
    <x:t xml:space="preserve">0 errores de fórmula</x:t>
  </x:si>
  <x:si>
    <x:t xml:space="preserve">Escaneo del libro y matriz de trazabilidad</x:t>
  </x:si>
  <x:si>
    <x:t xml:space="preserve">Compatibilidad</x:t>
  </x:si>
  <x:si>
    <x:t xml:space="preserve">Se normalizaron las fechas financieras para Excel y Google Sheets.</x:t>
  </x:si>
  <x:si>
    <x:t xml:space="preserve">Fechas diferenciadas · formato dd/mm/aaaa · XIRR con estimación inicial</x:t>
  </x:si>
  <x:si>
    <x:t xml:space="preserve">Flujo de caja · filas 153–181</x:t>
  </x:si>
  <x:si>
    <x:t xml:space="preserve">Última conciliación: 22/10/2026 · Excel e informe usan las mismas cifras base.</x:t>
  </x:si>
</x:sst>
</file>

<file path=xl/styles.xml><?xml version="1.0" encoding="utf-8"?>
<x:styleSheet xmlns:x="http://schemas.openxmlformats.org/spreadsheetml/2006/main">
  <x:numFmts count="13">
    <x:numFmt numFmtId="164" formatCode="[$$]#,##0.00"/>
    <x:numFmt numFmtId="165" formatCode="#,##0.00;(#,##0.00);&quot;-&quot;"/>
    <x:numFmt numFmtId="166" formatCode="#,##0.00;[Red](#,##0.00);-"/>
    <x:numFmt numFmtId="167" formatCode="0.0%"/>
    <x:numFmt numFmtId="168" formatCode="#,##0;[Red](#,##0);-"/>
    <x:numFmt numFmtId="169" formatCode="$#,##0.00;[Red]($#,##0.00);-"/>
    <x:numFmt numFmtId="170" formatCode="dd/mm/yyyy"/>
    <x:numFmt numFmtId="171" formatCode="dd-mmm-yy"/>
    <x:numFmt numFmtId="172" formatCode="&quot;M&quot;0"/>
    <x:numFmt numFmtId="173" formatCode="0.000%"/>
    <x:numFmt numFmtId="174" formatCode="&quot;$&quot;#,##0"/>
    <x:numFmt numFmtId="200" formatCode="#,##0.00"/>
    <x:numFmt numFmtId="201" formatCode="0.00%"/>
  </x:numFmts>
  <x:fonts count="22">
    <x:font>
      <x:sz val="10"/>
      <x:color rgb="FF000000"/>
      <x:name val="Arial"/>
      <x:scheme val="minor"/>
    </x:font>
    <x:font>
      <x:b/>
      <x:sz val="14"/>
      <x:color rgb="FF1F4E78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color theme="1"/>
      <x:name val="Arial"/>
    </x:font>
    <x:font>
      <x:sz val="10"/>
      <x:color rgb="FF262626"/>
      <x:name val="Arial"/>
    </x:font>
    <x:font>
      <x:b/>
      <x:sz val="10"/>
      <x:color rgb="FF262626"/>
      <x:name val="Arial"/>
    </x:font>
    <x:font>
      <x:sz val="10"/>
      <x:color rgb="FF0000FF"/>
      <x:name val="Arial"/>
    </x:font>
    <x:font>
      <x:i/>
      <x:sz val="9"/>
      <x:color rgb="FF666666"/>
      <x:name val="Arial"/>
    </x:font>
    <x:font>
      <x:b/>
      <x:sz val="10"/>
      <x:color rgb="FF0000FF"/>
      <x:name val="Arial"/>
    </x:font>
    <x:font>
      <x:b/>
      <x:i/>
      <x:sz val="9"/>
      <x:color rgb="FF666666"/>
      <x:name val="Arial"/>
    </x:font>
    <x:font>
      <x:sz val="10"/>
      <x:color rgb="FF000000"/>
      <x:name val="Arial"/>
    </x:font>
    <x:font>
      <x:sz val="9"/>
      <x:color rgb="FF1F1F1F"/>
      <x:name val="Arial"/>
    </x:font>
    <x:font>
      <x:b/>
      <x:sz val="10"/>
      <x:color rgb="FF4472C4"/>
      <x:name val="Arial"/>
    </x:font>
    <x:font>
      <x:b/>
      <x:sz val="10"/>
      <x:color rgb="FFC65911"/>
      <x:name val="Arial"/>
    </x:font>
    <x:font>
      <x:b/>
      <x:sz val="9"/>
      <x:color rgb="FF1F1F1F"/>
      <x:name val="Arial"/>
    </x:font>
    <x:font/>
    <x:font>
      <x:b/>
      <x:sz val="10"/>
      <x:color rgb="FF008000"/>
      <x:name val="Arial"/>
    </x:font>
    <x:font>
      <x:b/>
      <x:sz val="15"/>
      <x:color rgb="FFFFFFFF"/>
      <x:name val="Arial"/>
    </x:font>
    <x:font>
      <x:i/>
      <x:sz val="9"/>
      <x:color rgb="FF555555"/>
      <x:name val="Arial"/>
    </x:font>
    <x:font>
      <x:sz val="10"/>
      <x:color rgb="FFFFFFFF"/>
      <x:name val="Arial"/>
      <x:scheme val="minor"/>
    </x:font>
  </x:fonts>
  <x:fills count="15">
    <x:fill>
      <x:patternFill patternType="none"/>
    </x:fill>
    <x:fill>
      <x:patternFill patternType="lightGray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CFE2F3"/>
      </x:patternFill>
    </x:fill>
    <x:fill>
      <x:patternFill patternType="solid">
        <x:fgColor rgb="FFFCE4D6"/>
      </x:patternFill>
    </x:fill>
    <x:fill>
      <x:patternFill patternType="solid">
        <x:fgColor rgb="FFFCE5CD"/>
      </x:patternFill>
    </x:fill>
    <x:fill>
      <x:patternFill patternType="solid">
        <x:fgColor rgb="FFB6D7A8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2E3F2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</x:fills>
  <x:borders count="2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</x:borders>
  <x:cellStyleXfs count="1">
    <x:xf numFmtId="0" fontId="0" fillId="0" borderId="0" applyFont="1" applyAlignment="1"/>
  </x:cellStyleXfs>
  <x:cellXfs count="154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horizontal="left" vertical="center" wrapText="0" shrinkToFit="0"/>
    </x:xf>
    <x:xf numFmtId="0" fontId="2" fillId="0" borderId="0" xfId="0" applyFont="1" applyAlignment="1">
      <x:alignment horizontal="left" vertical="center" wrapText="0" shrinkToFit="0"/>
    </x:xf>
    <x:xf numFmtId="164" fontId="2" fillId="0" borderId="0" xfId="0" applyNumberFormat="1" applyFont="1" applyAlignment="1">
      <x:alignment horizontal="right" vertical="center"/>
    </x:xf>
    <x:xf numFmtId="0" fontId="3" fillId="2" borderId="1" xfId="0" applyFont="1" applyFill="1" applyBorder="1" applyAlignment="1">
      <x:alignment horizontal="center" vertical="center" wrapText="0" shrinkToFit="0"/>
    </x:xf>
    <x:xf numFmtId="164" fontId="3" fillId="2" borderId="1" xfId="0" applyNumberFormat="1" applyFont="1" applyFill="1" applyBorder="1" applyAlignment="1">
      <x:alignment horizontal="center" vertical="center" wrapText="0" shrinkToFit="0"/>
    </x:xf>
    <x:xf numFmtId="49" fontId="3" fillId="2" borderId="1" xfId="0" applyNumberFormat="1" applyFont="1" applyFill="1" applyBorder="1" applyAlignment="1">
      <x:alignment horizontal="center" vertical="center" wrapText="0" shrinkToFit="0"/>
    </x:xf>
    <x:xf numFmtId="0" fontId="4" fillId="3" borderId="2" xfId="0" applyFont="1" applyFill="1" applyBorder="1" applyAlignment="1">
      <x:alignment horizontal="left" vertical="center" wrapText="0" shrinkToFit="0"/>
    </x:xf>
    <x:xf numFmtId="0" fontId="4" fillId="3" borderId="3" xfId="0" applyFont="1" applyFill="1" applyBorder="1" applyAlignment="1">
      <x:alignment horizontal="left" vertical="center" wrapText="0" shrinkToFit="0"/>
    </x:xf>
    <x:xf numFmtId="165" fontId="4" fillId="3" borderId="3" xfId="0" applyNumberFormat="1" applyFont="1" applyFill="1" applyBorder="1" applyAlignment="1">
      <x:alignment horizontal="right" vertical="center" wrapText="0" shrinkToFit="0"/>
    </x:xf>
    <x:xf numFmtId="165" fontId="4" fillId="3" borderId="4" xfId="0" applyNumberFormat="1" applyFont="1" applyFill="1" applyBorder="1" applyAlignment="1">
      <x:alignment horizontal="right" vertical="center" wrapText="0" shrinkToFit="0"/>
    </x:xf>
    <x:xf numFmtId="0" fontId="5" fillId="4" borderId="0" xfId="0" applyFont="1" applyFill="1"/>
    <x:xf numFmtId="0" fontId="4" fillId="0" borderId="0" xfId="0" applyFont="1" applyAlignment="1">
      <x:alignment horizontal="left" vertical="center" wrapText="0" shrinkToFit="0"/>
    </x:xf>
    <x:xf numFmtId="166" fontId="2" fillId="0" borderId="0" xfId="0" applyNumberFormat="1" applyFont="1" applyAlignment="1">
      <x:alignment horizontal="right" vertical="center" wrapText="0" shrinkToFit="0"/>
    </x:xf>
    <x:xf numFmtId="166" fontId="4" fillId="3" borderId="3" xfId="0" applyNumberFormat="1" applyFont="1" applyFill="1" applyBorder="1" applyAlignment="1">
      <x:alignment horizontal="right" vertical="center" wrapText="0" shrinkToFit="0"/>
    </x:xf>
    <x:xf numFmtId="166" fontId="4" fillId="3" borderId="4" xfId="0" applyNumberFormat="1" applyFont="1" applyFill="1" applyBorder="1" applyAlignment="1">
      <x:alignment horizontal="right" vertical="center" wrapText="0" shrinkToFit="0"/>
    </x:xf>
    <x:xf numFmtId="0" fontId="4" fillId="5" borderId="2" xfId="0" applyFont="1" applyFill="1" applyBorder="1" applyAlignment="1">
      <x:alignment horizontal="left" vertical="center" wrapText="0" shrinkToFit="0"/>
    </x:xf>
    <x:xf numFmtId="0" fontId="4" fillId="5" borderId="3" xfId="0" applyFont="1" applyFill="1" applyBorder="1" applyAlignment="1">
      <x:alignment horizontal="left" vertical="center" wrapText="0" shrinkToFit="0"/>
    </x:xf>
    <x:xf numFmtId="166" fontId="4" fillId="5" borderId="3" xfId="0" applyNumberFormat="1" applyFont="1" applyFill="1" applyBorder="1" applyAlignment="1">
      <x:alignment horizontal="right" vertical="center" wrapText="0" shrinkToFit="0"/>
    </x:xf>
    <x:xf numFmtId="166" fontId="4" fillId="5" borderId="4" xfId="0" applyNumberFormat="1" applyFont="1" applyFill="1" applyBorder="1" applyAlignment="1">
      <x:alignment horizontal="right" vertical="center" wrapText="0" shrinkToFit="0"/>
    </x:xf>
    <x:xf numFmtId="0" fontId="5" fillId="6" borderId="0" xfId="0" applyFont="1" applyFill="1"/>
    <x:xf numFmtId="166" fontId="4" fillId="0" borderId="0" xfId="0" applyNumberFormat="1" applyFont="1" applyAlignment="1">
      <x:alignment horizontal="right" vertical="center" wrapText="0" shrinkToFit="0"/>
    </x:xf>
    <x:xf numFmtId="0" fontId="2" fillId="7" borderId="0" xfId="0" applyFont="1" applyFill="1" applyAlignment="1">
      <x:alignment horizontal="left" vertical="center" wrapText="0" shrinkToFit="0"/>
    </x:xf>
    <x:xf numFmtId="166" fontId="2" fillId="7" borderId="0" xfId="0" applyNumberFormat="1" applyFont="1" applyFill="1" applyAlignment="1">
      <x:alignment horizontal="right" vertical="center" wrapText="0" shrinkToFit="0"/>
    </x:xf>
    <x:xf numFmtId="0" fontId="5" fillId="7" borderId="0" xfId="0" applyFont="1" applyFill="1"/>
    <x:xf numFmtId="166" fontId="2" fillId="0" borderId="0" xfId="0" applyNumberFormat="1" applyFont="1" applyAlignment="1">
      <x:alignment horizontal="right" vertical="center"/>
    </x:xf>
    <x:xf numFmtId="166" fontId="4" fillId="0" borderId="0" xfId="0" applyNumberFormat="1" applyFont="1" applyAlignment="1">
      <x:alignment horizontal="right" vertical="center"/>
    </x:xf>
    <x:xf numFmtId="166" fontId="4" fillId="3" borderId="3" xfId="0" applyNumberFormat="1" applyFont="1" applyFill="1" applyBorder="1" applyAlignment="1">
      <x:alignment horizontal="right" vertical="center"/>
    </x:xf>
    <x:xf numFmtId="166" fontId="4" fillId="3" borderId="4" xfId="0" applyNumberFormat="1" applyFont="1" applyFill="1" applyBorder="1" applyAlignment="1">
      <x:alignment horizontal="right" vertical="center"/>
    </x:xf>
    <x:xf numFmtId="10" fontId="4" fillId="0" borderId="0" xfId="0" applyNumberFormat="1" applyFont="1" applyAlignment="1">
      <x:alignment horizontal="right" vertical="center"/>
    </x:xf>
    <x:xf numFmtId="167" fontId="4" fillId="0" borderId="0" xfId="0" applyNumberFormat="1" applyFont="1" applyAlignment="1">
      <x:alignment horizontal="right" vertical="center"/>
    </x:xf>
    <x:xf numFmtId="168" fontId="2" fillId="0" borderId="0" xfId="0" applyNumberFormat="1" applyFont="1" applyAlignment="1">
      <x:alignment horizontal="right" vertical="center"/>
    </x:xf>
    <x:xf numFmtId="0" fontId="6" fillId="8" borderId="0" xfId="0" applyFont="1" applyFill="1" applyAlignment="1">
      <x:alignment horizontal="left" vertical="center" wrapText="0" shrinkToFit="0"/>
    </x:xf>
    <x:xf numFmtId="164" fontId="6" fillId="8" borderId="0" xfId="0" applyNumberFormat="1" applyFont="1" applyFill="1" applyAlignment="1">
      <x:alignment horizontal="right" vertical="center"/>
    </x:xf>
    <x:xf numFmtId="164" fontId="6" fillId="8" borderId="0" xfId="0" applyNumberFormat="1" applyFont="1" applyFill="1" applyAlignment="1">
      <x:alignment horizontal="right" vertical="center" wrapText="0" shrinkToFit="0"/>
    </x:xf>
    <x:xf numFmtId="0" fontId="6" fillId="8" borderId="0" xfId="0" applyFont="1" applyFill="1" applyAlignment="1">
      <x:alignment horizontal="right" vertical="center" wrapText="0" shrinkToFit="0"/>
    </x:xf>
    <x:xf numFmtId="164" fontId="4" fillId="3" borderId="3" xfId="0" applyNumberFormat="1" applyFont="1" applyFill="1" applyBorder="1" applyAlignment="1">
      <x:alignment horizontal="right" vertical="center"/>
    </x:xf>
    <x:xf numFmtId="0" fontId="7" fillId="9" borderId="5" xfId="0" applyFont="1" applyFill="1" applyBorder="1" applyAlignment="1">
      <x:alignment vertical="center" wrapText="0" shrinkToFit="0"/>
    </x:xf>
    <x:xf numFmtId="0" fontId="7" fillId="9" borderId="6" xfId="0" applyFont="1" applyFill="1" applyBorder="1" applyAlignment="1">
      <x:alignment vertical="center" wrapText="0" shrinkToFit="0"/>
    </x:xf>
    <x:xf numFmtId="0" fontId="7" fillId="9" borderId="7" xfId="0" applyFont="1" applyFill="1" applyBorder="1" applyAlignment="1">
      <x:alignment vertical="center" wrapText="0" shrinkToFit="0"/>
    </x:xf>
    <x:xf numFmtId="0" fontId="4" fillId="3" borderId="3" xfId="0" applyFont="1" applyFill="1" applyBorder="1" applyAlignment="1">
      <x:alignment horizontal="right" vertical="center" wrapText="0" shrinkToFit="0"/>
    </x:xf>
    <x:xf numFmtId="0" fontId="4" fillId="3" borderId="4" xfId="0" applyFont="1" applyFill="1" applyBorder="1" applyAlignment="1">
      <x:alignment horizontal="right" vertical="center" wrapText="0" shrinkToFit="0"/>
    </x:xf>
    <x:xf numFmtId="1" fontId="8" fillId="10" borderId="0" xfId="0" applyNumberFormat="1" applyFont="1" applyFill="1" applyAlignment="1">
      <x:alignment horizontal="right" vertical="center"/>
    </x:xf>
    <x:xf numFmtId="164" fontId="6" fillId="0" borderId="0" xfId="0" applyNumberFormat="1" applyFont="1" applyAlignment="1">
      <x:alignment horizontal="right" vertical="center"/>
    </x:xf>
    <x:xf numFmtId="2" fontId="8" fillId="10" borderId="0" xfId="0" applyNumberFormat="1" applyFont="1" applyFill="1" applyAlignment="1">
      <x:alignment horizontal="right" vertical="center"/>
    </x:xf>
    <x:xf numFmtId="2" fontId="6" fillId="0" borderId="0" xfId="0" applyNumberFormat="1" applyFont="1" applyAlignment="1">
      <x:alignment horizontal="right" vertical="center"/>
    </x:xf>
    <x:xf numFmtId="0" fontId="6" fillId="0" borderId="0" xfId="0" applyFont="1" applyAlignment="1">
      <x:alignment horizontal="right" vertical="center" wrapText="0" shrinkToFit="0"/>
    </x:xf>
    <x:xf numFmtId="169" fontId="8" fillId="10" borderId="0" xfId="0" applyNumberFormat="1" applyFont="1" applyFill="1" applyAlignment="1">
      <x:alignment horizontal="right" vertical="center" wrapText="0" shrinkToFit="0"/>
    </x:xf>
    <x:xf numFmtId="0" fontId="2" fillId="0" borderId="0" xfId="0" applyFont="1" applyAlignment="1">
      <x:alignment horizontal="right" vertical="center" wrapText="0" shrinkToFit="0"/>
    </x:xf>
    <x:xf numFmtId="165" fontId="6" fillId="0" borderId="0" xfId="0" applyNumberFormat="1" applyFont="1" applyAlignment="1">
      <x:alignment horizontal="right" vertical="center"/>
    </x:xf>
    <x:xf numFmtId="164" fontId="7" fillId="0" borderId="0" xfId="0" applyNumberFormat="1" applyFont="1" applyAlignment="1">
      <x:alignment horizontal="right" vertical="center"/>
    </x:xf>
    <x:xf numFmtId="2" fontId="7" fillId="0" borderId="0" xfId="0" applyNumberFormat="1" applyFont="1" applyAlignment="1">
      <x:alignment horizontal="right" vertical="center"/>
    </x:xf>
    <x:xf numFmtId="165" fontId="8" fillId="10" borderId="0" xfId="0" applyNumberFormat="1" applyFont="1" applyFill="1" applyAlignment="1">
      <x:alignment horizontal="right" vertical="center"/>
    </x:xf>
    <x:xf numFmtId="164" fontId="7" fillId="0" borderId="8" xfId="0" applyNumberFormat="1" applyFont="1" applyBorder="1" applyAlignment="1">
      <x:alignment horizontal="right" vertical="center"/>
    </x:xf>
    <x:xf numFmtId="0" fontId="7" fillId="0" borderId="8" xfId="0" applyFont="1" applyBorder="1" applyAlignment="1">
      <x:alignment horizontal="right" vertical="center" wrapText="0" shrinkToFit="0"/>
    </x:xf>
    <x:xf numFmtId="169" fontId="7" fillId="0" borderId="8" xfId="0" applyNumberFormat="1" applyFont="1" applyBorder="1" applyAlignment="1">
      <x:alignment horizontal="right" vertical="center" wrapText="0" shrinkToFit="0"/>
    </x:xf>
    <x:xf numFmtId="1" fontId="6" fillId="0" borderId="0" xfId="0" applyNumberFormat="1" applyFont="1" applyAlignment="1">
      <x:alignment horizontal="right" vertical="center"/>
    </x:xf>
    <x:xf numFmtId="165" fontId="8" fillId="0" borderId="0" xfId="0" applyNumberFormat="1" applyFont="1" applyAlignment="1">
      <x:alignment horizontal="right" vertical="center"/>
    </x:xf>
    <x:xf numFmtId="167" fontId="8" fillId="10" borderId="0" xfId="0" applyNumberFormat="1" applyFont="1" applyFill="1" applyAlignment="1">
      <x:alignment horizontal="right" vertical="center"/>
    </x:xf>
    <x:xf numFmtId="1" fontId="8" fillId="0" borderId="0" xfId="0" applyNumberFormat="1" applyFont="1" applyAlignment="1">
      <x:alignment horizontal="right" vertical="center"/>
    </x:xf>
    <x:xf numFmtId="1" fontId="2" fillId="0" borderId="0" xfId="0" applyNumberFormat="1" applyFont="1" applyAlignment="1">
      <x:alignment horizontal="right" vertical="center"/>
    </x:xf>
    <x:xf numFmtId="167" fontId="2" fillId="0" borderId="0" xfId="0" applyNumberFormat="1" applyFont="1" applyAlignment="1">
      <x:alignment horizontal="right" vertical="center"/>
    </x:xf>
    <x:xf numFmtId="2" fontId="7" fillId="0" borderId="8" xfId="0" applyNumberFormat="1" applyFont="1" applyBorder="1" applyAlignment="1">
      <x:alignment horizontal="right" vertical="center"/>
    </x:xf>
    <x:xf numFmtId="167" fontId="8" fillId="0" borderId="0" xfId="0" applyNumberFormat="1" applyFont="1" applyAlignment="1">
      <x:alignment horizontal="right" vertical="center"/>
    </x:xf>
    <x:xf numFmtId="164" fontId="9" fillId="0" borderId="0" xfId="0" applyNumberFormat="1" applyFont="1" applyAlignment="1">
      <x:alignment horizontal="right" vertical="center" wrapText="1" shrinkToFit="0"/>
    </x:xf>
    <x:xf numFmtId="164" fontId="8" fillId="0" borderId="0" xfId="0" applyNumberFormat="1" applyFont="1" applyAlignment="1">
      <x:alignment horizontal="right" vertical="center"/>
    </x:xf>
    <x:xf numFmtId="0" fontId="4" fillId="11" borderId="0" xfId="0" applyFont="1" applyFill="1" applyAlignment="1">
      <x:alignment horizontal="left" vertical="center" wrapText="0" shrinkToFit="0"/>
    </x:xf>
    <x:xf numFmtId="164" fontId="10" fillId="11" borderId="0" xfId="0" applyNumberFormat="1" applyFont="1" applyFill="1" applyAlignment="1">
      <x:alignment horizontal="right" vertical="center"/>
    </x:xf>
    <x:xf numFmtId="164" fontId="4" fillId="11" borderId="0" xfId="0" applyNumberFormat="1" applyFont="1" applyFill="1" applyAlignment="1">
      <x:alignment horizontal="right" vertical="center"/>
    </x:xf>
    <x:xf numFmtId="0" fontId="9" fillId="0" borderId="0" xfId="0" applyFont="1" applyAlignment="1">
      <x:alignment horizontal="left" vertical="center" wrapText="0" shrinkToFit="0"/>
    </x:xf>
    <x:xf numFmtId="0" fontId="11" fillId="11" borderId="0" xfId="0" applyFont="1" applyFill="1" applyAlignment="1">
      <x:alignment horizontal="left" vertical="center" wrapText="0" shrinkToFit="0"/>
    </x:xf>
    <x:xf numFmtId="3" fontId="2" fillId="0" borderId="0" xfId="0" applyNumberFormat="1" applyFont="1" applyAlignment="1">
      <x:alignment horizontal="right" vertical="center" wrapText="0" shrinkToFit="0"/>
    </x:xf>
    <x:xf numFmtId="2" fontId="2" fillId="0" borderId="0" xfId="0" applyNumberFormat="1" applyFont="1" applyAlignment="1">
      <x:alignment horizontal="right" vertical="center" wrapText="0" shrinkToFit="0"/>
    </x:xf>
    <x:xf numFmtId="1" fontId="2" fillId="0" borderId="0" xfId="0" applyNumberFormat="1" applyFont="1" applyAlignment="1">
      <x:alignment horizontal="right" vertical="center" wrapText="0" shrinkToFit="0"/>
    </x:xf>
    <x:xf numFmtId="165" fontId="2" fillId="0" borderId="0" xfId="0" applyNumberFormat="1" applyFont="1" applyAlignment="1">
      <x:alignment horizontal="right" vertical="center" wrapText="0" shrinkToFit="0"/>
    </x:xf>
    <x:xf numFmtId="0" fontId="12" fillId="0" borderId="0" xfId="0" applyFont="1" applyAlignment="1">
      <x:alignment vertical="bottom" wrapText="0" shrinkToFit="0"/>
    </x:xf>
    <x:xf numFmtId="170" fontId="2" fillId="0" borderId="0" xfId="0" applyNumberFormat="1" applyFont="1" applyAlignment="1">
      <x:alignment horizontal="right" vertical="center"/>
    </x:xf>
    <x:xf numFmtId="171" fontId="2" fillId="0" borderId="0" xfId="0" applyNumberFormat="1" applyFont="1" applyAlignment="1">
      <x:alignment horizontal="right" vertical="center"/>
    </x:xf>
    <x:xf numFmtId="171" fontId="2" fillId="0" borderId="0" xfId="0" applyNumberFormat="1" applyFont="1" applyAlignment="1">
      <x:alignment horizontal="right" vertical="center" wrapText="0" shrinkToFit="0"/>
    </x:xf>
    <x:xf numFmtId="171" fontId="12" fillId="0" borderId="0" xfId="0" applyNumberFormat="1" applyFont="1" applyAlignment="1">
      <x:alignment vertical="bottom" wrapText="0" shrinkToFit="0"/>
    </x:xf>
    <x:xf numFmtId="165" fontId="2" fillId="0" borderId="0" xfId="0" applyNumberFormat="1" applyFont="1" applyAlignment="1">
      <x:alignment horizontal="right" vertical="center"/>
    </x:xf>
    <x:xf numFmtId="165" fontId="12" fillId="0" borderId="0" xfId="0" applyNumberFormat="1" applyFont="1" applyAlignment="1">
      <x:alignment vertical="bottom" wrapText="0" shrinkToFit="0"/>
    </x:xf>
    <x:xf numFmtId="164" fontId="2" fillId="0" borderId="0" xfId="0" applyNumberFormat="1" applyFont="1" applyAlignment="1">
      <x:alignment horizontal="right" vertical="center" wrapText="1" shrinkToFit="0"/>
    </x:xf>
    <x:xf numFmtId="164" fontId="5" fillId="0" borderId="0" xfId="0" applyNumberFormat="1" applyFont="1"/>
    <x:xf numFmtId="0" fontId="1" fillId="0" borderId="0" xfId="0" applyFont="1" applyAlignment="1">
      <x:alignment vertical="bottom" wrapText="0" shrinkToFit="0"/>
    </x:xf>
    <x:xf numFmtId="0" fontId="13" fillId="0" borderId="0" xfId="0" applyFont="1" applyAlignment="1">
      <x:alignment vertical="bottom" wrapText="0" shrinkToFit="0"/>
    </x:xf>
    <x:xf numFmtId="0" fontId="13" fillId="0" borderId="9" xfId="0" applyFont="1" applyBorder="1" applyAlignment="1">
      <x:alignment vertical="bottom" wrapText="0" shrinkToFit="0"/>
    </x:xf>
    <x:xf numFmtId="0" fontId="13" fillId="0" borderId="10" xfId="0" applyFont="1" applyBorder="1" applyAlignment="1">
      <x:alignment vertical="bottom" wrapText="0" shrinkToFit="0"/>
    </x:xf>
    <x:xf numFmtId="172" fontId="13" fillId="0" borderId="10" xfId="0" applyNumberFormat="1" applyFont="1" applyBorder="1" applyAlignment="1">
      <x:alignment vertical="bottom" wrapText="0" shrinkToFit="0"/>
    </x:xf>
    <x:xf numFmtId="0" fontId="13" fillId="0" borderId="11" xfId="0" applyFont="1" applyBorder="1" applyAlignment="1">
      <x:alignment vertical="bottom" wrapText="0" shrinkToFit="0"/>
    </x:xf>
    <x:xf numFmtId="0" fontId="14" fillId="0" borderId="0" xfId="0" applyFont="1" applyAlignment="1">
      <x:alignment horizontal="center" vertical="bottom" wrapText="0" shrinkToFit="0"/>
    </x:xf>
    <x:xf numFmtId="0" fontId="13" fillId="0" borderId="12" xfId="0" applyFont="1" applyBorder="1" applyAlignment="1">
      <x:alignment vertical="bottom" wrapText="0" shrinkToFit="0"/>
    </x:xf>
    <x:xf numFmtId="0" fontId="13" fillId="0" borderId="13" xfId="0" applyFont="1" applyBorder="1" applyAlignment="1">
      <x:alignment vertical="bottom" wrapText="0" shrinkToFit="0"/>
    </x:xf>
    <x:xf numFmtId="172" fontId="13" fillId="0" borderId="13" xfId="0" applyNumberFormat="1" applyFont="1" applyBorder="1" applyAlignment="1">
      <x:alignment vertical="bottom" wrapText="0" shrinkToFit="0"/>
    </x:xf>
    <x:xf numFmtId="0" fontId="13" fillId="0" borderId="14" xfId="0" applyFont="1" applyBorder="1" applyAlignment="1">
      <x:alignment vertical="bottom" wrapText="0" shrinkToFit="0"/>
    </x:xf>
    <x:xf numFmtId="0" fontId="15" fillId="0" borderId="0" xfId="0" applyFont="1" applyAlignment="1">
      <x:alignment horizontal="center" vertical="bottom" wrapText="0" shrinkToFit="0"/>
    </x:xf>
    <x:xf numFmtId="0" fontId="13" fillId="0" borderId="15" xfId="0" applyFont="1" applyBorder="1" applyAlignment="1">
      <x:alignment vertical="bottom" wrapText="0" shrinkToFit="0"/>
    </x:xf>
    <x:xf numFmtId="0" fontId="13" fillId="0" borderId="16" xfId="0" applyFont="1" applyBorder="1" applyAlignment="1">
      <x:alignment vertical="bottom" wrapText="0" shrinkToFit="0"/>
    </x:xf>
    <x:xf numFmtId="172" fontId="13" fillId="0" borderId="16" xfId="0" applyNumberFormat="1" applyFont="1" applyBorder="1" applyAlignment="1">
      <x:alignment vertical="bottom" wrapText="0" shrinkToFit="0"/>
    </x:xf>
    <x:xf numFmtId="0" fontId="13" fillId="0" borderId="17" xfId="0" applyFont="1" applyBorder="1" applyAlignment="1">
      <x:alignment vertical="bottom" wrapText="0" shrinkToFit="0"/>
    </x:xf>
    <x:xf numFmtId="0" fontId="16" fillId="3" borderId="2" xfId="0" applyFont="1" applyFill="1" applyBorder="1" applyAlignment="1">
      <x:alignment vertical="bottom" wrapText="0" shrinkToFit="0"/>
    </x:xf>
    <x:xf numFmtId="0" fontId="16" fillId="3" borderId="3" xfId="0" applyFont="1" applyFill="1" applyBorder="1" applyAlignment="1">
      <x:alignment vertical="bottom" wrapText="0" shrinkToFit="0"/>
    </x:xf>
    <x:xf numFmtId="0" fontId="16" fillId="3" borderId="4" xfId="0" applyFont="1" applyFill="1" applyBorder="1" applyAlignment="1">
      <x:alignment vertical="bottom" wrapText="0" shrinkToFit="0"/>
    </x:xf>
    <x:xf numFmtId="0" fontId="13" fillId="0" borderId="0" xfId="0" applyFont="1" applyAlignment="1">
      <x:alignment vertical="bottom" wrapText="1" shrinkToFit="0"/>
    </x:xf>
    <x:xf numFmtId="0" fontId="9" fillId="0" borderId="0" xfId="0" applyFont="1" applyAlignment="1">
      <x:alignment vertical="center" wrapText="0" shrinkToFit="0"/>
    </x:xf>
    <x:xf numFmtId="0" fontId="12" fillId="0" borderId="0" xfId="0" applyFont="1" applyAlignment="1">
      <x:alignment vertical="center" wrapText="0" shrinkToFit="0"/>
    </x:xf>
    <x:xf numFmtId="0" fontId="3" fillId="2" borderId="1" xfId="0" applyFont="1" applyFill="1" applyBorder="1" applyAlignment="1">
      <x:alignment horizontal="center" vertical="center" wrapText="1" shrinkToFit="0"/>
    </x:xf>
    <x:xf numFmtId="0" fontId="3" fillId="2" borderId="18" xfId="0" applyFont="1" applyFill="1" applyBorder="1" applyAlignment="1">
      <x:alignment horizontal="center" vertical="center" wrapText="1" shrinkToFit="0"/>
    </x:xf>
    <x:xf numFmtId="0" fontId="17" fillId="0" borderId="19" xfId="0" applyFont="1" applyBorder="1"/>
    <x:xf numFmtId="0" fontId="17" fillId="0" borderId="20" xfId="0" applyFont="1" applyBorder="1"/>
    <x:xf numFmtId="0" fontId="6" fillId="0" borderId="0" xfId="0" applyFont="1" applyAlignment="1">
      <x:alignment vertical="center" wrapText="1" shrinkToFit="0"/>
    </x:xf>
    <x:xf numFmtId="0" fontId="6" fillId="0" borderId="8" xfId="0" applyFont="1" applyBorder="1" applyAlignment="1">
      <x:alignment vertical="center" wrapText="1" shrinkToFit="0"/>
    </x:xf>
    <x:xf numFmtId="0" fontId="17" fillId="0" borderId="8" xfId="0" applyFont="1" applyBorder="1"/>
    <x:xf numFmtId="167" fontId="6" fillId="0" borderId="0" xfId="0" applyNumberFormat="1" applyFont="1" applyAlignment="1">
      <x:alignment vertical="center" wrapText="1" shrinkToFit="0"/>
    </x:xf>
    <x:xf numFmtId="3" fontId="6" fillId="0" borderId="0" xfId="0" applyNumberFormat="1" applyFont="1" applyAlignment="1">
      <x:alignment vertical="center" wrapText="1" shrinkToFit="0"/>
    </x:xf>
    <x:xf numFmtId="3" fontId="6" fillId="0" borderId="8" xfId="0" applyNumberFormat="1" applyFont="1" applyBorder="1" applyAlignment="1">
      <x:alignment vertical="center" wrapText="1" shrinkToFit="0"/>
    </x:xf>
    <x:xf numFmtId="167" fontId="6" fillId="0" borderId="8" xfId="0" applyNumberFormat="1" applyFont="1" applyBorder="1" applyAlignment="1">
      <x:alignment vertical="center" wrapText="1" shrinkToFit="0"/>
    </x:xf>
    <x:xf numFmtId="0" fontId="2" fillId="0" borderId="0" xfId="0" applyFont="1" applyAlignment="1">
      <x:alignment vertical="bottom" wrapText="0" shrinkToFit="0"/>
    </x:xf>
    <x:xf numFmtId="0" fontId="10" fillId="10" borderId="0" xfId="0" applyFont="1" applyFill="1" applyAlignment="1">
      <x:alignment vertical="bottom" wrapText="0" shrinkToFit="0"/>
    </x:xf>
    <x:xf numFmtId="0" fontId="18" fillId="0" borderId="0" xfId="0" applyFont="1" applyAlignment="1">
      <x:alignment vertical="bottom" wrapText="0" shrinkToFit="0"/>
    </x:xf>
    <x:xf numFmtId="0" fontId="4" fillId="12" borderId="2" xfId="0" applyFont="1" applyFill="1" applyBorder="1" applyAlignment="1">
      <x:alignment vertical="bottom" wrapText="0" shrinkToFit="0"/>
    </x:xf>
    <x:xf numFmtId="0" fontId="4" fillId="12" borderId="3" xfId="0" applyFont="1" applyFill="1" applyBorder="1" applyAlignment="1">
      <x:alignment vertical="bottom" wrapText="0" shrinkToFit="0"/>
    </x:xf>
    <x:xf numFmtId="0" fontId="4" fillId="12" borderId="4" xfId="0" applyFont="1" applyFill="1" applyBorder="1" applyAlignment="1">
      <x:alignment vertical="bottom" wrapText="0" shrinkToFit="0"/>
    </x:xf>
    <x:xf numFmtId="0" fontId="2" fillId="3" borderId="0" xfId="0" applyFont="1" applyFill="1" applyAlignment="1">
      <x:alignment vertical="bottom" wrapText="0" shrinkToFit="0"/>
    </x:xf>
    <x:xf numFmtId="167" fontId="2" fillId="3" borderId="0" xfId="0" applyNumberFormat="1" applyFont="1" applyFill="1" applyAlignment="1">
      <x:alignment vertical="bottom" wrapText="0" shrinkToFit="0"/>
    </x:xf>
    <x:xf numFmtId="167" fontId="2" fillId="0" borderId="0" xfId="0" applyNumberFormat="1" applyFont="1" applyAlignment="1">
      <x:alignment vertical="bottom" wrapText="0" shrinkToFit="0"/>
    </x:xf>
    <x:xf numFmtId="3" fontId="4" fillId="12" borderId="3" xfId="0" applyNumberFormat="1" applyFont="1" applyFill="1" applyBorder="1" applyAlignment="1">
      <x:alignment vertical="bottom" wrapText="0" shrinkToFit="0"/>
    </x:xf>
    <x:xf numFmtId="3" fontId="4" fillId="12" borderId="4" xfId="0" applyNumberFormat="1" applyFont="1" applyFill="1" applyBorder="1" applyAlignment="1">
      <x:alignment vertical="bottom" wrapText="0" shrinkToFit="0"/>
    </x:xf>
    <x:xf numFmtId="173" fontId="2" fillId="0" borderId="0" xfId="0" applyNumberFormat="1" applyFont="1" applyAlignment="1">
      <x:alignment vertical="bottom" wrapText="0" shrinkToFit="0"/>
    </x:xf>
    <x:xf numFmtId="174" fontId="2" fillId="3" borderId="0" xfId="0" applyNumberFormat="1" applyFont="1" applyFill="1" applyAlignment="1">
      <x:alignment vertical="bottom" wrapText="0" shrinkToFit="0"/>
    </x:xf>
    <x:xf numFmtId="174" fontId="2" fillId="0" borderId="0" xfId="0" applyNumberFormat="1" applyFont="1" applyAlignment="1">
      <x:alignment vertical="bottom" wrapText="0" shrinkToFit="0"/>
    </x:xf>
    <x:xf numFmtId="0" fontId="9" fillId="0" borderId="0" xfId="0" applyFont="1" applyAlignment="1">
      <x:alignment vertical="bottom" wrapText="0" shrinkToFit="0"/>
    </x:xf>
    <x:xf numFmtId="0" fontId="6" fillId="9" borderId="0" xfId="0" applyFont="1" applyFill="1" applyAlignment="1">
      <x:alignment vertical="center" wrapText="0" shrinkToFit="0"/>
    </x:xf>
    <x:xf numFmtId="0" fontId="6" fillId="0" borderId="0" xfId="0" applyFont="1" applyAlignment="1">
      <x:alignment vertical="center" wrapText="0" shrinkToFit="0"/>
    </x:xf>
    <x:xf numFmtId="0" fontId="8" fillId="10" borderId="0" xfId="0" applyFont="1" applyFill="1" applyAlignment="1">
      <x:alignment vertical="center" wrapText="0" shrinkToFit="0"/>
    </x:xf>
    <x:xf numFmtId="167" fontId="8" fillId="10" borderId="0" xfId="0" applyNumberFormat="1" applyFont="1" applyFill="1" applyAlignment="1">
      <x:alignment vertical="center" wrapText="0" shrinkToFit="0"/>
    </x:xf>
    <x:xf numFmtId="169" fontId="8" fillId="10" borderId="0" xfId="0" applyNumberFormat="1" applyFont="1" applyFill="1" applyAlignment="1">
      <x:alignment vertical="center" wrapText="0" shrinkToFit="0"/>
    </x:xf>
    <x:xf numFmtId="169" fontId="6" fillId="0" borderId="0" xfId="0" applyNumberFormat="1" applyFont="1" applyAlignment="1">
      <x:alignment vertical="center" wrapText="0" shrinkToFit="0"/>
    </x:xf>
    <x:xf numFmtId="0" fontId="7" fillId="12" borderId="8" xfId="0" applyFont="1" applyFill="1" applyBorder="1" applyAlignment="1">
      <x:alignment vertical="center" wrapText="0" shrinkToFit="0"/>
    </x:xf>
    <x:xf numFmtId="169" fontId="7" fillId="12" borderId="8" xfId="0" applyNumberFormat="1" applyFont="1" applyFill="1" applyBorder="1" applyAlignment="1">
      <x:alignment vertical="center" wrapText="0" shrinkToFit="0"/>
    </x:xf>
    <x:xf numFmtId="0" fontId="9" fillId="0" borderId="0" xfId="0" applyFont="1" applyAlignment="1">
      <x:alignment vertical="center" wrapText="1" shrinkToFit="0"/>
    </x:xf>
    <x:xf numFmtId="0" fontId="19" fillId="13" borderId="0" xfId="0" applyFont="1" applyFill="1" applyAlignment="1">
      <x:alignment horizontal="left" vertical="center" wrapText="0" shrinkToFit="0"/>
    </x:xf>
    <x:xf numFmtId="0" fontId="20" fillId="9" borderId="0" xfId="0" applyFont="1" applyFill="1" applyAlignment="1">
      <x:alignment vertical="center" wrapText="0" shrinkToFit="0"/>
    </x:xf>
    <x:xf numFmtId="0" fontId="7" fillId="9" borderId="0" xfId="0" applyFont="1" applyFill="1" applyAlignment="1">
      <x:alignment vertical="center" wrapText="1" shrinkToFit="0"/>
    </x:xf>
    <x:xf numFmtId="0" fontId="7" fillId="12" borderId="8" xfId="0" applyFont="1" applyFill="1" applyBorder="1" applyAlignment="1">
      <x:alignment vertical="center" wrapText="1" shrinkToFit="0"/>
    </x:xf>
    <x:xf numFmtId="0" fontId="6" fillId="12" borderId="8" xfId="0" applyFont="1" applyFill="1" applyBorder="1" applyAlignment="1">
      <x:alignment vertical="center" wrapText="1" shrinkToFit="0"/>
    </x:xf>
    <x:xf numFmtId="0" fontId="9" fillId="0" borderId="0" xfId="0" applyFont="1" applyAlignment="1">
      <x:alignment horizontal="right" vertical="center" wrapText="0" shrinkToFit="0"/>
    </x:xf>
    <x:xf numFmtId="0" fontId="0" fillId="0" borderId="0" xfId="0" applyNumberFormat="1" applyFont="1" applyFill="1" applyBorder="1" applyAlignment="1">
      <x:alignment vertical="bottom" wrapText="1"/>
    </x:xf>
    <x:xf numFmtId="0" fontId="0" fillId="14" borderId="0" xfId="0" applyNumberFormat="1" applyFont="1" applyFill="1" applyBorder="1" applyAlignment="1">
      <x:alignment vertical="bottom" wrapText="1"/>
    </x:xf>
    <x:xf numFmtId="0" fontId="0" fillId="14" borderId="0" xfId="0" applyNumberFormat="1" applyFont="1" applyFill="1" applyBorder="1" applyAlignment="1">
      <x:alignment vertical="bottom" wrapText="0"/>
    </x:xf>
    <x:xf numFmtId="0" fontId="21" fillId="14" borderId="0" xfId="0" applyNumberFormat="1" applyFont="1" applyFill="1" applyBorder="1" applyAlignment="1">
      <x:alignment vertical="bottom" wrapText="1"/>
    </x:xf>
    <x:xf numFmtId="0" fontId="21" fillId="14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1"/>
    </x:xf>
    <x:xf numFmtId="201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FC7C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5f34431ce41a8" /><Relationship Type="http://schemas.openxmlformats.org/officeDocument/2006/relationships/theme" Target="/xl/theme/theme1.xml" Id="Recd26e815bfa4d27" /><Relationship Type="http://schemas.openxmlformats.org/officeDocument/2006/relationships/sharedStrings" Target="/xl/sharedStrings.xml" Id="Rdceefc228f004086" /><Relationship Type="http://schemas.openxmlformats.org/officeDocument/2006/relationships/worksheet" Target="/xl/worksheets/sheet1.xml" Id="R48b78070b735487d" /><Relationship Type="http://schemas.openxmlformats.org/officeDocument/2006/relationships/worksheet" Target="/xl/worksheets/sheet2.xml" Id="R4a14f9cb9742415d" /><Relationship Type="http://schemas.openxmlformats.org/officeDocument/2006/relationships/worksheet" Target="/xl/worksheets/sheet3.xml" Id="R0c2dd7c146ac49a6" /><Relationship Type="http://schemas.openxmlformats.org/officeDocument/2006/relationships/worksheet" Target="/xl/worksheets/sheet4.xml" Id="R50cc424032624f11" /><Relationship Type="http://schemas.openxmlformats.org/officeDocument/2006/relationships/worksheet" Target="/xl/worksheets/sheet5.xml" Id="R0630845fb67b4f82" /><Relationship Type="http://schemas.openxmlformats.org/officeDocument/2006/relationships/worksheet" Target="/xl/worksheets/sheet6.xml" Id="Rbfd2c984539d49ba" /><Relationship Type="http://schemas.openxmlformats.org/officeDocument/2006/relationships/worksheet" Target="/xl/worksheets/sheet7.xml" Id="R36d8681479b14997" /><Relationship Type="http://schemas.openxmlformats.org/officeDocument/2006/relationships/worksheet" Target="/xl/worksheets/sheet8.xml" Id="R31ba074fc9c44bdb" /><Relationship Type="http://schemas.openxmlformats.org/officeDocument/2006/relationships/worksheet" Target="/xl/worksheets/sheet9.xml" Id="Rff7e2e5ad5924c8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b956157562842ae" /><Relationship Type="http://schemas.openxmlformats.org/officeDocument/2006/relationships/vmlDrawing" Target="/xl/drawings/vmldrawing.vml" Id="R2b350b4aff8e43f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"/>
  <x:cols>
    <x:col min="1" max="1" width="48" customWidth="1"/>
    <x:col min="2" max="2" width="22.5" customWidth="1"/>
    <x:col min="3" max="18" width="12" customWidth="1"/>
    <x:col min="19" max="19" width="16" customWidth="1"/>
  </x:cols>
  <x:sheetData>
    <x:row r="1" ht="21" customHeight="1">
      <x:c r="A1" s="1" t="str">
        <x:v>ANTECEDENTE — consultar Resumen nuevo, Flujo mensual nuevo y Plan 18 meses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1" customHeight="1">
      <x:c r="A2" s="4" t="s">
        <x:v>0</x:v>
      </x:c>
      <x:c r="B2" s="4" t="s">
        <x:v>1</x:v>
      </x:c>
      <x:c r="C2" s="5" t="s">
        <x:v>2</x:v>
      </x:c>
      <x:c r="D2" s="5" t="s">
        <x:v>3</x:v>
      </x:c>
      <x:c r="E2" s="5" t="s">
        <x:v>4</x:v>
      </x:c>
      <x:c r="F2" s="5" t="s">
        <x:v>5</x:v>
      </x:c>
      <x:c r="G2" s="5" t="s">
        <x:v>6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  <x:c r="L2" s="5" t="s">
        <x:v>11</x:v>
      </x:c>
      <x:c r="M2" s="5" t="s">
        <x:v>12</x:v>
      </x:c>
      <x:c r="N2" s="5" t="s">
        <x:v>13</x:v>
      </x:c>
      <x:c r="O2" s="6" t="s">
        <x:v>14</x:v>
      </x:c>
      <x:c r="P2" s="5" t="s">
        <x:v>15</x:v>
      </x:c>
      <x:c r="Q2" s="5" t="s">
        <x:v>16</x:v>
      </x:c>
      <x:c r="R2" s="5" t="s">
        <x:v>17</x:v>
      </x:c>
    </x:row>
    <x:row r="3" ht="21" customHeight="1">
      <x:c r="A3" s="7" t="s">
        <x:v>18</x:v>
      </x:c>
      <x:c r="B3" s="8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10"/>
      <x:c r="S3" s="11"/>
      <x:c r="T3" s="11"/>
      <x:c r="U3" s="11"/>
      <x:c r="V3" s="11"/>
      <x:c r="W3" s="11"/>
      <x:c r="X3" s="11"/>
      <x:c r="Y3" s="11"/>
      <x:c r="Z3" s="11"/>
      <x:c r="AA3" s="11"/>
    </x:row>
    <x:row r="4" ht="21" customHeight="1">
      <x:c r="A4" s="12" t="s">
        <x:v>19</x:v>
      </x:c>
      <x:c r="B4" s="2" t="s">
        <x:v>20</x:v>
      </x:c>
      <x:c r="C4" s="13" t="n">
        <x:f>$C$53</x:f>
        <x:v>199200</x:v>
      </x:c>
      <x:c r="D4" s="13" t="n">
        <x:f t="shared" ref="D4:N4" si="1">0</x:f>
        <x:v>0</x:v>
      </x:c>
      <x:c r="E4" s="13">
        <x:f t="shared" si="1"/>
        <x:v>0</x:v>
      </x:c>
      <x:c r="F4" s="13">
        <x:f t="shared" si="1"/>
        <x:v>0</x:v>
      </x:c>
      <x:c r="G4" s="13">
        <x:f t="shared" si="1"/>
        <x:v>0</x:v>
      </x:c>
      <x:c r="H4" s="13">
        <x:f t="shared" si="1"/>
        <x:v>0</x:v>
      </x:c>
      <x:c r="I4" s="13">
        <x:f t="shared" si="1"/>
        <x:v>0</x:v>
      </x:c>
      <x:c r="J4" s="13">
        <x:f t="shared" si="1"/>
        <x:v>0</x:v>
      </x:c>
      <x:c r="K4" s="13">
        <x:f t="shared" si="1"/>
        <x:v>0</x:v>
      </x:c>
      <x:c r="L4" s="13">
        <x:f t="shared" si="1"/>
        <x:v>0</x:v>
      </x:c>
      <x:c r="M4" s="13">
        <x:f t="shared" si="1"/>
        <x:v>0</x:v>
      </x:c>
      <x:c r="N4" s="13">
        <x:f t="shared" si="1"/>
        <x:v>0</x:v>
      </x:c>
      <x:c r="O4" s="13" t="n">
        <x:f t="shared" ref="O4:O7" si="4">SUM(C4:N4)</x:f>
        <x:v>199200</x:v>
      </x:c>
      <x:c r="P4" s="13" t="n">
        <x:f t="shared" ref="P4:R4" si="2">0</x:f>
        <x:v>0</x:v>
      </x:c>
      <x:c r="Q4" s="13">
        <x:f t="shared" si="2"/>
        <x:v>0</x:v>
      </x:c>
      <x:c r="R4" s="13">
        <x:f t="shared" si="2"/>
        <x:v>0</x:v>
      </x:c>
    </x:row>
    <x:row r="5" ht="21" customHeight="1">
      <x:c r="A5" s="12" t="s">
        <x:v>21</x:v>
      </x:c>
      <x:c r="B5" s="2" t="s">
        <x:v>20</x:v>
      </x:c>
      <x:c r="C5" s="13" t="n">
        <x:f t="shared" ref="C5:N5" si="3">C59*$C$77</x:f>
        <x:v>0</x:v>
      </x:c>
      <x:c r="D5" s="13">
        <x:f t="shared" si="3"/>
        <x:v>0</x:v>
      </x:c>
      <x:c r="E5" s="13">
        <x:f t="shared" si="3"/>
        <x:v>0</x:v>
      </x:c>
      <x:c r="F5" s="13">
        <x:f t="shared" si="3"/>
        <x:v>0</x:v>
      </x:c>
      <x:c r="G5" s="13">
        <x:f t="shared" si="3"/>
        <x:v>0</x:v>
      </x:c>
      <x:c r="H5" s="13">
        <x:f t="shared" si="3"/>
        <x:v>0</x:v>
      </x:c>
      <x:c r="I5" s="13">
        <x:f t="shared" si="3"/>
        <x:v>0</x:v>
      </x:c>
      <x:c r="J5" s="13">
        <x:f t="shared" si="3"/>
        <x:v>0</x:v>
      </x:c>
      <x:c r="K5" s="13">
        <x:f t="shared" si="3"/>
        <x:v>0</x:v>
      </x:c>
      <x:c r="L5" s="13">
        <x:f t="shared" si="3"/>
        <x:v>0</x:v>
      </x:c>
      <x:c r="M5" s="13">
        <x:f t="shared" si="3"/>
        <x:v>0</x:v>
      </x:c>
      <x:c r="N5" s="13">
        <x:f t="shared" si="3"/>
        <x:v>0</x:v>
      </x:c>
      <x:c r="O5" s="13">
        <x:f t="shared" si="4"/>
        <x:v>0</x:v>
      </x:c>
      <x:c r="P5" s="13" t="n">
        <x:f t="shared" ref="P5:R5" si="5">P59*$C$98</x:f>
        <x:v>120000</x:v>
      </x:c>
      <x:c r="Q5" s="13">
        <x:f t="shared" si="5"/>
        <x:v>320000</x:v>
      </x:c>
      <x:c r="R5" s="13">
        <x:f t="shared" si="5"/>
        <x:v>672000</x:v>
      </x:c>
    </x:row>
    <x:row r="6" ht="21" customHeight="1">
      <x:c r="A6" s="12" t="s">
        <x:v>22</x:v>
      </x:c>
      <x:c r="B6" s="2" t="s">
        <x:v>20</x:v>
      </x:c>
      <x:c r="C6" s="13" t="n">
        <x:f t="shared" ref="C6:N6" si="6">C61*$C$78</x:f>
        <x:v>0</x:v>
      </x:c>
      <x:c r="D6" s="13">
        <x:f t="shared" si="6"/>
        <x:v>0</x:v>
      </x:c>
      <x:c r="E6" s="13">
        <x:f t="shared" si="6"/>
        <x:v>0</x:v>
      </x:c>
      <x:c r="F6" s="13">
        <x:f t="shared" si="6"/>
        <x:v>0</x:v>
      </x:c>
      <x:c r="G6" s="13">
        <x:f t="shared" si="6"/>
        <x:v>0</x:v>
      </x:c>
      <x:c r="H6" s="13">
        <x:f t="shared" si="6"/>
        <x:v>0</x:v>
      </x:c>
      <x:c r="I6" s="13">
        <x:f t="shared" si="6"/>
        <x:v>0</x:v>
      </x:c>
      <x:c r="J6" s="13">
        <x:f t="shared" si="6"/>
        <x:v>0</x:v>
      </x:c>
      <x:c r="K6" s="13">
        <x:f t="shared" si="6"/>
        <x:v>0</x:v>
      </x:c>
      <x:c r="L6" s="13">
        <x:f t="shared" si="6"/>
        <x:v>0</x:v>
      </x:c>
      <x:c r="M6" s="13">
        <x:f t="shared" si="6"/>
        <x:v>0</x:v>
      </x:c>
      <x:c r="N6" s="13">
        <x:f t="shared" si="6"/>
        <x:v>0</x:v>
      </x:c>
      <x:c r="O6" s="13">
        <x:f t="shared" si="4"/>
        <x:v>0</x:v>
      </x:c>
      <x:c r="P6" s="13" t="n">
        <x:f t="shared" ref="P6:R6" si="7">P61*$C$99</x:f>
        <x:v>163350</x:v>
      </x:c>
      <x:c r="Q6" s="13">
        <x:f t="shared" si="7"/>
        <x:v>636275</x:v>
      </x:c>
      <x:c r="R6" s="13">
        <x:f t="shared" si="7"/>
        <x:v>1558375</x:v>
      </x:c>
    </x:row>
    <x:row r="7" ht="21" customHeight="1">
      <x:c r="A7" s="12" t="s">
        <x:v>23</x:v>
      </x:c>
      <x:c r="B7" s="2" t="s">
        <x:v>20</x:v>
      </x:c>
      <x:c r="C7" s="13">
        <x:v>0.0</x:v>
      </x:c>
      <x:c r="D7" s="13">
        <x:v>0.0</x:v>
      </x:c>
      <x:c r="E7" s="13">
        <x:v>0.0</x:v>
      </x:c>
      <x:c r="F7" s="13">
        <x:v>0.0</x:v>
      </x:c>
      <x:c r="G7" s="13">
        <x:v>0.0</x:v>
      </x:c>
      <x:c r="H7" s="13">
        <x:v>0.0</x:v>
      </x:c>
      <x:c r="I7" s="13">
        <x:v>0.0</x:v>
      </x:c>
      <x:c r="J7" s="13">
        <x:v>0.0</x:v>
      </x:c>
      <x:c r="K7" s="13">
        <x:v>0.0</x:v>
      </x:c>
      <x:c r="L7" s="13">
        <x:v>0.0</x:v>
      </x:c>
      <x:c r="M7" s="13">
        <x:v>0.0</x:v>
      </x:c>
      <x:c r="N7" s="13">
        <x:v>0.0</x:v>
      </x:c>
      <x:c r="O7" s="13">
        <x:f t="shared" si="4"/>
        <x:v>0</x:v>
      </x:c>
      <x:c r="P7" s="13" t="n">
        <x:f t="shared" ref="P7:R7" si="8">0</x:f>
        <x:v>0</x:v>
      </x:c>
      <x:c r="Q7" s="13">
        <x:f t="shared" si="8"/>
        <x:v>0</x:v>
      </x:c>
      <x:c r="R7" s="13">
        <x:f t="shared" si="8"/>
        <x:v>0</x:v>
      </x:c>
    </x:row>
    <x:row r="8" ht="21" customHeight="1">
      <x:c r="A8" s="2"/>
      <x:c r="B8" s="2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</x:row>
    <x:row r="9" ht="21" customHeight="1">
      <x:c r="A9" s="7" t="s">
        <x:v>24</x:v>
      </x:c>
      <x:c r="B9" s="8" t="s">
        <x:v>20</x:v>
      </x:c>
      <x:c r="C9" s="14" t="n">
        <x:f t="shared" ref="C9:N9" si="9">SUM(C4:C7)</x:f>
        <x:v>199200</x:v>
      </x:c>
      <x:c r="D9" s="14">
        <x:f t="shared" si="9"/>
        <x:v>0</x:v>
      </x:c>
      <x:c r="E9" s="14">
        <x:f t="shared" si="9"/>
        <x:v>0</x:v>
      </x:c>
      <x:c r="F9" s="14">
        <x:f t="shared" si="9"/>
        <x:v>0</x:v>
      </x:c>
      <x:c r="G9" s="14">
        <x:f t="shared" si="9"/>
        <x:v>0</x:v>
      </x:c>
      <x:c r="H9" s="14">
        <x:f t="shared" si="9"/>
        <x:v>0</x:v>
      </x:c>
      <x:c r="I9" s="14">
        <x:f t="shared" si="9"/>
        <x:v>0</x:v>
      </x:c>
      <x:c r="J9" s="14">
        <x:f t="shared" si="9"/>
        <x:v>0</x:v>
      </x:c>
      <x:c r="K9" s="14">
        <x:f t="shared" si="9"/>
        <x:v>0</x:v>
      </x:c>
      <x:c r="L9" s="14">
        <x:f t="shared" si="9"/>
        <x:v>0</x:v>
      </x:c>
      <x:c r="M9" s="14">
        <x:f t="shared" si="9"/>
        <x:v>0</x:v>
      </x:c>
      <x:c r="N9" s="14">
        <x:f t="shared" si="9"/>
        <x:v>0</x:v>
      </x:c>
      <x:c r="O9" s="14" t="n">
        <x:f>SUM(C9:N9)</x:f>
        <x:v>199200</x:v>
      </x:c>
      <x:c r="P9" s="14" t="n">
        <x:f t="shared" ref="P9:R9" si="10">SUM(P4:P7)</x:f>
        <x:v>283350</x:v>
      </x:c>
      <x:c r="Q9" s="14">
        <x:f t="shared" si="10"/>
        <x:v>956275</x:v>
      </x:c>
      <x:c r="R9" s="15">
        <x:f t="shared" si="10"/>
        <x:v>2230375</x:v>
      </x:c>
      <x:c r="S9" s="11"/>
      <x:c r="T9" s="11"/>
      <x:c r="U9" s="11"/>
      <x:c r="V9" s="11"/>
      <x:c r="W9" s="11"/>
      <x:c r="X9" s="11"/>
      <x:c r="Y9" s="11"/>
      <x:c r="Z9" s="11"/>
      <x:c r="AA9" s="11"/>
    </x:row>
    <x:row r="10" ht="21" customHeight="1">
      <x:c r="A10" s="2"/>
      <x:c r="B10" s="2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</x:row>
    <x:row r="11" ht="21" customHeight="1">
      <x:c r="A11" s="16" t="s">
        <x:v>25</x:v>
      </x:c>
      <x:c r="B11" s="17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9"/>
      <x:c r="S11" s="20"/>
      <x:c r="T11" s="20"/>
      <x:c r="U11" s="20"/>
      <x:c r="V11" s="20"/>
      <x:c r="W11" s="20"/>
      <x:c r="X11" s="20"/>
      <x:c r="Y11" s="20"/>
      <x:c r="Z11" s="20"/>
      <x:c r="AA11" s="20"/>
    </x:row>
    <x:row r="12" ht="21" customHeight="1">
      <x:c r="A12" s="7" t="s">
        <x:v>26</x:v>
      </x:c>
      <x:c r="B12" s="8" t="s">
        <x:v>20</x:v>
      </x:c>
      <x:c r="C12" s="14" t="n">
        <x:f t="shared" ref="C12:N12" si="11">SUM(C13:C15)</x:f>
        <x:v>2000</x:v>
      </x:c>
      <x:c r="D12" s="14">
        <x:f t="shared" si="11"/>
        <x:v>2000</x:v>
      </x:c>
      <x:c r="E12" s="14">
        <x:f t="shared" si="11"/>
        <x:v>2000</x:v>
      </x:c>
      <x:c r="F12" s="14">
        <x:f t="shared" si="11"/>
        <x:v>2000</x:v>
      </x:c>
      <x:c r="G12" s="14">
        <x:f t="shared" si="11"/>
        <x:v>2000</x:v>
      </x:c>
      <x:c r="H12" s="14">
        <x:f t="shared" si="11"/>
        <x:v>2000</x:v>
      </x:c>
      <x:c r="I12" s="14">
        <x:f t="shared" si="11"/>
        <x:v>2000</x:v>
      </x:c>
      <x:c r="J12" s="14">
        <x:f t="shared" si="11"/>
        <x:v>2000</x:v>
      </x:c>
      <x:c r="K12" s="14">
        <x:f t="shared" si="11"/>
        <x:v>2000</x:v>
      </x:c>
      <x:c r="L12" s="14">
        <x:f t="shared" si="11"/>
        <x:v>2000</x:v>
      </x:c>
      <x:c r="M12" s="14">
        <x:f t="shared" si="11"/>
        <x:v>2000</x:v>
      </x:c>
      <x:c r="N12" s="14">
        <x:f t="shared" si="11"/>
        <x:v>2000</x:v>
      </x:c>
      <x:c r="O12" s="14" t="n">
        <x:f t="shared" ref="O12:O15" si="14">SUM(C12:N12)</x:f>
        <x:v>24000</x:v>
      </x:c>
      <x:c r="P12" s="14" t="n">
        <x:f t="shared" ref="P12:R12" si="12">SUM(P13:P15)</x:f>
        <x:v>24000</x:v>
      </x:c>
      <x:c r="Q12" s="14">
        <x:f t="shared" si="12"/>
        <x:v>24000</x:v>
      </x:c>
      <x:c r="R12" s="15">
        <x:f t="shared" si="12"/>
        <x:v>24000</x:v>
      </x:c>
    </x:row>
    <x:row r="13" ht="21" customHeight="1">
      <x:c r="A13" s="12" t="s">
        <x:v>27</x:v>
      </x:c>
      <x:c r="B13" s="2" t="s">
        <x:v>20</x:v>
      </x:c>
      <x:c r="C13" s="13" t="n">
        <x:f t="shared" ref="C13:N13" si="13">$C$82</x:f>
        <x:v>500</x:v>
      </x:c>
      <x:c r="D13" s="13">
        <x:f t="shared" si="13"/>
        <x:v>500</x:v>
      </x:c>
      <x:c r="E13" s="13">
        <x:f t="shared" si="13"/>
        <x:v>500</x:v>
      </x:c>
      <x:c r="F13" s="13">
        <x:f t="shared" si="13"/>
        <x:v>500</x:v>
      </x:c>
      <x:c r="G13" s="13">
        <x:f t="shared" si="13"/>
        <x:v>500</x:v>
      </x:c>
      <x:c r="H13" s="13">
        <x:f t="shared" si="13"/>
        <x:v>500</x:v>
      </x:c>
      <x:c r="I13" s="13">
        <x:f t="shared" si="13"/>
        <x:v>500</x:v>
      </x:c>
      <x:c r="J13" s="13">
        <x:f t="shared" si="13"/>
        <x:v>500</x:v>
      </x:c>
      <x:c r="K13" s="13">
        <x:f t="shared" si="13"/>
        <x:v>500</x:v>
      </x:c>
      <x:c r="L13" s="13">
        <x:f t="shared" si="13"/>
        <x:v>500</x:v>
      </x:c>
      <x:c r="M13" s="13">
        <x:f t="shared" si="13"/>
        <x:v>500</x:v>
      </x:c>
      <x:c r="N13" s="13">
        <x:f t="shared" si="13"/>
        <x:v>500</x:v>
      </x:c>
      <x:c r="O13" s="13">
        <x:f t="shared" si="14"/>
        <x:v>6000</x:v>
      </x:c>
      <x:c r="P13" s="13" t="n">
        <x:f t="shared" ref="P13:R13" si="15">$C$82*12</x:f>
        <x:v>6000</x:v>
      </x:c>
      <x:c r="Q13" s="13">
        <x:f t="shared" si="15"/>
        <x:v>6000</x:v>
      </x:c>
      <x:c r="R13" s="13">
        <x:f t="shared" si="15"/>
        <x:v>6000</x:v>
      </x:c>
    </x:row>
    <x:row r="14" ht="21" customHeight="1">
      <x:c r="A14" s="12" t="s">
        <x:v>28</x:v>
      </x:c>
      <x:c r="B14" s="2" t="s">
        <x:v>20</x:v>
      </x:c>
      <x:c r="C14" s="13" t="n">
        <x:f t="shared" ref="C14:N14" si="16">$C$81</x:f>
        <x:v>500</x:v>
      </x:c>
      <x:c r="D14" s="13">
        <x:f t="shared" si="16"/>
        <x:v>500</x:v>
      </x:c>
      <x:c r="E14" s="13">
        <x:f t="shared" si="16"/>
        <x:v>500</x:v>
      </x:c>
      <x:c r="F14" s="13">
        <x:f t="shared" si="16"/>
        <x:v>500</x:v>
      </x:c>
      <x:c r="G14" s="13">
        <x:f t="shared" si="16"/>
        <x:v>500</x:v>
      </x:c>
      <x:c r="H14" s="13">
        <x:f t="shared" si="16"/>
        <x:v>500</x:v>
      </x:c>
      <x:c r="I14" s="13">
        <x:f t="shared" si="16"/>
        <x:v>500</x:v>
      </x:c>
      <x:c r="J14" s="13">
        <x:f t="shared" si="16"/>
        <x:v>500</x:v>
      </x:c>
      <x:c r="K14" s="13">
        <x:f t="shared" si="16"/>
        <x:v>500</x:v>
      </x:c>
      <x:c r="L14" s="13">
        <x:f t="shared" si="16"/>
        <x:v>500</x:v>
      </x:c>
      <x:c r="M14" s="13">
        <x:f t="shared" si="16"/>
        <x:v>500</x:v>
      </x:c>
      <x:c r="N14" s="13">
        <x:f t="shared" si="16"/>
        <x:v>500</x:v>
      </x:c>
      <x:c r="O14" s="13">
        <x:f t="shared" si="14"/>
        <x:v>6000</x:v>
      </x:c>
      <x:c r="P14" s="13" t="n">
        <x:f t="shared" ref="P14:R14" si="17">$C$81*12</x:f>
        <x:v>6000</x:v>
      </x:c>
      <x:c r="Q14" s="13">
        <x:f t="shared" si="17"/>
        <x:v>6000</x:v>
      </x:c>
      <x:c r="R14" s="13">
        <x:f t="shared" si="17"/>
        <x:v>6000</x:v>
      </x:c>
    </x:row>
    <x:row r="15" ht="21" customHeight="1">
      <x:c r="A15" s="12" t="s">
        <x:v>29</x:v>
      </x:c>
      <x:c r="B15" s="2" t="s">
        <x:v>20</x:v>
      </x:c>
      <x:c r="C15" s="13" t="n">
        <x:f t="shared" ref="C15:N15" si="18">$C$83</x:f>
        <x:v>1000</x:v>
      </x:c>
      <x:c r="D15" s="13">
        <x:f t="shared" si="18"/>
        <x:v>1000</x:v>
      </x:c>
      <x:c r="E15" s="13">
        <x:f t="shared" si="18"/>
        <x:v>1000</x:v>
      </x:c>
      <x:c r="F15" s="13">
        <x:f t="shared" si="18"/>
        <x:v>1000</x:v>
      </x:c>
      <x:c r="G15" s="13">
        <x:f t="shared" si="18"/>
        <x:v>1000</x:v>
      </x:c>
      <x:c r="H15" s="13">
        <x:f t="shared" si="18"/>
        <x:v>1000</x:v>
      </x:c>
      <x:c r="I15" s="13">
        <x:f t="shared" si="18"/>
        <x:v>1000</x:v>
      </x:c>
      <x:c r="J15" s="13">
        <x:f t="shared" si="18"/>
        <x:v>1000</x:v>
      </x:c>
      <x:c r="K15" s="13">
        <x:f t="shared" si="18"/>
        <x:v>1000</x:v>
      </x:c>
      <x:c r="L15" s="13">
        <x:f t="shared" si="18"/>
        <x:v>1000</x:v>
      </x:c>
      <x:c r="M15" s="13">
        <x:f t="shared" si="18"/>
        <x:v>1000</x:v>
      </x:c>
      <x:c r="N15" s="13">
        <x:f t="shared" si="18"/>
        <x:v>1000</x:v>
      </x:c>
      <x:c r="O15" s="13">
        <x:f t="shared" si="14"/>
        <x:v>12000</x:v>
      </x:c>
      <x:c r="P15" s="13" t="n">
        <x:f t="shared" ref="P15:R15" si="19">$C$83*12</x:f>
        <x:v>12000</x:v>
      </x:c>
      <x:c r="Q15" s="13">
        <x:f t="shared" si="19"/>
        <x:v>12000</x:v>
      </x:c>
      <x:c r="R15" s="13">
        <x:f t="shared" si="19"/>
        <x:v>12000</x:v>
      </x:c>
    </x:row>
    <x:row r="16" ht="21" customHeight="1">
      <x:c r="A16" s="12"/>
      <x:c r="B16" s="2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</x:row>
    <x:row r="17" ht="21" customHeight="1">
      <x:c r="A17" s="7" t="s">
        <x:v>30</x:v>
      </x:c>
      <x:c r="B17" s="8" t="s">
        <x:v>20</x:v>
      </x:c>
      <x:c r="C17" s="14" t="n">
        <x:f t="shared" ref="C17:N17" si="20">SUM(C18:C20)</x:f>
        <x:v>0</x:v>
      </x:c>
      <x:c r="D17" s="14">
        <x:f t="shared" si="20"/>
        <x:v>1800</x:v>
      </x:c>
      <x:c r="E17" s="14">
        <x:f t="shared" si="20"/>
        <x:v>0</x:v>
      </x:c>
      <x:c r="F17" s="14">
        <x:f t="shared" si="20"/>
        <x:v>1000</x:v>
      </x:c>
      <x:c r="G17" s="14">
        <x:f t="shared" si="20"/>
        <x:v>1000</x:v>
      </x:c>
      <x:c r="H17" s="14">
        <x:f t="shared" si="20"/>
        <x:v>1000</x:v>
      </x:c>
      <x:c r="I17" s="14">
        <x:f t="shared" si="20"/>
        <x:v>1000</x:v>
      </x:c>
      <x:c r="J17" s="14">
        <x:f t="shared" si="20"/>
        <x:v>1000</x:v>
      </x:c>
      <x:c r="K17" s="14">
        <x:f t="shared" si="20"/>
        <x:v>1000</x:v>
      </x:c>
      <x:c r="L17" s="14">
        <x:f t="shared" si="20"/>
        <x:v>1000</x:v>
      </x:c>
      <x:c r="M17" s="14">
        <x:f t="shared" si="20"/>
        <x:v>1000</x:v>
      </x:c>
      <x:c r="N17" s="14">
        <x:f t="shared" si="20"/>
        <x:v>1000</x:v>
      </x:c>
      <x:c r="O17" s="14" t="n">
        <x:f t="shared" ref="O17:O20" si="23">SUM(C17:N17)</x:f>
        <x:v>10800</x:v>
      </x:c>
      <x:c r="P17" s="14" t="n">
        <x:f t="shared" ref="P17:R17" si="21">SUM(P18:P20)</x:f>
        <x:v>0</x:v>
      </x:c>
      <x:c r="Q17" s="14">
        <x:f t="shared" si="21"/>
        <x:v>0</x:v>
      </x:c>
      <x:c r="R17" s="15">
        <x:f t="shared" si="21"/>
        <x:v>0</x:v>
      </x:c>
    </x:row>
    <x:row r="18" ht="21" customHeight="1">
      <x:c r="A18" s="12" t="s">
        <x:v>31</x:v>
      </x:c>
      <x:c r="B18" s="2" t="s">
        <x:v>20</x:v>
      </x:c>
      <x:c r="C18" s="13" t="n">
        <x:f t="shared" ref="C18:C20" si="25">$C$84*0</x:f>
        <x:v>0</x:v>
      </x:c>
      <x:c r="D18" s="13" t="n">
        <x:f>$C$84*0.3</x:f>
        <x:v>1800</x:v>
      </x:c>
      <x:c r="E18" s="13" t="n">
        <x:f t="shared" ref="E18:N18" si="22">$C$84*0</x:f>
        <x:v>0</x:v>
      </x:c>
      <x:c r="F18" s="13">
        <x:f t="shared" si="22"/>
        <x:v>0</x:v>
      </x:c>
      <x:c r="G18" s="13">
        <x:f t="shared" si="22"/>
        <x:v>0</x:v>
      </x:c>
      <x:c r="H18" s="13">
        <x:f t="shared" si="22"/>
        <x:v>0</x:v>
      </x:c>
      <x:c r="I18" s="13">
        <x:f t="shared" si="22"/>
        <x:v>0</x:v>
      </x:c>
      <x:c r="J18" s="13">
        <x:f t="shared" si="22"/>
        <x:v>0</x:v>
      </x:c>
      <x:c r="K18" s="13">
        <x:f t="shared" si="22"/>
        <x:v>0</x:v>
      </x:c>
      <x:c r="L18" s="13">
        <x:f t="shared" si="22"/>
        <x:v>0</x:v>
      </x:c>
      <x:c r="M18" s="13">
        <x:f t="shared" si="22"/>
        <x:v>0</x:v>
      </x:c>
      <x:c r="N18" s="13">
        <x:f t="shared" si="22"/>
        <x:v>0</x:v>
      </x:c>
      <x:c r="O18" s="13">
        <x:f t="shared" si="23"/>
        <x:v>1800</x:v>
      </x:c>
      <x:c r="P18" s="13" t="n">
        <x:f t="shared" ref="P18:R18" si="24">0</x:f>
        <x:v>0</x:v>
      </x:c>
      <x:c r="Q18" s="13">
        <x:f t="shared" si="24"/>
        <x:v>0</x:v>
      </x:c>
      <x:c r="R18" s="13">
        <x:f t="shared" si="24"/>
        <x:v>0</x:v>
      </x:c>
    </x:row>
    <x:row r="19" ht="21" customHeight="1">
      <x:c r="A19" s="12" t="s">
        <x:v>32</x:v>
      </x:c>
      <x:c r="B19" s="2" t="s">
        <x:v>20</x:v>
      </x:c>
      <x:c r="C19" s="13">
        <x:f t="shared" si="25"/>
        <x:v>0</x:v>
      </x:c>
      <x:c r="D19" s="13" t="n">
        <x:f t="shared" ref="D19:N19" si="26">$C$85*0</x:f>
        <x:v>0</x:v>
      </x:c>
      <x:c r="E19" s="13">
        <x:f t="shared" si="26"/>
        <x:v>0</x:v>
      </x:c>
      <x:c r="F19" s="13">
        <x:f t="shared" si="26"/>
        <x:v>0</x:v>
      </x:c>
      <x:c r="G19" s="13">
        <x:f t="shared" si="26"/>
        <x:v>0</x:v>
      </x:c>
      <x:c r="H19" s="13">
        <x:f t="shared" si="26"/>
        <x:v>0</x:v>
      </x:c>
      <x:c r="I19" s="13">
        <x:f t="shared" si="26"/>
        <x:v>0</x:v>
      </x:c>
      <x:c r="J19" s="13">
        <x:f t="shared" si="26"/>
        <x:v>0</x:v>
      </x:c>
      <x:c r="K19" s="13">
        <x:f t="shared" si="26"/>
        <x:v>0</x:v>
      </x:c>
      <x:c r="L19" s="13">
        <x:f t="shared" si="26"/>
        <x:v>0</x:v>
      </x:c>
      <x:c r="M19" s="13">
        <x:f t="shared" si="26"/>
        <x:v>0</x:v>
      </x:c>
      <x:c r="N19" s="13">
        <x:f t="shared" si="26"/>
        <x:v>0</x:v>
      </x:c>
      <x:c r="O19" s="13">
        <x:f t="shared" si="23"/>
        <x:v>0</x:v>
      </x:c>
      <x:c r="P19" s="13" t="n">
        <x:f t="shared" ref="P19:R19" si="27">0</x:f>
        <x:v>0</x:v>
      </x:c>
      <x:c r="Q19" s="13">
        <x:f t="shared" si="27"/>
        <x:v>0</x:v>
      </x:c>
      <x:c r="R19" s="13">
        <x:f t="shared" si="27"/>
        <x:v>0</x:v>
      </x:c>
    </x:row>
    <x:row r="20" ht="21" customHeight="1">
      <x:c r="A20" s="12" t="s">
        <x:v>33</x:v>
      </x:c>
      <x:c r="B20" s="2" t="s">
        <x:v>20</x:v>
      </x:c>
      <x:c r="C20" s="13">
        <x:f t="shared" si="25"/>
        <x:v>0</x:v>
      </x:c>
      <x:c r="D20" s="13" t="n">
        <x:f>$C$85*0</x:f>
        <x:v>0</x:v>
      </x:c>
      <x:c r="E20" s="13" t="n">
        <x:f>$C$86*0</x:f>
        <x:v>0</x:v>
      </x:c>
      <x:c r="F20" s="13" t="n">
        <x:f t="shared" ref="F20:N20" si="28">$C$86*0.25</x:f>
        <x:v>1000</x:v>
      </x:c>
      <x:c r="G20" s="13">
        <x:f t="shared" si="28"/>
        <x:v>1000</x:v>
      </x:c>
      <x:c r="H20" s="13">
        <x:f t="shared" si="28"/>
        <x:v>1000</x:v>
      </x:c>
      <x:c r="I20" s="13">
        <x:f t="shared" si="28"/>
        <x:v>1000</x:v>
      </x:c>
      <x:c r="J20" s="13">
        <x:f t="shared" si="28"/>
        <x:v>1000</x:v>
      </x:c>
      <x:c r="K20" s="13">
        <x:f t="shared" si="28"/>
        <x:v>1000</x:v>
      </x:c>
      <x:c r="L20" s="13">
        <x:f t="shared" si="28"/>
        <x:v>1000</x:v>
      </x:c>
      <x:c r="M20" s="13">
        <x:f t="shared" si="28"/>
        <x:v>1000</x:v>
      </x:c>
      <x:c r="N20" s="13">
        <x:f t="shared" si="28"/>
        <x:v>1000</x:v>
      </x:c>
      <x:c r="O20" s="13">
        <x:f t="shared" si="23"/>
        <x:v>9000</x:v>
      </x:c>
      <x:c r="P20" s="13" t="n">
        <x:f t="shared" ref="P20:R20" si="29">0</x:f>
        <x:v>0</x:v>
      </x:c>
      <x:c r="Q20" s="13">
        <x:f t="shared" si="29"/>
        <x:v>0</x:v>
      </x:c>
      <x:c r="R20" s="13">
        <x:f t="shared" si="29"/>
        <x:v>0</x:v>
      </x:c>
    </x:row>
    <x:row r="21" ht="21" customHeight="1">
      <x:c r="A21" s="12"/>
      <x:c r="B21" s="2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</x:row>
    <x:row r="22" ht="21" customHeight="1">
      <x:c r="A22" s="7" t="s">
        <x:v>34</x:v>
      </x:c>
      <x:c r="B22" s="8" t="s">
        <x:v>20</x:v>
      </x:c>
      <x:c r="C22" s="14" t="n">
        <x:f t="shared" ref="C22:N22" si="30">SUM(C23:C27)</x:f>
        <x:v>0</x:v>
      </x:c>
      <x:c r="D22" s="14">
        <x:f t="shared" si="30"/>
        <x:v>0</x:v>
      </x:c>
      <x:c r="E22" s="14">
        <x:f t="shared" si="30"/>
        <x:v>0</x:v>
      </x:c>
      <x:c r="F22" s="14">
        <x:f t="shared" si="30"/>
        <x:v>0</x:v>
      </x:c>
      <x:c r="G22" s="14">
        <x:f t="shared" si="30"/>
        <x:v>0</x:v>
      </x:c>
      <x:c r="H22" s="14">
        <x:f t="shared" si="30"/>
        <x:v>0</x:v>
      </x:c>
      <x:c r="I22" s="14">
        <x:f t="shared" si="30"/>
        <x:v>0</x:v>
      </x:c>
      <x:c r="J22" s="14">
        <x:f t="shared" si="30"/>
        <x:v>0</x:v>
      </x:c>
      <x:c r="K22" s="14">
        <x:f t="shared" si="30"/>
        <x:v>0</x:v>
      </x:c>
      <x:c r="L22" s="14">
        <x:f t="shared" si="30"/>
        <x:v>0</x:v>
      </x:c>
      <x:c r="M22" s="14">
        <x:f t="shared" si="30"/>
        <x:v>0</x:v>
      </x:c>
      <x:c r="N22" s="14">
        <x:f t="shared" si="30"/>
        <x:v>0</x:v>
      </x:c>
      <x:c r="O22" s="14" t="n">
        <x:f t="shared" ref="O22:O42" si="33">SUM(C22:N22)</x:f>
        <x:v>0</x:v>
      </x:c>
      <x:c r="P22" s="14" t="n">
        <x:f t="shared" ref="P22:R22" si="31">SUM(P23:P27)</x:f>
        <x:v>170403.33833333332</x:v>
      </x:c>
      <x:c r="Q22" s="14">
        <x:f t="shared" si="31"/>
        <x:v>640698.1472</x:v>
      </x:c>
      <x:c r="R22" s="15">
        <x:f t="shared" si="31"/>
        <x:v>1497051.78</x:v>
      </x:c>
    </x:row>
    <x:row r="23" ht="21" customHeight="1">
      <x:c r="A23" s="12" t="s">
        <x:v>35</x:v>
      </x:c>
      <x:c r="B23" s="2" t="s">
        <x:v>20</x:v>
      </x:c>
      <x:c r="C23" s="13" t="n">
        <x:f t="shared" ref="C23:N23" si="32">0</x:f>
        <x:v>0</x:v>
      </x:c>
      <x:c r="D23" s="13">
        <x:f t="shared" si="32"/>
        <x:v>0</x:v>
      </x:c>
      <x:c r="E23" s="13">
        <x:f t="shared" si="32"/>
        <x:v>0</x:v>
      </x:c>
      <x:c r="F23" s="13">
        <x:f t="shared" si="32"/>
        <x:v>0</x:v>
      </x:c>
      <x:c r="G23" s="13">
        <x:f t="shared" si="32"/>
        <x:v>0</x:v>
      </x:c>
      <x:c r="H23" s="13">
        <x:f t="shared" si="32"/>
        <x:v>0</x:v>
      </x:c>
      <x:c r="I23" s="13">
        <x:f t="shared" si="32"/>
        <x:v>0</x:v>
      </x:c>
      <x:c r="J23" s="13">
        <x:f t="shared" si="32"/>
        <x:v>0</x:v>
      </x:c>
      <x:c r="K23" s="13">
        <x:f t="shared" si="32"/>
        <x:v>0</x:v>
      </x:c>
      <x:c r="L23" s="13">
        <x:f t="shared" si="32"/>
        <x:v>0</x:v>
      </x:c>
      <x:c r="M23" s="13">
        <x:f t="shared" si="32"/>
        <x:v>0</x:v>
      </x:c>
      <x:c r="N23" s="13">
        <x:f t="shared" si="32"/>
        <x:v>0</x:v>
      </x:c>
      <x:c r="O23" s="13">
        <x:f t="shared" si="33"/>
        <x:v>0</x:v>
      </x:c>
      <x:c r="P23" s="13" t="n">
        <x:f t="shared" ref="P23:R23" si="34">P132/(1-$C$90)*$C$66</x:f>
        <x:v>26981.13333333333</x:v>
      </x:c>
      <x:c r="Q23" s="13">
        <x:f t="shared" si="34"/>
        <x:v>98475.44444</x:v>
      </x:c>
      <x:c r="R23" s="13">
        <x:f t="shared" si="34"/>
        <x:v>204009.2444</x:v>
      </x:c>
    </x:row>
    <x:row r="24" ht="21" customHeight="1">
      <x:c r="A24" s="12" t="s">
        <x:v>36</x:v>
      </x:c>
      <x:c r="B24" s="2" t="s">
        <x:v>20</x:v>
      </x:c>
      <x:c r="C24" s="13" t="n">
        <x:f t="shared" ref="C24:N24" si="35">0</x:f>
        <x:v>0</x:v>
      </x:c>
      <x:c r="D24" s="13">
        <x:f t="shared" si="35"/>
        <x:v>0</x:v>
      </x:c>
      <x:c r="E24" s="13">
        <x:f t="shared" si="35"/>
        <x:v>0</x:v>
      </x:c>
      <x:c r="F24" s="13">
        <x:f t="shared" si="35"/>
        <x:v>0</x:v>
      </x:c>
      <x:c r="G24" s="13">
        <x:f t="shared" si="35"/>
        <x:v>0</x:v>
      </x:c>
      <x:c r="H24" s="13">
        <x:f t="shared" si="35"/>
        <x:v>0</x:v>
      </x:c>
      <x:c r="I24" s="13">
        <x:f t="shared" si="35"/>
        <x:v>0</x:v>
      </x:c>
      <x:c r="J24" s="13">
        <x:f t="shared" si="35"/>
        <x:v>0</x:v>
      </x:c>
      <x:c r="K24" s="13">
        <x:f t="shared" si="35"/>
        <x:v>0</x:v>
      </x:c>
      <x:c r="L24" s="13">
        <x:f t="shared" si="35"/>
        <x:v>0</x:v>
      </x:c>
      <x:c r="M24" s="13">
        <x:f t="shared" si="35"/>
        <x:v>0</x:v>
      </x:c>
      <x:c r="N24" s="13">
        <x:f t="shared" si="35"/>
        <x:v>0</x:v>
      </x:c>
      <x:c r="O24" s="13">
        <x:f t="shared" si="33"/>
        <x:v>0</x:v>
      </x:c>
      <x:c r="P24" s="13" t="n">
        <x:f t="shared" ref="P24:R24" si="36">P132/(1-$C$90)*$C$67</x:f>
        <x:v>18185.405000000002</x:v>
      </x:c>
      <x:c r="Q24" s="13">
        <x:f t="shared" si="36"/>
        <x:v>66372.89167</x:v>
      </x:c>
      <x:c r="R24" s="13">
        <x:f t="shared" si="36"/>
        <x:v>137503.1467</x:v>
      </x:c>
    </x:row>
    <x:row r="25" ht="21" customHeight="1">
      <x:c r="A25" s="12" t="s">
        <x:v>37</x:v>
      </x:c>
      <x:c r="B25" s="2" t="s">
        <x:v>20</x:v>
      </x:c>
      <x:c r="C25" s="13" t="n">
        <x:f t="shared" ref="C25:N25" si="37">0</x:f>
        <x:v>0</x:v>
      </x:c>
      <x:c r="D25" s="13">
        <x:f t="shared" si="37"/>
        <x:v>0</x:v>
      </x:c>
      <x:c r="E25" s="13">
        <x:f t="shared" si="37"/>
        <x:v>0</x:v>
      </x:c>
      <x:c r="F25" s="13">
        <x:f t="shared" si="37"/>
        <x:v>0</x:v>
      </x:c>
      <x:c r="G25" s="13">
        <x:f t="shared" si="37"/>
        <x:v>0</x:v>
      </x:c>
      <x:c r="H25" s="13">
        <x:f t="shared" si="37"/>
        <x:v>0</x:v>
      </x:c>
      <x:c r="I25" s="13">
        <x:f t="shared" si="37"/>
        <x:v>0</x:v>
      </x:c>
      <x:c r="J25" s="13">
        <x:f t="shared" si="37"/>
        <x:v>0</x:v>
      </x:c>
      <x:c r="K25" s="13">
        <x:f t="shared" si="37"/>
        <x:v>0</x:v>
      </x:c>
      <x:c r="L25" s="13">
        <x:f t="shared" si="37"/>
        <x:v>0</x:v>
      </x:c>
      <x:c r="M25" s="13">
        <x:f t="shared" si="37"/>
        <x:v>0</x:v>
      </x:c>
      <x:c r="N25" s="13">
        <x:f t="shared" si="37"/>
        <x:v>0</x:v>
      </x:c>
      <x:c r="O25" s="13">
        <x:f t="shared" si="33"/>
        <x:v>0</x:v>
      </x:c>
      <x:c r="P25" s="13" t="n">
        <x:f t="shared" ref="P25:R25" si="38">P132*$C$68/$C$65</x:f>
        <x:v>711</x:v>
      </x:c>
      <x:c r="Q25" s="13">
        <x:f t="shared" si="38"/>
        <x:v>2595</x:v>
      </x:c>
      <x:c r="R25" s="13">
        <x:f t="shared" si="38"/>
        <x:v>5376</x:v>
      </x:c>
    </x:row>
    <x:row r="26" ht="21" customHeight="1">
      <x:c r="A26" s="12" t="s">
        <x:v>38</x:v>
      </x:c>
      <x:c r="B26" s="2" t="s">
        <x:v>20</x:v>
      </x:c>
      <x:c r="C26" s="13" t="n">
        <x:f t="shared" ref="C26:N26" si="39">C61/(1-$C$90)*$C$69+C61*$C$70</x:f>
        <x:v>0</x:v>
      </x:c>
      <x:c r="D26" s="13">
        <x:f t="shared" si="39"/>
        <x:v>0</x:v>
      </x:c>
      <x:c r="E26" s="13">
        <x:f t="shared" si="39"/>
        <x:v>0</x:v>
      </x:c>
      <x:c r="F26" s="13">
        <x:f t="shared" si="39"/>
        <x:v>0</x:v>
      </x:c>
      <x:c r="G26" s="13">
        <x:f t="shared" si="39"/>
        <x:v>0</x:v>
      </x:c>
      <x:c r="H26" s="13">
        <x:f t="shared" si="39"/>
        <x:v>0</x:v>
      </x:c>
      <x:c r="I26" s="13">
        <x:f t="shared" si="39"/>
        <x:v>0</x:v>
      </x:c>
      <x:c r="J26" s="13">
        <x:f t="shared" si="39"/>
        <x:v>0</x:v>
      </x:c>
      <x:c r="K26" s="13">
        <x:f t="shared" si="39"/>
        <x:v>0</x:v>
      </x:c>
      <x:c r="L26" s="13">
        <x:f t="shared" si="39"/>
        <x:v>0</x:v>
      </x:c>
      <x:c r="M26" s="13">
        <x:f t="shared" si="39"/>
        <x:v>0</x:v>
      </x:c>
      <x:c r="N26" s="13">
        <x:f t="shared" si="39"/>
        <x:v>0</x:v>
      </x:c>
      <x:c r="O26" s="13">
        <x:f t="shared" si="33"/>
        <x:v>0</x:v>
      </x:c>
      <x:c r="P26" s="13" t="n">
        <x:f t="shared" ref="P26:R26" si="40">P61/(1-$C$90)*$C$69+P61*$C$70</x:f>
        <x:v>101857.8</x:v>
      </x:c>
      <x:c r="Q26" s="13">
        <x:f t="shared" si="40"/>
        <x:v>396752.8111</x:v>
      </x:c>
      <x:c r="R26" s="13">
        <x:f t="shared" si="40"/>
        <x:v>971733.3889</x:v>
      </x:c>
    </x:row>
    <x:row r="27" ht="21" customHeight="1">
      <x:c r="A27" s="12" t="s">
        <x:v>39</x:v>
      </x:c>
      <x:c r="B27" s="2" t="s">
        <x:v>20</x:v>
      </x:c>
      <x:c r="C27" s="13" t="n">
        <x:f t="shared" ref="C27:N27" si="41">SUM(C5:C6)*$C$91</x:f>
        <x:v>0</x:v>
      </x:c>
      <x:c r="D27" s="13">
        <x:f t="shared" si="41"/>
        <x:v>0</x:v>
      </x:c>
      <x:c r="E27" s="13">
        <x:f t="shared" si="41"/>
        <x:v>0</x:v>
      </x:c>
      <x:c r="F27" s="13">
        <x:f t="shared" si="41"/>
        <x:v>0</x:v>
      </x:c>
      <x:c r="G27" s="13">
        <x:f t="shared" si="41"/>
        <x:v>0</x:v>
      </x:c>
      <x:c r="H27" s="13">
        <x:f t="shared" si="41"/>
        <x:v>0</x:v>
      </x:c>
      <x:c r="I27" s="13">
        <x:f t="shared" si="41"/>
        <x:v>0</x:v>
      </x:c>
      <x:c r="J27" s="13">
        <x:f t="shared" si="41"/>
        <x:v>0</x:v>
      </x:c>
      <x:c r="K27" s="13">
        <x:f t="shared" si="41"/>
        <x:v>0</x:v>
      </x:c>
      <x:c r="L27" s="13">
        <x:f t="shared" si="41"/>
        <x:v>0</x:v>
      </x:c>
      <x:c r="M27" s="13">
        <x:f t="shared" si="41"/>
        <x:v>0</x:v>
      </x:c>
      <x:c r="N27" s="13">
        <x:f t="shared" si="41"/>
        <x:v>0</x:v>
      </x:c>
      <x:c r="O27" s="13">
        <x:f t="shared" si="33"/>
        <x:v>0</x:v>
      </x:c>
      <x:c r="P27" s="13" t="n">
        <x:f t="shared" ref="P27:R27" si="42">SUM(P5:P6)*$C$91</x:f>
        <x:v>22668</x:v>
      </x:c>
      <x:c r="Q27" s="13">
        <x:f t="shared" si="42"/>
        <x:v>76502</x:v>
      </x:c>
      <x:c r="R27" s="13">
        <x:f t="shared" si="42"/>
        <x:v>178430</x:v>
      </x:c>
    </x:row>
    <x:row r="28" ht="21" customHeight="1">
      <x:c r="A28" s="7" t="s">
        <x:v>40</x:v>
      </x:c>
      <x:c r="B28" s="8" t="s">
        <x:v>20</x:v>
      </x:c>
      <x:c r="C28" s="14" t="n">
        <x:f t="shared" ref="C28:N28" si="43">SUM(C29:C37)</x:f>
        <x:v>13700</x:v>
      </x:c>
      <x:c r="D28" s="14">
        <x:f t="shared" si="43"/>
        <x:v>13700</x:v>
      </x:c>
      <x:c r="E28" s="14">
        <x:f t="shared" si="43"/>
        <x:v>13700</x:v>
      </x:c>
      <x:c r="F28" s="14">
        <x:f t="shared" si="43"/>
        <x:v>13700</x:v>
      </x:c>
      <x:c r="G28" s="14">
        <x:f t="shared" si="43"/>
        <x:v>13700</x:v>
      </x:c>
      <x:c r="H28" s="14">
        <x:f t="shared" si="43"/>
        <x:v>13700</x:v>
      </x:c>
      <x:c r="I28" s="14">
        <x:f t="shared" si="43"/>
        <x:v>13700</x:v>
      </x:c>
      <x:c r="J28" s="14">
        <x:f t="shared" si="43"/>
        <x:v>13700</x:v>
      </x:c>
      <x:c r="K28" s="14">
        <x:f t="shared" si="43"/>
        <x:v>13700</x:v>
      </x:c>
      <x:c r="L28" s="14">
        <x:f t="shared" si="43"/>
        <x:v>13700</x:v>
      </x:c>
      <x:c r="M28" s="14">
        <x:f t="shared" si="43"/>
        <x:v>13700</x:v>
      </x:c>
      <x:c r="N28" s="14">
        <x:f t="shared" si="43"/>
        <x:v>13700</x:v>
      </x:c>
      <x:c r="O28" s="14">
        <x:f t="shared" si="33"/>
        <x:v>164400</x:v>
      </x:c>
      <x:c r="P28" s="14" t="n">
        <x:f t="shared" ref="P28:R28" si="44">SUM(P29:P37)</x:f>
        <x:v>18978.288191304466</x:v>
      </x:c>
      <x:c r="Q28" s="14">
        <x:f t="shared" si="44"/>
        <x:v>50241.58389</x:v>
      </x:c>
      <x:c r="R28" s="15">
        <x:f t="shared" si="44"/>
        <x:v>108305.691</x:v>
      </x:c>
    </x:row>
    <x:row r="29" ht="21" customHeight="1">
      <x:c r="A29" s="12" t="s">
        <x:v>41</x:v>
      </x:c>
      <x:c r="B29" s="2" t="s">
        <x:v>20</x:v>
      </x:c>
      <x:c r="C29" s="13" t="n">
        <x:f t="shared" ref="C29:N29" si="45">$C$71*$C$73*$C$77/$C$78</x:f>
        <x:v>6533.333333333333</x:v>
      </x:c>
      <x:c r="D29" s="13">
        <x:f t="shared" si="45"/>
        <x:v>6533.333333</x:v>
      </x:c>
      <x:c r="E29" s="13">
        <x:f t="shared" si="45"/>
        <x:v>6533.333333</x:v>
      </x:c>
      <x:c r="F29" s="13">
        <x:f t="shared" si="45"/>
        <x:v>6533.333333</x:v>
      </x:c>
      <x:c r="G29" s="13">
        <x:f t="shared" si="45"/>
        <x:v>6533.333333</x:v>
      </x:c>
      <x:c r="H29" s="13">
        <x:f t="shared" si="45"/>
        <x:v>6533.333333</x:v>
      </x:c>
      <x:c r="I29" s="13">
        <x:f t="shared" si="45"/>
        <x:v>6533.333333</x:v>
      </x:c>
      <x:c r="J29" s="13">
        <x:f t="shared" si="45"/>
        <x:v>6533.333333</x:v>
      </x:c>
      <x:c r="K29" s="13">
        <x:f t="shared" si="45"/>
        <x:v>6533.333333</x:v>
      </x:c>
      <x:c r="L29" s="13">
        <x:f t="shared" si="45"/>
        <x:v>6533.333333</x:v>
      </x:c>
      <x:c r="M29" s="13">
        <x:f t="shared" si="45"/>
        <x:v>6533.333333</x:v>
      </x:c>
      <x:c r="N29" s="13">
        <x:f t="shared" si="45"/>
        <x:v>6533.333333</x:v>
      </x:c>
      <x:c r="O29" s="13">
        <x:f t="shared" si="33"/>
        <x:v>78400</x:v>
      </x:c>
      <x:c r="P29" s="13" t="n">
        <x:f t="shared" ref="P29:R29" si="46">0</x:f>
        <x:v>0</x:v>
      </x:c>
      <x:c r="Q29" s="13">
        <x:f t="shared" si="46"/>
        <x:v>0</x:v>
      </x:c>
      <x:c r="R29" s="13">
        <x:f t="shared" si="46"/>
        <x:v>0</x:v>
      </x:c>
    </x:row>
    <x:row r="30" ht="21" customHeight="1">
      <x:c r="A30" s="12" t="s">
        <x:v>42</x:v>
      </x:c>
      <x:c r="B30" s="2" t="s">
        <x:v>20</x:v>
      </x:c>
      <x:c r="C30" s="13" t="n">
        <x:f t="shared" ref="C30:N30" si="47">$C$72*$C$74*$C$77/$C$78</x:f>
        <x:v>4666.666666666667</x:v>
      </x:c>
      <x:c r="D30" s="13">
        <x:f t="shared" si="47"/>
        <x:v>4666.666667</x:v>
      </x:c>
      <x:c r="E30" s="13">
        <x:f t="shared" si="47"/>
        <x:v>4666.666667</x:v>
      </x:c>
      <x:c r="F30" s="13">
        <x:f t="shared" si="47"/>
        <x:v>4666.666667</x:v>
      </x:c>
      <x:c r="G30" s="13">
        <x:f t="shared" si="47"/>
        <x:v>4666.666667</x:v>
      </x:c>
      <x:c r="H30" s="13">
        <x:f t="shared" si="47"/>
        <x:v>4666.666667</x:v>
      </x:c>
      <x:c r="I30" s="13">
        <x:f t="shared" si="47"/>
        <x:v>4666.666667</x:v>
      </x:c>
      <x:c r="J30" s="13">
        <x:f t="shared" si="47"/>
        <x:v>4666.666667</x:v>
      </x:c>
      <x:c r="K30" s="13">
        <x:f t="shared" si="47"/>
        <x:v>4666.666667</x:v>
      </x:c>
      <x:c r="L30" s="13">
        <x:f t="shared" si="47"/>
        <x:v>4666.666667</x:v>
      </x:c>
      <x:c r="M30" s="13">
        <x:f t="shared" si="47"/>
        <x:v>4666.666667</x:v>
      </x:c>
      <x:c r="N30" s="13">
        <x:f t="shared" si="47"/>
        <x:v>4666.666667</x:v>
      </x:c>
      <x:c r="O30" s="13">
        <x:f t="shared" si="33"/>
        <x:v>56000</x:v>
      </x:c>
      <x:c r="P30" s="13" t="n">
        <x:f t="shared" ref="P30:R30" si="48">0</x:f>
        <x:v>0</x:v>
      </x:c>
      <x:c r="Q30" s="13">
        <x:f t="shared" si="48"/>
        <x:v>0</x:v>
      </x:c>
      <x:c r="R30" s="13">
        <x:f t="shared" si="48"/>
        <x:v>0</x:v>
      </x:c>
    </x:row>
    <x:row r="31" ht="21" customHeight="1">
      <x:c r="A31" s="12" t="s">
        <x:v>43</x:v>
      </x:c>
      <x:c r="B31" s="2" t="s">
        <x:v>20</x:v>
      </x:c>
      <x:c r="C31" s="13" t="n">
        <x:f t="shared" ref="C31:N31" si="49">0</x:f>
        <x:v>0</x:v>
      </x:c>
      <x:c r="D31" s="13">
        <x:f t="shared" si="49"/>
        <x:v>0</x:v>
      </x:c>
      <x:c r="E31" s="13">
        <x:f t="shared" si="49"/>
        <x:v>0</x:v>
      </x:c>
      <x:c r="F31" s="13">
        <x:f t="shared" si="49"/>
        <x:v>0</x:v>
      </x:c>
      <x:c r="G31" s="13">
        <x:f t="shared" si="49"/>
        <x:v>0</x:v>
      </x:c>
      <x:c r="H31" s="13">
        <x:f t="shared" si="49"/>
        <x:v>0</x:v>
      </x:c>
      <x:c r="I31" s="13">
        <x:f t="shared" si="49"/>
        <x:v>0</x:v>
      </x:c>
      <x:c r="J31" s="13">
        <x:f t="shared" si="49"/>
        <x:v>0</x:v>
      </x:c>
      <x:c r="K31" s="13">
        <x:f t="shared" si="49"/>
        <x:v>0</x:v>
      </x:c>
      <x:c r="L31" s="13">
        <x:f t="shared" si="49"/>
        <x:v>0</x:v>
      </x:c>
      <x:c r="M31" s="13">
        <x:f t="shared" si="49"/>
        <x:v>0</x:v>
      </x:c>
      <x:c r="N31" s="13">
        <x:f t="shared" si="49"/>
        <x:v>0</x:v>
      </x:c>
      <x:c r="O31" s="13">
        <x:f t="shared" si="33"/>
        <x:v>0</x:v>
      </x:c>
      <x:c r="P31" s="13" t="n">
        <x:f t="shared" ref="P31:R31" si="50">0</x:f>
        <x:v>0</x:v>
      </x:c>
      <x:c r="Q31" s="13">
        <x:f t="shared" si="50"/>
        <x:v>0</x:v>
      </x:c>
      <x:c r="R31" s="13">
        <x:f t="shared" si="50"/>
        <x:v>0</x:v>
      </x:c>
    </x:row>
    <x:row r="32" ht="21" customHeight="1">
      <x:c r="A32" s="12" t="s">
        <x:v>44</x:v>
      </x:c>
      <x:c r="B32" s="2" t="s">
        <x:v>20</x:v>
      </x:c>
      <x:c r="C32" s="13" t="n">
        <x:f t="shared" ref="C32:N32" si="51">$C$88/5</x:f>
        <x:v>2000</x:v>
      </x:c>
      <x:c r="D32" s="13">
        <x:f t="shared" si="51"/>
        <x:v>2000</x:v>
      </x:c>
      <x:c r="E32" s="13">
        <x:f t="shared" si="51"/>
        <x:v>2000</x:v>
      </x:c>
      <x:c r="F32" s="13">
        <x:f t="shared" si="51"/>
        <x:v>2000</x:v>
      </x:c>
      <x:c r="G32" s="13">
        <x:f t="shared" si="51"/>
        <x:v>2000</x:v>
      </x:c>
      <x:c r="H32" s="13">
        <x:f t="shared" si="51"/>
        <x:v>2000</x:v>
      </x:c>
      <x:c r="I32" s="13">
        <x:f t="shared" si="51"/>
        <x:v>2000</x:v>
      </x:c>
      <x:c r="J32" s="13">
        <x:f t="shared" si="51"/>
        <x:v>2000</x:v>
      </x:c>
      <x:c r="K32" s="13">
        <x:f t="shared" si="51"/>
        <x:v>2000</x:v>
      </x:c>
      <x:c r="L32" s="13">
        <x:f t="shared" si="51"/>
        <x:v>2000</x:v>
      </x:c>
      <x:c r="M32" s="13">
        <x:f t="shared" si="51"/>
        <x:v>2000</x:v>
      </x:c>
      <x:c r="N32" s="13">
        <x:f t="shared" si="51"/>
        <x:v>2000</x:v>
      </x:c>
      <x:c r="O32" s="13">
        <x:f t="shared" si="33"/>
        <x:v>24000</x:v>
      </x:c>
      <x:c r="P32" s="13" t="n">
        <x:f t="shared" ref="P32:R32" si="52">0</x:f>
        <x:v>0</x:v>
      </x:c>
      <x:c r="Q32" s="13">
        <x:f t="shared" si="52"/>
        <x:v>0</x:v>
      </x:c>
      <x:c r="R32" s="13">
        <x:f t="shared" si="52"/>
        <x:v>0</x:v>
      </x:c>
    </x:row>
    <x:row r="33" ht="21" customHeight="1">
      <x:c r="A33" s="12" t="s">
        <x:v>45</x:v>
      </x:c>
      <x:c r="B33" s="2" t="s">
        <x:v>20</x:v>
      </x:c>
      <x:c r="C33" s="13" t="n">
        <x:f t="shared" ref="C33:N33" si="53">0</x:f>
        <x:v>0</x:v>
      </x:c>
      <x:c r="D33" s="13">
        <x:f t="shared" si="53"/>
        <x:v>0</x:v>
      </x:c>
      <x:c r="E33" s="13">
        <x:f t="shared" si="53"/>
        <x:v>0</x:v>
      </x:c>
      <x:c r="F33" s="13">
        <x:f t="shared" si="53"/>
        <x:v>0</x:v>
      </x:c>
      <x:c r="G33" s="13">
        <x:f t="shared" si="53"/>
        <x:v>0</x:v>
      </x:c>
      <x:c r="H33" s="13">
        <x:f t="shared" si="53"/>
        <x:v>0</x:v>
      </x:c>
      <x:c r="I33" s="13">
        <x:f t="shared" si="53"/>
        <x:v>0</x:v>
      </x:c>
      <x:c r="J33" s="13">
        <x:f t="shared" si="53"/>
        <x:v>0</x:v>
      </x:c>
      <x:c r="K33" s="13">
        <x:f t="shared" si="53"/>
        <x:v>0</x:v>
      </x:c>
      <x:c r="L33" s="13">
        <x:f t="shared" si="53"/>
        <x:v>0</x:v>
      </x:c>
      <x:c r="M33" s="13">
        <x:f t="shared" si="53"/>
        <x:v>0</x:v>
      </x:c>
      <x:c r="N33" s="13">
        <x:f t="shared" si="53"/>
        <x:v>0</x:v>
      </x:c>
      <x:c r="O33" s="13">
        <x:f t="shared" si="33"/>
        <x:v>0</x:v>
      </x:c>
      <x:c r="P33" s="13" t="n">
        <x:f t="shared" ref="P33:R33" si="54">0</x:f>
        <x:v>0</x:v>
      </x:c>
      <x:c r="Q33" s="13">
        <x:f t="shared" si="54"/>
        <x:v>0</x:v>
      </x:c>
      <x:c r="R33" s="13">
        <x:f t="shared" si="54"/>
        <x:v>0</x:v>
      </x:c>
    </x:row>
    <x:row r="34" ht="21" customHeight="1">
      <x:c r="A34" s="12" t="s">
        <x:v>46</x:v>
      </x:c>
      <x:c r="B34" s="2" t="s">
        <x:v>20</x:v>
      </x:c>
      <x:c r="C34" s="13" t="n">
        <x:f t="shared" ref="C34:N34" si="55">$C$103</x:f>
        <x:v>500</x:v>
      </x:c>
      <x:c r="D34" s="13">
        <x:f t="shared" si="55"/>
        <x:v>500</x:v>
      </x:c>
      <x:c r="E34" s="13">
        <x:f t="shared" si="55"/>
        <x:v>500</x:v>
      </x:c>
      <x:c r="F34" s="13">
        <x:f t="shared" si="55"/>
        <x:v>500</x:v>
      </x:c>
      <x:c r="G34" s="13">
        <x:f t="shared" si="55"/>
        <x:v>500</x:v>
      </x:c>
      <x:c r="H34" s="13">
        <x:f t="shared" si="55"/>
        <x:v>500</x:v>
      </x:c>
      <x:c r="I34" s="13">
        <x:f t="shared" si="55"/>
        <x:v>500</x:v>
      </x:c>
      <x:c r="J34" s="13">
        <x:f t="shared" si="55"/>
        <x:v>500</x:v>
      </x:c>
      <x:c r="K34" s="13">
        <x:f t="shared" si="55"/>
        <x:v>500</x:v>
      </x:c>
      <x:c r="L34" s="13">
        <x:f t="shared" si="55"/>
        <x:v>500</x:v>
      </x:c>
      <x:c r="M34" s="13">
        <x:f t="shared" si="55"/>
        <x:v>500</x:v>
      </x:c>
      <x:c r="N34" s="13">
        <x:f t="shared" si="55"/>
        <x:v>500</x:v>
      </x:c>
      <x:c r="O34" s="13">
        <x:f t="shared" si="33"/>
        <x:v>6000</x:v>
      </x:c>
      <x:c r="P34" s="13" t="n">
        <x:f t="shared" ref="P34:R34" si="56">$C$103*12</x:f>
        <x:v>6000</x:v>
      </x:c>
      <x:c r="Q34" s="13">
        <x:f t="shared" si="56"/>
        <x:v>6000</x:v>
      </x:c>
      <x:c r="R34" s="13">
        <x:f t="shared" si="56"/>
        <x:v>6000</x:v>
      </x:c>
    </x:row>
    <x:row r="35" ht="21" customHeight="1">
      <x:c r="A35" s="12" t="s">
        <x:v>47</x:v>
      </x:c>
      <x:c r="B35" s="2" t="s">
        <x:v>20</x:v>
      </x:c>
      <x:c r="C35" s="13" t="n">
        <x:f t="shared" ref="C35:N35" si="57">0</x:f>
        <x:v>0</x:v>
      </x:c>
      <x:c r="D35" s="13">
        <x:f t="shared" si="57"/>
        <x:v>0</x:v>
      </x:c>
      <x:c r="E35" s="13">
        <x:f t="shared" si="57"/>
        <x:v>0</x:v>
      </x:c>
      <x:c r="F35" s="13">
        <x:f t="shared" si="57"/>
        <x:v>0</x:v>
      </x:c>
      <x:c r="G35" s="13">
        <x:f t="shared" si="57"/>
        <x:v>0</x:v>
      </x:c>
      <x:c r="H35" s="13">
        <x:f t="shared" si="57"/>
        <x:v>0</x:v>
      </x:c>
      <x:c r="I35" s="13">
        <x:f t="shared" si="57"/>
        <x:v>0</x:v>
      </x:c>
      <x:c r="J35" s="13">
        <x:f t="shared" si="57"/>
        <x:v>0</x:v>
      </x:c>
      <x:c r="K35" s="13">
        <x:f t="shared" si="57"/>
        <x:v>0</x:v>
      </x:c>
      <x:c r="L35" s="13">
        <x:f t="shared" si="57"/>
        <x:v>0</x:v>
      </x:c>
      <x:c r="M35" s="13">
        <x:f t="shared" si="57"/>
        <x:v>0</x:v>
      </x:c>
      <x:c r="N35" s="13">
        <x:f t="shared" si="57"/>
        <x:v>0</x:v>
      </x:c>
      <x:c r="O35" s="13">
        <x:f t="shared" si="33"/>
        <x:v>0</x:v>
      </x:c>
      <x:c r="P35" s="13" t="n">
        <x:f t="shared" ref="P35:R35" si="58">0</x:f>
        <x:v>0</x:v>
      </x:c>
      <x:c r="Q35" s="13">
        <x:f t="shared" si="58"/>
        <x:v>0</x:v>
      </x:c>
      <x:c r="R35" s="13">
        <x:f t="shared" si="58"/>
        <x:v>0</x:v>
      </x:c>
    </x:row>
    <x:row r="36" ht="21" customHeight="1">
      <x:c r="A36" s="12" t="s">
        <x:v>48</x:v>
      </x:c>
      <x:c r="B36" s="2" t="s">
        <x:v>20</x:v>
      </x:c>
      <x:c r="C36" s="13" t="n">
        <x:f t="shared" ref="C36:N36" si="59">0</x:f>
        <x:v>0</x:v>
      </x:c>
      <x:c r="D36" s="13">
        <x:f t="shared" si="59"/>
        <x:v>0</x:v>
      </x:c>
      <x:c r="E36" s="13">
        <x:f t="shared" si="59"/>
        <x:v>0</x:v>
      </x:c>
      <x:c r="F36" s="13">
        <x:f t="shared" si="59"/>
        <x:v>0</x:v>
      </x:c>
      <x:c r="G36" s="13">
        <x:f t="shared" si="59"/>
        <x:v>0</x:v>
      </x:c>
      <x:c r="H36" s="13">
        <x:f t="shared" si="59"/>
        <x:v>0</x:v>
      </x:c>
      <x:c r="I36" s="13">
        <x:f t="shared" si="59"/>
        <x:v>0</x:v>
      </x:c>
      <x:c r="J36" s="13">
        <x:f t="shared" si="59"/>
        <x:v>0</x:v>
      </x:c>
      <x:c r="K36" s="13">
        <x:f t="shared" si="59"/>
        <x:v>0</x:v>
      </x:c>
      <x:c r="L36" s="13">
        <x:f t="shared" si="59"/>
        <x:v>0</x:v>
      </x:c>
      <x:c r="M36" s="13">
        <x:f t="shared" si="59"/>
        <x:v>0</x:v>
      </x:c>
      <x:c r="N36" s="13">
        <x:f t="shared" si="59"/>
        <x:v>0</x:v>
      </x:c>
      <x:c r="O36" s="13">
        <x:f t="shared" si="33"/>
        <x:v>0</x:v>
      </x:c>
      <x:c r="P36" s="13" t="n">
        <x:f>'Plan comercial'!C65</x:f>
        <x:v>3450</x:v>
      </x:c>
      <x:c r="Q36" s="13" t="n">
        <x:f>'Plan comercial'!D65</x:f>
        <x:v>7125</x:v>
      </x:c>
      <x:c r="R36" s="13" t="n">
        <x:f>'Plan comercial'!E65</x:f>
        <x:v>11400</x:v>
      </x:c>
    </x:row>
    <x:row r="37" ht="21" customHeight="1">
      <x:c r="A37" s="12" t="s">
        <x:v>49</x:v>
      </x:c>
      <x:c r="B37" s="2" t="s">
        <x:v>20</x:v>
      </x:c>
      <x:c r="C37" s="13" t="n">
        <x:f t="shared" ref="C37:N37" si="60">0</x:f>
        <x:v>0</x:v>
      </x:c>
      <x:c r="D37" s="13">
        <x:f t="shared" si="60"/>
        <x:v>0</x:v>
      </x:c>
      <x:c r="E37" s="13">
        <x:f t="shared" si="60"/>
        <x:v>0</x:v>
      </x:c>
      <x:c r="F37" s="13">
        <x:f t="shared" si="60"/>
        <x:v>0</x:v>
      </x:c>
      <x:c r="G37" s="13">
        <x:f t="shared" si="60"/>
        <x:v>0</x:v>
      </x:c>
      <x:c r="H37" s="13">
        <x:f t="shared" si="60"/>
        <x:v>0</x:v>
      </x:c>
      <x:c r="I37" s="13">
        <x:f t="shared" si="60"/>
        <x:v>0</x:v>
      </x:c>
      <x:c r="J37" s="13">
        <x:f t="shared" si="60"/>
        <x:v>0</x:v>
      </x:c>
      <x:c r="K37" s="13">
        <x:f t="shared" si="60"/>
        <x:v>0</x:v>
      </x:c>
      <x:c r="L37" s="13">
        <x:f t="shared" si="60"/>
        <x:v>0</x:v>
      </x:c>
      <x:c r="M37" s="13">
        <x:f t="shared" si="60"/>
        <x:v>0</x:v>
      </x:c>
      <x:c r="N37" s="13">
        <x:f t="shared" si="60"/>
        <x:v>0</x:v>
      </x:c>
      <x:c r="O37" s="13">
        <x:f t="shared" si="33"/>
        <x:v>0</x:v>
      </x:c>
      <x:c r="P37" s="13" t="n">
        <x:f t="shared" ref="P37:R37" si="61">P60*$C$94/100*$C$95*12</x:f>
        <x:v>9528.288191304466</x:v>
      </x:c>
      <x:c r="Q37" s="13">
        <x:f t="shared" si="61"/>
        <x:v>37116.58389</x:v>
      </x:c>
      <x:c r="R37" s="13">
        <x:f t="shared" si="61"/>
        <x:v>90905.69104</x:v>
      </x:c>
    </x:row>
    <x:row r="38" ht="21" customHeight="1">
      <x:c r="A38" s="7" t="s">
        <x:v>50</x:v>
      </x:c>
      <x:c r="B38" s="8" t="s">
        <x:v>20</x:v>
      </x:c>
      <x:c r="C38" s="14" t="n">
        <x:f t="shared" ref="C38:N38" si="62">SUM(C39:C40)</x:f>
        <x:v>0</x:v>
      </x:c>
      <x:c r="D38" s="14">
        <x:f t="shared" si="62"/>
        <x:v>0</x:v>
      </x:c>
      <x:c r="E38" s="14">
        <x:f t="shared" si="62"/>
        <x:v>0</x:v>
      </x:c>
      <x:c r="F38" s="14">
        <x:f t="shared" si="62"/>
        <x:v>0</x:v>
      </x:c>
      <x:c r="G38" s="14">
        <x:f t="shared" si="62"/>
        <x:v>0</x:v>
      </x:c>
      <x:c r="H38" s="14">
        <x:f t="shared" si="62"/>
        <x:v>0</x:v>
      </x:c>
      <x:c r="I38" s="14">
        <x:f t="shared" si="62"/>
        <x:v>0</x:v>
      </x:c>
      <x:c r="J38" s="14">
        <x:f t="shared" si="62"/>
        <x:v>0</x:v>
      </x:c>
      <x:c r="K38" s="14">
        <x:f t="shared" si="62"/>
        <x:v>0</x:v>
      </x:c>
      <x:c r="L38" s="14">
        <x:f t="shared" si="62"/>
        <x:v>0</x:v>
      </x:c>
      <x:c r="M38" s="14">
        <x:f t="shared" si="62"/>
        <x:v>0</x:v>
      </x:c>
      <x:c r="N38" s="14">
        <x:f t="shared" si="62"/>
        <x:v>0</x:v>
      </x:c>
      <x:c r="O38" s="14">
        <x:f t="shared" si="33"/>
        <x:v>0</x:v>
      </x:c>
      <x:c r="P38" s="14" t="n">
        <x:f t="shared" ref="P38:R38" si="63">SUM(P39:P40)</x:f>
        <x:v>54000</x:v>
      </x:c>
      <x:c r="Q38" s="14">
        <x:f t="shared" si="63"/>
        <x:v>102000</x:v>
      </x:c>
      <x:c r="R38" s="15">
        <x:f t="shared" si="63"/>
        <x:v>150000</x:v>
      </x:c>
    </x:row>
    <x:row r="39" ht="21" customHeight="1">
      <x:c r="A39" s="2" t="s">
        <x:v>51</x:v>
      </x:c>
      <x:c r="B39" s="2" t="s">
        <x:v>20</x:v>
      </x:c>
      <x:c r="C39" s="13" t="n">
        <x:f t="shared" ref="C39:N39" si="64">0</x:f>
        <x:v>0</x:v>
      </x:c>
      <x:c r="D39" s="13">
        <x:f t="shared" si="64"/>
        <x:v>0</x:v>
      </x:c>
      <x:c r="E39" s="13">
        <x:f t="shared" si="64"/>
        <x:v>0</x:v>
      </x:c>
      <x:c r="F39" s="13">
        <x:f t="shared" si="64"/>
        <x:v>0</x:v>
      </x:c>
      <x:c r="G39" s="13">
        <x:f t="shared" si="64"/>
        <x:v>0</x:v>
      </x:c>
      <x:c r="H39" s="13">
        <x:f t="shared" si="64"/>
        <x:v>0</x:v>
      </x:c>
      <x:c r="I39" s="13">
        <x:f t="shared" si="64"/>
        <x:v>0</x:v>
      </x:c>
      <x:c r="J39" s="13">
        <x:f t="shared" si="64"/>
        <x:v>0</x:v>
      </x:c>
      <x:c r="K39" s="13">
        <x:f t="shared" si="64"/>
        <x:v>0</x:v>
      </x:c>
      <x:c r="L39" s="13">
        <x:f t="shared" si="64"/>
        <x:v>0</x:v>
      </x:c>
      <x:c r="M39" s="13">
        <x:f t="shared" si="64"/>
        <x:v>0</x:v>
      </x:c>
      <x:c r="N39" s="13">
        <x:f t="shared" si="64"/>
        <x:v>0</x:v>
      </x:c>
      <x:c r="O39" s="13">
        <x:f t="shared" si="33"/>
        <x:v>0</x:v>
      </x:c>
      <x:c r="P39" s="13" t="n">
        <x:f t="shared" ref="P39:R39" si="65">P133*$C$92*12</x:f>
        <x:v>30000</x:v>
      </x:c>
      <x:c r="Q39" s="13">
        <x:f t="shared" si="65"/>
        <x:v>60000</x:v>
      </x:c>
      <x:c r="R39" s="13">
        <x:f t="shared" si="65"/>
        <x:v>90000</x:v>
      </x:c>
    </x:row>
    <x:row r="40" ht="21" customHeight="1">
      <x:c r="A40" s="2" t="s">
        <x:v>52</x:v>
      </x:c>
      <x:c r="B40" s="2" t="s">
        <x:v>20</x:v>
      </x:c>
      <x:c r="C40" s="13" t="n">
        <x:f t="shared" ref="C40:N40" si="66">0</x:f>
        <x:v>0</x:v>
      </x:c>
      <x:c r="D40" s="13">
        <x:f t="shared" si="66"/>
        <x:v>0</x:v>
      </x:c>
      <x:c r="E40" s="13">
        <x:f t="shared" si="66"/>
        <x:v>0</x:v>
      </x:c>
      <x:c r="F40" s="13">
        <x:f t="shared" si="66"/>
        <x:v>0</x:v>
      </x:c>
      <x:c r="G40" s="13">
        <x:f t="shared" si="66"/>
        <x:v>0</x:v>
      </x:c>
      <x:c r="H40" s="13">
        <x:f t="shared" si="66"/>
        <x:v>0</x:v>
      </x:c>
      <x:c r="I40" s="13">
        <x:f t="shared" si="66"/>
        <x:v>0</x:v>
      </x:c>
      <x:c r="J40" s="13">
        <x:f t="shared" si="66"/>
        <x:v>0</x:v>
      </x:c>
      <x:c r="K40" s="13">
        <x:f t="shared" si="66"/>
        <x:v>0</x:v>
      </x:c>
      <x:c r="L40" s="13">
        <x:f t="shared" si="66"/>
        <x:v>0</x:v>
      </x:c>
      <x:c r="M40" s="13">
        <x:f t="shared" si="66"/>
        <x:v>0</x:v>
      </x:c>
      <x:c r="N40" s="13">
        <x:f t="shared" si="66"/>
        <x:v>0</x:v>
      </x:c>
      <x:c r="O40" s="13">
        <x:f t="shared" si="33"/>
        <x:v>0</x:v>
      </x:c>
      <x:c r="P40" s="13" t="n">
        <x:f t="shared" ref="P40:R40" si="67">P134*12</x:f>
        <x:v>24000</x:v>
      </x:c>
      <x:c r="Q40" s="13">
        <x:f t="shared" si="67"/>
        <x:v>42000</x:v>
      </x:c>
      <x:c r="R40" s="13">
        <x:f t="shared" si="67"/>
        <x:v>60000</x:v>
      </x:c>
    </x:row>
    <x:row r="41" ht="21" customHeight="1">
      <x:c r="A41" s="16" t="s">
        <x:v>53</x:v>
      </x:c>
      <x:c r="B41" s="17" t="s">
        <x:v>20</x:v>
      </x:c>
      <x:c r="C41" s="18" t="n">
        <x:f t="shared" ref="C41:N41" si="68">SUM(C12,C17,C22,C28,C38)</x:f>
        <x:v>15700</x:v>
      </x:c>
      <x:c r="D41" s="18">
        <x:f t="shared" si="68"/>
        <x:v>17500</x:v>
      </x:c>
      <x:c r="E41" s="18">
        <x:f t="shared" si="68"/>
        <x:v>15700</x:v>
      </x:c>
      <x:c r="F41" s="18">
        <x:f t="shared" si="68"/>
        <x:v>16700</x:v>
      </x:c>
      <x:c r="G41" s="18">
        <x:f t="shared" si="68"/>
        <x:v>16700</x:v>
      </x:c>
      <x:c r="H41" s="18">
        <x:f t="shared" si="68"/>
        <x:v>16700</x:v>
      </x:c>
      <x:c r="I41" s="18">
        <x:f t="shared" si="68"/>
        <x:v>16700</x:v>
      </x:c>
      <x:c r="J41" s="18">
        <x:f t="shared" si="68"/>
        <x:v>16700</x:v>
      </x:c>
      <x:c r="K41" s="18">
        <x:f t="shared" si="68"/>
        <x:v>16700</x:v>
      </x:c>
      <x:c r="L41" s="18">
        <x:f t="shared" si="68"/>
        <x:v>16700</x:v>
      </x:c>
      <x:c r="M41" s="18">
        <x:f t="shared" si="68"/>
        <x:v>16700</x:v>
      </x:c>
      <x:c r="N41" s="18">
        <x:f t="shared" si="68"/>
        <x:v>16700</x:v>
      </x:c>
      <x:c r="O41" s="18">
        <x:f t="shared" si="33"/>
        <x:v>199200</x:v>
      </x:c>
      <x:c r="P41" s="18" t="n">
        <x:f t="shared" ref="P41:R41" si="69">SUM(P12,P17,P22,P28,P38)</x:f>
        <x:v>267381.6265246378</x:v>
      </x:c>
      <x:c r="Q41" s="18">
        <x:f t="shared" si="69"/>
        <x:v>816939.7311</x:v>
      </x:c>
      <x:c r="R41" s="19">
        <x:f t="shared" si="69"/>
        <x:v>1779357.471</x:v>
      </x:c>
      <x:c r="S41" s="20"/>
      <x:c r="T41" s="20"/>
      <x:c r="U41" s="20"/>
      <x:c r="V41" s="20"/>
      <x:c r="W41" s="20"/>
      <x:c r="X41" s="20"/>
      <x:c r="Y41" s="20"/>
      <x:c r="Z41" s="20"/>
      <x:c r="AA41" s="20"/>
    </x:row>
    <x:row r="42" ht="21" customHeight="1">
      <x:c r="A42" s="12" t="s">
        <x:v>54</x:v>
      </x:c>
      <x:c r="B42" s="12" t="s">
        <x:v>20</x:v>
      </x:c>
      <x:c r="C42" s="21" t="n">
        <x:f t="shared" ref="C42:N42" si="70">C9-C41</x:f>
        <x:v>183500</x:v>
      </x:c>
      <x:c r="D42" s="21">
        <x:f t="shared" si="70"/>
        <x:v>-17500</x:v>
      </x:c>
      <x:c r="E42" s="21">
        <x:f t="shared" si="70"/>
        <x:v>-15700</x:v>
      </x:c>
      <x:c r="F42" s="21">
        <x:f t="shared" si="70"/>
        <x:v>-16700</x:v>
      </x:c>
      <x:c r="G42" s="21">
        <x:f t="shared" si="70"/>
        <x:v>-16700</x:v>
      </x:c>
      <x:c r="H42" s="21">
        <x:f t="shared" si="70"/>
        <x:v>-16700</x:v>
      </x:c>
      <x:c r="I42" s="21">
        <x:f t="shared" si="70"/>
        <x:v>-16700</x:v>
      </x:c>
      <x:c r="J42" s="21">
        <x:f t="shared" si="70"/>
        <x:v>-16700</x:v>
      </x:c>
      <x:c r="K42" s="21">
        <x:f t="shared" si="70"/>
        <x:v>-16700</x:v>
      </x:c>
      <x:c r="L42" s="21">
        <x:f t="shared" si="70"/>
        <x:v>-16700</x:v>
      </x:c>
      <x:c r="M42" s="21">
        <x:f t="shared" si="70"/>
        <x:v>-16700</x:v>
      </x:c>
      <x:c r="N42" s="21">
        <x:f t="shared" si="70"/>
        <x:v>-16700</x:v>
      </x:c>
      <x:c r="O42" s="21">
        <x:f t="shared" si="33"/>
        <x:v>0</x:v>
      </x:c>
      <x:c r="P42" s="21" t="n">
        <x:f t="shared" ref="P42:R42" si="71">P9-P41</x:f>
        <x:v>15968.373475362197</x:v>
      </x:c>
      <x:c r="Q42" s="21">
        <x:f t="shared" si="71"/>
        <x:v>139335.2689</x:v>
      </x:c>
      <x:c r="R42" s="21">
        <x:f t="shared" si="71"/>
        <x:v>451017.529</x:v>
      </x:c>
    </x:row>
    <x:row r="43" ht="21" customHeight="1">
      <x:c r="A43" s="22" t="s">
        <x:v>55</x:v>
      </x:c>
      <x:c r="B43" s="22" t="s">
        <x:v>20</x:v>
      </x:c>
      <x:c r="C43" s="23" t="n">
        <x:f>C42</x:f>
        <x:v>183500</x:v>
      </x:c>
      <x:c r="D43" s="23" t="n">
        <x:f t="shared" ref="D43:N43" si="72">C43+D42</x:f>
        <x:v>166000</x:v>
      </x:c>
      <x:c r="E43" s="23">
        <x:f t="shared" si="72"/>
        <x:v>150300</x:v>
      </x:c>
      <x:c r="F43" s="23">
        <x:f t="shared" si="72"/>
        <x:v>133600</x:v>
      </x:c>
      <x:c r="G43" s="23">
        <x:f t="shared" si="72"/>
        <x:v>116900</x:v>
      </x:c>
      <x:c r="H43" s="23">
        <x:f t="shared" si="72"/>
        <x:v>100200</x:v>
      </x:c>
      <x:c r="I43" s="23">
        <x:f t="shared" si="72"/>
        <x:v>83500</x:v>
      </x:c>
      <x:c r="J43" s="23">
        <x:f t="shared" si="72"/>
        <x:v>66800</x:v>
      </x:c>
      <x:c r="K43" s="23">
        <x:f t="shared" si="72"/>
        <x:v>50100</x:v>
      </x:c>
      <x:c r="L43" s="23">
        <x:f t="shared" si="72"/>
        <x:v>33400</x:v>
      </x:c>
      <x:c r="M43" s="23">
        <x:f t="shared" si="72"/>
        <x:v>16700</x:v>
      </x:c>
      <x:c r="N43" s="23">
        <x:f t="shared" si="72"/>
        <x:v>0</x:v>
      </x:c>
      <x:c r="O43" s="23" t="n">
        <x:f>N43</x:f>
        <x:v>0</x:v>
      </x:c>
      <x:c r="P43" s="23" t="n">
        <x:f>N43+P42</x:f>
        <x:v>15968.373475362197</x:v>
      </x:c>
      <x:c r="Q43" s="23" t="n">
        <x:f t="shared" ref="Q43:R43" si="73">P43+Q42</x:f>
        <x:v>155303.6423753622</x:v>
      </x:c>
      <x:c r="R43" s="23">
        <x:f t="shared" si="73"/>
        <x:v>606321.1713</x:v>
      </x:c>
      <x:c r="S43" s="24"/>
      <x:c r="T43" s="24"/>
      <x:c r="U43" s="24"/>
      <x:c r="V43" s="24"/>
      <x:c r="W43" s="24"/>
      <x:c r="X43" s="24"/>
      <x:c r="Y43" s="24"/>
      <x:c r="Z43" s="24"/>
      <x:c r="AA43" s="24"/>
    </x:row>
    <x:row r="44" ht="21" customHeight="1">
      <x:c r="A44" s="2"/>
      <x:c r="B44" s="2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</x:row>
    <x:row r="45" ht="21" customHeight="1">
      <x:c r="A45" s="12" t="s">
        <x:v>56</x:v>
      </x:c>
      <x:c r="B45" s="12" t="s">
        <x:v>20</x:v>
      </x:c>
      <x:c r="C45" s="26" t="n">
        <x:f t="shared" ref="C45:N45" si="74">SUM(C5:C7)-C41</x:f>
        <x:v>-15700</x:v>
      </x:c>
      <x:c r="D45" s="26">
        <x:f t="shared" si="74"/>
        <x:v>-17500</x:v>
      </x:c>
      <x:c r="E45" s="26">
        <x:f t="shared" si="74"/>
        <x:v>-15700</x:v>
      </x:c>
      <x:c r="F45" s="26">
        <x:f t="shared" si="74"/>
        <x:v>-16700</x:v>
      </x:c>
      <x:c r="G45" s="26">
        <x:f t="shared" si="74"/>
        <x:v>-16700</x:v>
      </x:c>
      <x:c r="H45" s="26">
        <x:f t="shared" si="74"/>
        <x:v>-16700</x:v>
      </x:c>
      <x:c r="I45" s="26">
        <x:f t="shared" si="74"/>
        <x:v>-16700</x:v>
      </x:c>
      <x:c r="J45" s="26">
        <x:f t="shared" si="74"/>
        <x:v>-16700</x:v>
      </x:c>
      <x:c r="K45" s="26">
        <x:f t="shared" si="74"/>
        <x:v>-16700</x:v>
      </x:c>
      <x:c r="L45" s="26">
        <x:f t="shared" si="74"/>
        <x:v>-16700</x:v>
      </x:c>
      <x:c r="M45" s="26">
        <x:f t="shared" si="74"/>
        <x:v>-16700</x:v>
      </x:c>
      <x:c r="N45" s="26">
        <x:f t="shared" si="74"/>
        <x:v>-16700</x:v>
      </x:c>
      <x:c r="O45" s="26" t="n">
        <x:f>SUM(C45:N45)</x:f>
        <x:v>-199200</x:v>
      </x:c>
      <x:c r="P45" s="26" t="n">
        <x:f t="shared" ref="P45:R45" si="75">SUM(P5:P7)-P41</x:f>
        <x:v>15968.373475362197</x:v>
      </x:c>
      <x:c r="Q45" s="26">
        <x:f t="shared" si="75"/>
        <x:v>139335.2689</x:v>
      </x:c>
      <x:c r="R45" s="26">
        <x:f t="shared" si="75"/>
        <x:v>451017.529</x:v>
      </x:c>
    </x:row>
    <x:row r="46" ht="21" customHeight="1">
      <x:c r="A46" s="12" t="s">
        <x:v>57</x:v>
      </x:c>
      <x:c r="B46" s="12" t="s">
        <x:v>20</x:v>
      </x:c>
      <x:c r="C46" s="26" t="n">
        <x:f>C45</x:f>
        <x:v>-15700</x:v>
      </x:c>
      <x:c r="D46" s="26" t="n">
        <x:f t="shared" ref="D46:N46" si="76">C46+D45</x:f>
        <x:v>-33200</x:v>
      </x:c>
      <x:c r="E46" s="26">
        <x:f t="shared" si="76"/>
        <x:v>-48900</x:v>
      </x:c>
      <x:c r="F46" s="26">
        <x:f t="shared" si="76"/>
        <x:v>-65600</x:v>
      </x:c>
      <x:c r="G46" s="26">
        <x:f t="shared" si="76"/>
        <x:v>-82300</x:v>
      </x:c>
      <x:c r="H46" s="26">
        <x:f t="shared" si="76"/>
        <x:v>-99000</x:v>
      </x:c>
      <x:c r="I46" s="26">
        <x:f t="shared" si="76"/>
        <x:v>-115700</x:v>
      </x:c>
      <x:c r="J46" s="26">
        <x:f t="shared" si="76"/>
        <x:v>-132400</x:v>
      </x:c>
      <x:c r="K46" s="26">
        <x:f t="shared" si="76"/>
        <x:v>-149100</x:v>
      </x:c>
      <x:c r="L46" s="26">
        <x:f t="shared" si="76"/>
        <x:v>-165800</x:v>
      </x:c>
      <x:c r="M46" s="26">
        <x:f t="shared" si="76"/>
        <x:v>-182500</x:v>
      </x:c>
      <x:c r="N46" s="26">
        <x:f t="shared" si="76"/>
        <x:v>-199200</x:v>
      </x:c>
      <x:c r="O46" s="26" t="n">
        <x:f>N46</x:f>
        <x:v>-199200</x:v>
      </x:c>
      <x:c r="P46" s="26" t="n">
        <x:f>N46+P45</x:f>
        <x:v>-183231.6265246378</x:v>
      </x:c>
      <x:c r="Q46" s="26" t="n">
        <x:f t="shared" ref="Q46:R46" si="77">P46+Q45</x:f>
        <x:v>-43896.35762463781</x:v>
      </x:c>
      <x:c r="R46" s="26">
        <x:f t="shared" si="77"/>
        <x:v>407121.1713</x:v>
      </x:c>
    </x:row>
    <x:row r="47" ht="21" customHeight="1">
      <x:c r="A47" s="2"/>
      <x:c r="B47" s="2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</x:row>
    <x:row r="48" ht="21" customHeight="1">
      <x:c r="A48" s="7" t="s">
        <x:v>58</x:v>
      </x:c>
      <x:c r="B48" s="8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8"/>
    </x:row>
    <x:row r="49" ht="21" customHeight="1">
      <x:c r="A49" s="2" t="s">
        <x:v>59</x:v>
      </x:c>
      <x:c r="B49" s="2" t="s">
        <x:v>20</x:v>
      </x:c>
      <x:c r="C49" s="25" t="n">
        <x:f>SUM(O5:R6)</x:f>
        <x:v>3470000</x:v>
      </x:c>
      <x:c r="D49" s="25"/>
      <x:c r="E49" s="26" t="s">
        <x:v>60</x:v>
      </x:c>
      <x:c r="F49" s="26"/>
      <x:c r="G49" s="26" t="n">
        <x:f>XNPV(C153,G166:G181,F166:F181)</x:f>
        <x:v>128591.03899998423</x:v>
      </x:c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</x:row>
    <x:row r="50" ht="21" customHeight="1">
      <x:c r="A50" s="2" t="s">
        <x:v>61</x:v>
      </x:c>
      <x:c r="B50" s="2" t="s">
        <x:v>20</x:v>
      </x:c>
      <x:c r="C50" s="25" t="n">
        <x:f>SUM(O41:R41)</x:f>
        <x:v>3062878.828624638</x:v>
      </x:c>
      <x:c r="D50" s="25"/>
      <x:c r="E50" s="26" t="s">
        <x:v>62</x:v>
      </x:c>
      <x:c r="F50" s="26"/>
      <x:c r="G50" s="29" t="n">
        <x:f>XIRR(G166:G181,F166:F181,20%)</x:f>
        <x:v>0.42571236350017405</x:v>
      </x:c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</x:row>
    <x:row r="51" ht="21" customHeight="1">
      <x:c r="A51" s="2" t="s">
        <x:v>63</x:v>
      </x:c>
      <x:c r="B51" s="2" t="s">
        <x:v>20</x:v>
      </x:c>
      <x:c r="C51" s="25" t="n">
        <x:f>SUM(O45:R45)</x:f>
        <x:v>407121.1713753622</x:v>
      </x:c>
      <x:c r="D51" s="25"/>
      <x:c r="E51" s="26" t="s">
        <x:v>64</x:v>
      </x:c>
      <x:c r="F51" s="26"/>
      <x:c r="G51" s="30" t="n">
        <x:f>$C$96</x:f>
        <x:v>0.2</x:v>
      </x:c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</x:row>
    <x:row r="52" ht="21" customHeight="1">
      <x:c r="A52" s="12" t="s">
        <x:v>65</x:v>
      </x:c>
      <x:c r="B52" s="12" t="s">
        <x:v>20</x:v>
      </x:c>
      <x:c r="C52" s="26" t="n">
        <x:f>MAX(0,-MIN(C46:N46,P46:R46))</x:f>
        <x:v>199200</x:v>
      </x:c>
      <x:c r="D52" s="26"/>
      <x:c r="E52" s="26" t="s">
        <x:v>66</x:v>
      </x:c>
      <x:c r="F52" s="26"/>
      <x:c r="G52" s="26" t="n">
        <x:f>$C$73+$C$74</x:f>
        <x:v>4</x:v>
      </x:c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</x:row>
    <x:row r="53" ht="21" customHeight="1">
      <x:c r="A53" s="2" t="s">
        <x:v>67</x:v>
      </x:c>
      <x:c r="B53" s="2" t="s">
        <x:v>20</x:v>
      </x:c>
      <x:c r="C53" s="25" t="n">
        <x:f>C52+C97</x:f>
        <x:v>199200</x:v>
      </x:c>
      <x:c r="D53" s="25"/>
      <x:c r="E53" s="25" t="s">
        <x:v>68</x:v>
      </x:c>
      <x:c r="F53" s="25"/>
      <x:c r="G53" s="25" t="n">
        <x:f>($C$73+$C$74)*$C$75*$C$76</x:f>
        <x:v>7680</x:v>
      </x:c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</x:row>
    <x:row r="54" ht="21" customHeight="1">
      <x:c r="A54" s="12" t="s">
        <x:v>69</x:v>
      </x:c>
      <x:c r="B54" s="12" t="s">
        <x:v>20</x:v>
      </x:c>
      <x:c r="C54" s="26" t="n">
        <x:f>R43</x:f>
        <x:v>606321.1713</x:v>
      </x:c>
      <x:c r="D54" s="26"/>
      <x:c r="E54" s="26" t="s">
        <x:v>70</x:v>
      </x:c>
      <x:c r="F54" s="26"/>
      <x:c r="G54" s="26" t="s">
        <x:v>15</x:v>
      </x:c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</x:row>
    <x:row r="55" ht="21" customHeight="1">
      <x:c r="A55" s="2" t="s">
        <x:v>71</x:v>
      </x:c>
      <x:c r="B55" s="2" t="s">
        <x:v>20</x:v>
      </x:c>
      <x:c r="C55" s="25" t="n">
        <x:f>O41</x:f>
        <x:v>199200</x:v>
      </x:c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</x:row>
    <x:row r="56" ht="21" customHeight="1">
      <x:c r="A56" s="2" t="s">
        <x:v>72</x:v>
      </x:c>
      <x:c r="B56" s="2" t="s">
        <x:v>20</x:v>
      </x:c>
      <x:c r="C56" s="25" t="n">
        <x:f>O41-SUM(C41:N41)</x:f>
        <x:v>0</x:v>
      </x:c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</x:row>
    <x:row r="57" ht="21" customHeight="1">
      <x:c r="A57" s="2"/>
      <x:c r="B57" s="2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</x:row>
    <x:row r="58" ht="21" customHeight="1">
      <x:c r="A58" s="7" t="s">
        <x:v>73</x:v>
      </x:c>
      <x:c r="B58" s="8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8"/>
    </x:row>
    <x:row r="59" ht="21" customHeight="1">
      <x:c r="A59" s="2" t="s">
        <x:v>74</x:v>
      </x:c>
      <x:c r="B59" s="2" t="s">
        <x:v>75</x:v>
      </x:c>
      <x:c r="C59" s="31" t="n">
        <x:f t="shared" ref="C59:N59" si="78">0</x:f>
        <x:v>0</x:v>
      </x:c>
      <x:c r="D59" s="31">
        <x:f t="shared" si="78"/>
        <x:v>0</x:v>
      </x:c>
      <x:c r="E59" s="31">
        <x:f t="shared" si="78"/>
        <x:v>0</x:v>
      </x:c>
      <x:c r="F59" s="31">
        <x:f t="shared" si="78"/>
        <x:v>0</x:v>
      </x:c>
      <x:c r="G59" s="31">
        <x:f t="shared" si="78"/>
        <x:v>0</x:v>
      </x:c>
      <x:c r="H59" s="31">
        <x:f t="shared" si="78"/>
        <x:v>0</x:v>
      </x:c>
      <x:c r="I59" s="31">
        <x:f t="shared" si="78"/>
        <x:v>0</x:v>
      </x:c>
      <x:c r="J59" s="31">
        <x:f t="shared" si="78"/>
        <x:v>0</x:v>
      </x:c>
      <x:c r="K59" s="31">
        <x:f t="shared" si="78"/>
        <x:v>0</x:v>
      </x:c>
      <x:c r="L59" s="31">
        <x:f t="shared" si="78"/>
        <x:v>0</x:v>
      </x:c>
      <x:c r="M59" s="31">
        <x:f t="shared" si="78"/>
        <x:v>0</x:v>
      </x:c>
      <x:c r="N59" s="31">
        <x:f t="shared" si="78"/>
        <x:v>0</x:v>
      </x:c>
      <x:c r="O59" s="31" t="n">
        <x:f>SUM(C59:N59)</x:f>
        <x:v>0</x:v>
      </x:c>
      <x:c r="P59" s="31" t="n">
        <x:f t="shared" ref="P59:R59" si="79">P131</x:f>
        <x:v>300</x:v>
      </x:c>
      <x:c r="Q59" s="31">
        <x:f t="shared" si="79"/>
        <x:v>800</x:v>
      </x:c>
      <x:c r="R59" s="31">
        <x:f t="shared" si="79"/>
        <x:v>1680</x:v>
      </x:c>
    </x:row>
    <x:row r="60" ht="21" customHeight="1">
      <x:c r="A60" s="2" t="s">
        <x:v>76</x:v>
      </x:c>
      <x:c r="B60" s="2" t="s">
        <x:v>77</x:v>
      </x:c>
      <x:c r="C60" s="31" t="n">
        <x:f>0</x:f>
        <x:v>0</x:v>
      </x:c>
      <x:c r="D60" s="31" t="n">
        <x:f t="shared" ref="D60:N60" si="80">C60*$C$101+C59</x:f>
        <x:v>0</x:v>
      </x:c>
      <x:c r="E60" s="31">
        <x:f t="shared" si="80"/>
        <x:v>0</x:v>
      </x:c>
      <x:c r="F60" s="31">
        <x:f t="shared" si="80"/>
        <x:v>0</x:v>
      </x:c>
      <x:c r="G60" s="31">
        <x:f t="shared" si="80"/>
        <x:v>0</x:v>
      </x:c>
      <x:c r="H60" s="31">
        <x:f t="shared" si="80"/>
        <x:v>0</x:v>
      </x:c>
      <x:c r="I60" s="31">
        <x:f t="shared" si="80"/>
        <x:v>0</x:v>
      </x:c>
      <x:c r="J60" s="31">
        <x:f t="shared" si="80"/>
        <x:v>0</x:v>
      </x:c>
      <x:c r="K60" s="31">
        <x:f t="shared" si="80"/>
        <x:v>0</x:v>
      </x:c>
      <x:c r="L60" s="31">
        <x:f t="shared" si="80"/>
        <x:v>0</x:v>
      </x:c>
      <x:c r="M60" s="31">
        <x:f t="shared" si="80"/>
        <x:v>0</x:v>
      </x:c>
      <x:c r="N60" s="31">
        <x:f t="shared" si="80"/>
        <x:v>0</x:v>
      </x:c>
      <x:c r="O60" s="31" t="n">
        <x:f>AVERAGE(C60:N60)</x:f>
        <x:v>0</x:v>
      </x:c>
      <x:c r="P60" s="31" t="n">
        <x:f t="shared" ref="P60:R60" si="81">(P140*P138+P131/P137*P139)/P137</x:f>
        <x:v>136.1184027329209</x:v>
      </x:c>
      <x:c r="Q60" s="31">
        <x:f t="shared" si="81"/>
        <x:v>530.2369128</x:v>
      </x:c>
      <x:c r="R60" s="31">
        <x:f t="shared" si="81"/>
        <x:v>1298.652729</x:v>
      </x:c>
    </x:row>
    <x:row r="61" ht="21" customHeight="1">
      <x:c r="A61" s="2" t="s">
        <x:v>78</x:v>
      </x:c>
      <x:c r="B61" s="2" t="s">
        <x:v>75</x:v>
      </x:c>
      <x:c r="C61" s="31" t="n">
        <x:f t="shared" ref="C61:N61" si="82">ROUND(C60*$C$100,0)</x:f>
        <x:v>0</x:v>
      </x:c>
      <x:c r="D61" s="31">
        <x:f t="shared" si="82"/>
        <x:v>0</x:v>
      </x:c>
      <x:c r="E61" s="31">
        <x:f t="shared" si="82"/>
        <x:v>0</x:v>
      </x:c>
      <x:c r="F61" s="31">
        <x:f t="shared" si="82"/>
        <x:v>0</x:v>
      </x:c>
      <x:c r="G61" s="31">
        <x:f t="shared" si="82"/>
        <x:v>0</x:v>
      </x:c>
      <x:c r="H61" s="31">
        <x:f t="shared" si="82"/>
        <x:v>0</x:v>
      </x:c>
      <x:c r="I61" s="31">
        <x:f t="shared" si="82"/>
        <x:v>0</x:v>
      </x:c>
      <x:c r="J61" s="31">
        <x:f t="shared" si="82"/>
        <x:v>0</x:v>
      </x:c>
      <x:c r="K61" s="31">
        <x:f t="shared" si="82"/>
        <x:v>0</x:v>
      </x:c>
      <x:c r="L61" s="31">
        <x:f t="shared" si="82"/>
        <x:v>0</x:v>
      </x:c>
      <x:c r="M61" s="31">
        <x:f t="shared" si="82"/>
        <x:v>0</x:v>
      </x:c>
      <x:c r="N61" s="31">
        <x:f t="shared" si="82"/>
        <x:v>0</x:v>
      </x:c>
      <x:c r="O61" s="31" t="n">
        <x:f>SUM(C61:N61)</x:f>
        <x:v>0</x:v>
      </x:c>
      <x:c r="P61" s="31" t="n">
        <x:f t="shared" ref="P61:R61" si="83">ROUND(P60*P137*$C$100,0)</x:f>
        <x:v>6534</x:v>
      </x:c>
      <x:c r="Q61" s="31">
        <x:f t="shared" si="83"/>
        <x:v>25451</x:v>
      </x:c>
      <x:c r="R61" s="31">
        <x:f t="shared" si="83"/>
        <x:v>62335</x:v>
      </x:c>
    </x:row>
    <x:row r="62" ht="21" customHeight="1">
      <x:c r="A62" s="2" t="s">
        <x:v>79</x:v>
      </x:c>
      <x:c r="B62" s="2" t="s">
        <x:v>75</x:v>
      </x:c>
      <x:c r="C62" s="31" t="n">
        <x:f>C114-C59</x:f>
        <x:v>0</x:v>
      </x:c>
      <x:c r="D62" s="31" t="n">
        <x:f t="shared" ref="D62:N62" si="84">C62+D114-D59</x:f>
        <x:v>0</x:v>
      </x:c>
      <x:c r="E62" s="31">
        <x:f t="shared" si="84"/>
        <x:v>0</x:v>
      </x:c>
      <x:c r="F62" s="31">
        <x:f t="shared" si="84"/>
        <x:v>0</x:v>
      </x:c>
      <x:c r="G62" s="31">
        <x:f t="shared" si="84"/>
        <x:v>0</x:v>
      </x:c>
      <x:c r="H62" s="31">
        <x:f t="shared" si="84"/>
        <x:v>0</x:v>
      </x:c>
      <x:c r="I62" s="31">
        <x:f t="shared" si="84"/>
        <x:v>0</x:v>
      </x:c>
      <x:c r="J62" s="31">
        <x:f t="shared" si="84"/>
        <x:v>0</x:v>
      </x:c>
      <x:c r="K62" s="31">
        <x:f t="shared" si="84"/>
        <x:v>0</x:v>
      </x:c>
      <x:c r="L62" s="31">
        <x:f t="shared" si="84"/>
        <x:v>0</x:v>
      </x:c>
      <x:c r="M62" s="31">
        <x:f t="shared" si="84"/>
        <x:v>100</x:v>
      </x:c>
      <x:c r="N62" s="31">
        <x:f t="shared" si="84"/>
        <x:v>100</x:v>
      </x:c>
      <x:c r="O62" s="31" t="n">
        <x:f>N62</x:f>
        <x:v>100</x:v>
      </x:c>
      <x:c r="P62" s="31" t="n">
        <x:f>N62+P132-P59-P135</x:f>
        <x:v>30</x:v>
      </x:c>
      <x:c r="Q62" s="31" t="n">
        <x:f t="shared" ref="Q62:R62" si="85">P62+Q132-Q59-Q135</x:f>
        <x:v>80</x:v>
      </x:c>
      <x:c r="R62" s="31">
        <x:f t="shared" si="85"/>
        <x:v>168</x:v>
      </x:c>
    </x:row>
    <x:row r="63" ht="21" customHeight="1">
      <x:c r="A63" s="32" t="s">
        <x:v>80</x:v>
      </x:c>
      <x:c r="B63" s="32" t="s">
        <x:v>75</x:v>
      </x:c>
      <x:c r="C63" s="33" t="n">
        <x:f t="shared" ref="C63:N63" si="86">0</x:f>
        <x:v>0</x:v>
      </x:c>
      <x:c r="D63" s="33">
        <x:f t="shared" si="86"/>
        <x:v>0</x:v>
      </x:c>
      <x:c r="E63" s="33">
        <x:f t="shared" si="86"/>
        <x:v>0</x:v>
      </x:c>
      <x:c r="F63" s="33">
        <x:f t="shared" si="86"/>
        <x:v>0</x:v>
      </x:c>
      <x:c r="G63" s="33">
        <x:f t="shared" si="86"/>
        <x:v>0</x:v>
      </x:c>
      <x:c r="H63" s="33">
        <x:f t="shared" si="86"/>
        <x:v>0</x:v>
      </x:c>
      <x:c r="I63" s="33">
        <x:f t="shared" si="86"/>
        <x:v>0</x:v>
      </x:c>
      <x:c r="J63" s="33">
        <x:f t="shared" si="86"/>
        <x:v>0</x:v>
      </x:c>
      <x:c r="K63" s="33">
        <x:f t="shared" si="86"/>
        <x:v>0</x:v>
      </x:c>
      <x:c r="L63" s="33">
        <x:f t="shared" si="86"/>
        <x:v>0</x:v>
      </x:c>
      <x:c r="M63" s="33">
        <x:f t="shared" si="86"/>
        <x:v>0</x:v>
      </x:c>
      <x:c r="N63" s="33">
        <x:f t="shared" si="86"/>
        <x:v>0</x:v>
      </x:c>
      <x:c r="O63" s="34" t="n">
        <x:f>SUM(C63:N63)</x:f>
        <x:v>0</x:v>
      </x:c>
      <x:c r="P63" s="35" t="n">
        <x:f t="shared" ref="P63:R63" si="87">P135</x:f>
        <x:v>7</x:v>
      </x:c>
      <x:c r="Q63" s="35">
        <x:f t="shared" si="87"/>
        <x:v>15</x:v>
      </x:c>
      <x:c r="R63" s="35">
        <x:f t="shared" si="87"/>
        <x:v>24</x:v>
      </x:c>
    </x:row>
    <x:row r="64" ht="21" customHeight="1">
      <x:c r="A64" s="7" t="s">
        <x:v>81</x:v>
      </x:c>
      <x:c r="B64" s="8"/>
      <x:c r="C64" s="36"/>
      <x:c r="D64" s="36"/>
      <x:c r="E64" s="37" t="s">
        <x:v>82</x:v>
      </x:c>
      <x:c r="F64" s="38"/>
      <x:c r="G64" s="39"/>
      <x:c r="H64" s="36"/>
      <x:c r="I64" s="36"/>
      <x:c r="J64" s="37" t="s">
        <x:v>83</x:v>
      </x:c>
      <x:c r="K64" s="38"/>
      <x:c r="L64" s="39"/>
      <x:c r="M64" s="36"/>
      <x:c r="N64" s="37" t="s">
        <x:v>84</x:v>
      </x:c>
      <x:c r="O64" s="38"/>
      <x:c r="P64" s="39"/>
      <x:c r="Q64" s="40"/>
      <x:c r="R64" s="41"/>
    </x:row>
    <x:row r="65" ht="21" customHeight="1">
      <x:c r="A65" s="2" t="s">
        <x:v>85</x:v>
      </x:c>
      <x:c r="B65" s="2" t="s">
        <x:v>75</x:v>
      </x:c>
      <x:c r="C65" s="42">
        <x:v>100.0</x:v>
      </x:c>
      <x:c r="D65" s="3"/>
      <x:c r="E65" s="43" t="s">
        <x:v>86</x:v>
      </x:c>
      <x:c r="F65" s="43" t="s">
        <x:v>87</x:v>
      </x:c>
      <x:c r="G65" s="44">
        <x:v>49.3</x:v>
      </x:c>
      <x:c r="H65" s="3"/>
      <x:c r="I65" s="3"/>
      <x:c r="J65" s="43" t="s">
        <x:v>88</x:v>
      </x:c>
      <x:c r="K65" s="43" t="s">
        <x:v>89</x:v>
      </x:c>
      <x:c r="L65" s="45" t="n">
        <x:f>SUM(G65,G71)</x:f>
        <x:v>55.379999999999995</x:v>
      </x:c>
      <x:c r="M65" s="3"/>
      <x:c r="N65" s="43" t="s">
        <x:v>90</x:v>
      </x:c>
      <x:c r="O65" s="46" t="s">
        <x:v>20</x:v>
      </x:c>
      <x:c r="P65" s="47">
        <x:v>3000.0</x:v>
      </x:c>
      <x:c r="Q65" s="48"/>
      <x:c r="R65" s="48"/>
    </x:row>
    <x:row r="66" ht="21" customHeight="1">
      <x:c r="A66" s="2" t="s">
        <x:v>91</x:v>
      </x:c>
      <x:c r="B66" s="2" t="s">
        <x:v>89</x:v>
      </x:c>
      <x:c r="C66" s="49" t="n">
        <x:f>G85</x:f>
        <x:v>102.46</x:v>
      </x:c>
      <x:c r="D66" s="3"/>
      <x:c r="E66" s="43" t="s">
        <x:v>92</x:v>
      </x:c>
      <x:c r="F66" s="43" t="s">
        <x:v>93</x:v>
      </x:c>
      <x:c r="G66" s="42">
        <x:v>10.0</x:v>
      </x:c>
      <x:c r="H66" s="3"/>
      <x:c r="I66" s="3"/>
      <x:c r="J66" s="43" t="s">
        <x:v>94</x:v>
      </x:c>
      <x:c r="K66" s="43" t="s">
        <x:v>89</x:v>
      </x:c>
      <x:c r="L66" s="45" t="n">
        <x:f>SUM(G72,G78)</x:f>
        <x:v>31.75</x:v>
      </x:c>
      <x:c r="M66" s="3"/>
      <x:c r="N66" s="43" t="s">
        <x:v>95</x:v>
      </x:c>
      <x:c r="O66" s="46" t="s">
        <x:v>20</x:v>
      </x:c>
      <x:c r="P66" s="47">
        <x:v>2500.0</x:v>
      </x:c>
      <x:c r="Q66" s="48"/>
      <x:c r="R66" s="48"/>
    </x:row>
    <x:row r="67" ht="21" customHeight="1">
      <x:c r="A67" s="2" t="s">
        <x:v>96</x:v>
      </x:c>
      <x:c r="B67" s="2" t="s">
        <x:v>89</x:v>
      </x:c>
      <x:c r="C67" s="49" t="n">
        <x:f>L78</x:f>
        <x:v>69.05850000000001</x:v>
      </x:c>
      <x:c r="D67" s="3"/>
      <x:c r="E67" s="43" t="s">
        <x:v>97</x:v>
      </x:c>
      <x:c r="F67" s="43" t="s">
        <x:v>93</x:v>
      </x:c>
      <x:c r="G67" s="42">
        <x:v>4.0</x:v>
      </x:c>
      <x:c r="H67" s="3"/>
      <x:c r="I67" s="3"/>
      <x:c r="J67" s="50" t="s">
        <x:v>98</x:v>
      </x:c>
      <x:c r="K67" s="50" t="s">
        <x:v>89</x:v>
      </x:c>
      <x:c r="L67" s="51" t="n">
        <x:f>SUM(L65:L66)</x:f>
        <x:v>87.13</x:v>
      </x:c>
      <x:c r="M67" s="3"/>
      <x:c r="N67" s="43" t="s">
        <x:v>99</x:v>
      </x:c>
      <x:c r="O67" s="46" t="s">
        <x:v>20</x:v>
      </x:c>
      <x:c r="P67" s="47">
        <x:v>3500.0</x:v>
      </x:c>
      <x:c r="Q67" s="48"/>
      <x:c r="R67" s="48"/>
    </x:row>
    <x:row r="68" ht="21" customHeight="1">
      <x:c r="A68" s="2" t="s">
        <x:v>100</x:v>
      </x:c>
      <x:c r="B68" s="2" t="s">
        <x:v>20</x:v>
      </x:c>
      <x:c r="C68" s="52">
        <x:v>300.0</x:v>
      </x:c>
      <x:c r="D68" s="3"/>
      <x:c r="E68" s="43" t="s">
        <x:v>101</x:v>
      </x:c>
      <x:c r="F68" s="43" t="s">
        <x:v>93</x:v>
      </x:c>
      <x:c r="G68" s="42">
        <x:v>8.0</x:v>
      </x:c>
      <x:c r="H68" s="3"/>
      <x:c r="I68" s="3"/>
      <x:c r="J68" s="43" t="s">
        <x:v>102</x:v>
      </x:c>
      <x:c r="K68" s="43" t="s">
        <x:v>89</x:v>
      </x:c>
      <x:c r="L68" s="44">
        <x:v>12.0</x:v>
      </x:c>
      <x:c r="M68" s="3"/>
      <x:c r="N68" s="43" t="s">
        <x:v>103</x:v>
      </x:c>
      <x:c r="O68" s="46" t="s">
        <x:v>20</x:v>
      </x:c>
      <x:c r="P68" s="47">
        <x:v>1000.0</x:v>
      </x:c>
      <x:c r="Q68" s="48"/>
      <x:c r="R68" s="48"/>
    </x:row>
    <x:row r="69" ht="21" customHeight="1">
      <x:c r="A69" s="2" t="s">
        <x:v>104</x:v>
      </x:c>
      <x:c r="B69" s="2" t="s">
        <x:v>105</x:v>
      </x:c>
      <x:c r="C69" s="49" t="n">
        <x:f>G86</x:f>
        <x:v>11.33</x:v>
      </x:c>
      <x:c r="D69" s="3"/>
      <x:c r="E69" s="43" t="s">
        <x:v>106</x:v>
      </x:c>
      <x:c r="F69" s="43" t="s">
        <x:v>93</x:v>
      </x:c>
      <x:c r="G69" s="42">
        <x:v>3.0</x:v>
      </x:c>
      <x:c r="H69" s="3"/>
      <x:c r="I69" s="3"/>
      <x:c r="J69" s="43" t="s">
        <x:v>107</x:v>
      </x:c>
      <x:c r="K69" s="43" t="s">
        <x:v>89</x:v>
      </x:c>
      <x:c r="L69" s="44">
        <x:v>1.0</x:v>
      </x:c>
      <x:c r="M69" s="3"/>
      <x:c r="N69" s="53" t="s">
        <x:v>108</x:v>
      </x:c>
      <x:c r="O69" s="54" t="s">
        <x:v>20</x:v>
      </x:c>
      <x:c r="P69" s="55" t="n">
        <x:f>SUM(P65:P68)</x:f>
        <x:v>10000</x:v>
      </x:c>
      <x:c r="Q69" s="48"/>
      <x:c r="R69" s="48"/>
    </x:row>
    <x:row r="70" ht="21" customHeight="1">
      <x:c r="A70" s="2" t="s">
        <x:v>109</x:v>
      </x:c>
      <x:c r="B70" s="2" t="s">
        <x:v>105</x:v>
      </x:c>
      <x:c r="C70" s="52">
        <x:v>3.0</x:v>
      </x:c>
      <x:c r="D70" s="3"/>
      <x:c r="E70" s="43" t="s">
        <x:v>110</x:v>
      </x:c>
      <x:c r="F70" s="43" t="s">
        <x:v>93</x:v>
      </x:c>
      <x:c r="G70" s="56" t="n">
        <x:f>SUM(G66:G69)</x:f>
        <x:v>25</x:v>
      </x:c>
      <x:c r="H70" s="3"/>
      <x:c r="I70" s="3"/>
      <x:c r="J70" s="50" t="s">
        <x:v>111</x:v>
      </x:c>
      <x:c r="K70" s="50" t="s">
        <x:v>89</x:v>
      </x:c>
      <x:c r="L70" s="51" t="n">
        <x:f>SUM(L67:L69)</x:f>
        <x:v>100.13</x:v>
      </x:c>
      <x:c r="M70" s="3"/>
      <x:c r="N70" s="3"/>
      <x:c r="O70" s="48"/>
      <x:c r="P70" s="48"/>
      <x:c r="Q70" s="48"/>
      <x:c r="R70" s="48"/>
    </x:row>
    <x:row r="71" ht="21" customHeight="1">
      <x:c r="A71" s="2" t="s">
        <x:v>112</x:v>
      </x:c>
      <x:c r="B71" s="2" t="s">
        <x:v>113</x:v>
      </x:c>
      <x:c r="C71" s="57">
        <x:v>3500000.0</x:v>
      </x:c>
      <x:c r="D71" s="3"/>
      <x:c r="E71" s="43" t="s">
        <x:v>114</x:v>
      </x:c>
      <x:c r="F71" s="43" t="s">
        <x:v>87</x:v>
      </x:c>
      <x:c r="G71" s="45" t="n">
        <x:f>ROUND(G70/60*$C$80,2)</x:f>
        <x:v>6.08</x:v>
      </x:c>
      <x:c r="H71" s="3"/>
      <x:c r="I71" s="3"/>
      <x:c r="J71" s="43" t="s">
        <x:v>115</x:v>
      </x:c>
      <x:c r="K71" s="43" t="s">
        <x:v>116</x:v>
      </x:c>
      <x:c r="L71" s="58">
        <x:v>0.16</x:v>
      </x:c>
      <x:c r="M71" s="3"/>
      <x:c r="N71" s="3"/>
      <x:c r="O71" s="48"/>
      <x:c r="P71" s="48"/>
      <x:c r="Q71" s="48"/>
      <x:c r="R71" s="48"/>
    </x:row>
    <x:row r="72" ht="21" customHeight="1">
      <x:c r="A72" s="2" t="s">
        <x:v>117</x:v>
      </x:c>
      <x:c r="B72" s="2" t="s">
        <x:v>113</x:v>
      </x:c>
      <x:c r="C72" s="59">
        <x:v>2500000.0</x:v>
      </x:c>
      <x:c r="D72" s="3"/>
      <x:c r="E72" s="43" t="s">
        <x:v>118</x:v>
      </x:c>
      <x:c r="F72" s="43" t="s">
        <x:v>87</x:v>
      </x:c>
      <x:c r="G72" s="44">
        <x:v>26.65</x:v>
      </x:c>
      <x:c r="H72" s="3"/>
      <x:c r="I72" s="3"/>
      <x:c r="J72" s="43" t="s">
        <x:v>119</x:v>
      </x:c>
      <x:c r="K72" s="43" t="s">
        <x:v>116</x:v>
      </x:c>
      <x:c r="L72" s="58">
        <x:v>0.03</x:v>
      </x:c>
      <x:c r="M72" s="3"/>
      <x:c r="N72" s="3"/>
      <x:c r="O72" s="48"/>
      <x:c r="P72" s="48"/>
      <x:c r="Q72" s="48"/>
      <x:c r="R72" s="48"/>
    </x:row>
    <x:row r="73" ht="21" customHeight="1">
      <x:c r="A73" s="2" t="s">
        <x:v>120</x:v>
      </x:c>
      <x:c r="B73" s="2" t="s">
        <x:v>121</x:v>
      </x:c>
      <x:c r="C73" s="57">
        <x:v>2.0</x:v>
      </x:c>
      <x:c r="D73" s="3"/>
      <x:c r="E73" s="43" t="s">
        <x:v>122</x:v>
      </x:c>
      <x:c r="F73" s="43" t="s">
        <x:v>93</x:v>
      </x:c>
      <x:c r="G73" s="42">
        <x:v>8.0</x:v>
      </x:c>
      <x:c r="H73" s="3"/>
      <x:c r="I73" s="3"/>
      <x:c r="J73" s="43" t="s">
        <x:v>123</x:v>
      </x:c>
      <x:c r="K73" s="43" t="s">
        <x:v>116</x:v>
      </x:c>
      <x:c r="L73" s="58">
        <x:v>0.25</x:v>
      </x:c>
      <x:c r="M73" s="3"/>
      <x:c r="N73" s="3"/>
      <x:c r="O73" s="48"/>
      <x:c r="P73" s="48"/>
      <x:c r="Q73" s="48"/>
      <x:c r="R73" s="48"/>
    </x:row>
    <x:row r="74" ht="21" customHeight="1">
      <x:c r="A74" s="2" t="s">
        <x:v>124</x:v>
      </x:c>
      <x:c r="B74" s="2" t="s">
        <x:v>121</x:v>
      </x:c>
      <x:c r="C74" s="57">
        <x:v>2.0</x:v>
      </x:c>
      <x:c r="D74" s="3"/>
      <x:c r="E74" s="43" t="s">
        <x:v>125</x:v>
      </x:c>
      <x:c r="F74" s="43" t="s">
        <x:v>93</x:v>
      </x:c>
      <x:c r="G74" s="42">
        <x:v>4.0</x:v>
      </x:c>
      <x:c r="H74" s="3"/>
      <x:c r="I74" s="3"/>
      <x:c r="J74" s="43" t="s">
        <x:v>126</x:v>
      </x:c>
      <x:c r="K74" s="43" t="s">
        <x:v>127</x:v>
      </x:c>
      <x:c r="L74" s="45" t="n">
        <x:f>L70*45%</x:f>
        <x:v>45.0585</x:v>
      </x:c>
      <x:c r="M74" s="3"/>
      <x:c r="N74" s="3"/>
      <x:c r="O74" s="48"/>
      <x:c r="P74" s="48"/>
      <x:c r="Q74" s="48"/>
      <x:c r="R74" s="48"/>
    </x:row>
    <x:row r="75" ht="21" customHeight="1">
      <x:c r="A75" s="2" t="s">
        <x:v>128</x:v>
      </x:c>
      <x:c r="B75" s="2" t="s">
        <x:v>129</x:v>
      </x:c>
      <x:c r="C75" s="57">
        <x:v>12.0</x:v>
      </x:c>
      <x:c r="D75" s="3"/>
      <x:c r="E75" s="43" t="s">
        <x:v>130</x:v>
      </x:c>
      <x:c r="F75" s="43" t="s">
        <x:v>93</x:v>
      </x:c>
      <x:c r="G75" s="42">
        <x:v>6.0</x:v>
      </x:c>
      <x:c r="H75" s="3"/>
      <x:c r="I75" s="3"/>
      <x:c r="J75" s="43" t="s">
        <x:v>131</x:v>
      </x:c>
      <x:c r="K75" s="43" t="s">
        <x:v>89</x:v>
      </x:c>
      <x:c r="L75" s="44">
        <x:v>6.0</x:v>
      </x:c>
      <x:c r="M75" s="3"/>
      <x:c r="N75" s="3"/>
      <x:c r="O75" s="48"/>
      <x:c r="P75" s="48"/>
      <x:c r="Q75" s="48"/>
      <x:c r="R75" s="48"/>
    </x:row>
    <x:row r="76" ht="21" customHeight="1">
      <x:c r="A76" s="2" t="s">
        <x:v>132</x:v>
      </x:c>
      <x:c r="B76" s="2" t="s">
        <x:v>133</x:v>
      </x:c>
      <x:c r="C76" s="57">
        <x:v>160.0</x:v>
      </x:c>
      <x:c r="D76" s="3"/>
      <x:c r="E76" s="43" t="s">
        <x:v>134</x:v>
      </x:c>
      <x:c r="F76" s="43" t="s">
        <x:v>93</x:v>
      </x:c>
      <x:c r="G76" s="42">
        <x:v>3.0</x:v>
      </x:c>
      <x:c r="H76" s="3"/>
      <x:c r="I76" s="3"/>
      <x:c r="J76" s="43" t="s">
        <x:v>135</x:v>
      </x:c>
      <x:c r="K76" s="43" t="s">
        <x:v>89</x:v>
      </x:c>
      <x:c r="L76" s="44">
        <x:v>3.0</x:v>
      </x:c>
      <x:c r="M76" s="3"/>
      <x:c r="N76" s="3"/>
      <x:c r="O76" s="48"/>
      <x:c r="P76" s="48"/>
      <x:c r="Q76" s="48"/>
      <x:c r="R76" s="48"/>
    </x:row>
    <x:row r="77" ht="21" customHeight="1">
      <x:c r="A77" s="2" t="s">
        <x:v>136</x:v>
      </x:c>
      <x:c r="B77" s="2" t="s">
        <x:v>137</x:v>
      </x:c>
      <x:c r="C77" s="57">
        <x:v>1.4</x:v>
      </x:c>
      <x:c r="D77" s="3"/>
      <x:c r="E77" s="43" t="s">
        <x:v>138</x:v>
      </x:c>
      <x:c r="F77" s="43" t="s">
        <x:v>93</x:v>
      </x:c>
      <x:c r="G77" s="56" t="n">
        <x:f>SUM(G73:G76)</x:f>
        <x:v>21</x:v>
      </x:c>
      <x:c r="H77" s="3"/>
      <x:c r="I77" s="3"/>
      <x:c r="J77" s="43" t="s">
        <x:v>139</x:v>
      </x:c>
      <x:c r="K77" s="43" t="s">
        <x:v>89</x:v>
      </x:c>
      <x:c r="L77" s="44">
        <x:v>2.0</x:v>
      </x:c>
      <x:c r="M77" s="3"/>
      <x:c r="N77" s="3"/>
      <x:c r="O77" s="48"/>
      <x:c r="P77" s="48"/>
      <x:c r="Q77" s="48"/>
      <x:c r="R77" s="48"/>
    </x:row>
    <x:row r="78" ht="21" customHeight="1">
      <x:c r="A78" s="2" t="s">
        <x:v>140</x:v>
      </x:c>
      <x:c r="B78" s="2" t="s">
        <x:v>141</x:v>
      </x:c>
      <x:c r="C78" s="57">
        <x:v>1500.0</x:v>
      </x:c>
      <x:c r="D78" s="3"/>
      <x:c r="E78" s="43" t="s">
        <x:v>142</x:v>
      </x:c>
      <x:c r="F78" s="43" t="s">
        <x:v>87</x:v>
      </x:c>
      <x:c r="G78" s="45" t="n">
        <x:f>ROUND(G77/60*$C$80,2)</x:f>
        <x:v>5.1</x:v>
      </x:c>
      <x:c r="H78" s="3"/>
      <x:c r="I78" s="3"/>
      <x:c r="J78" s="50" t="s">
        <x:v>96</x:v>
      </x:c>
      <x:c r="K78" s="50" t="s">
        <x:v>89</x:v>
      </x:c>
      <x:c r="L78" s="51" t="n">
        <x:f>SUM(L68:L69,L74:L77)</x:f>
        <x:v>69.05850000000001</x:v>
      </x:c>
      <x:c r="M78" s="3"/>
      <x:c r="N78" s="3"/>
      <x:c r="O78" s="48"/>
      <x:c r="P78" s="48"/>
      <x:c r="Q78" s="48"/>
      <x:c r="R78" s="48"/>
    </x:row>
    <x:row r="79" ht="21" customHeight="1">
      <x:c r="A79" s="2" t="s">
        <x:v>143</x:v>
      </x:c>
      <x:c r="B79" s="2" t="s">
        <x:v>144</x:v>
      </x:c>
      <x:c r="C79" s="60" t="n">
        <x:f>C71/C76*C77/C78</x:f>
        <x:v>20.416666666666664</x:v>
      </x:c>
      <x:c r="D79" s="3"/>
      <x:c r="E79" s="43" t="s">
        <x:v>145</x:v>
      </x:c>
      <x:c r="F79" s="43" t="s">
        <x:v>87</x:v>
      </x:c>
      <x:c r="G79" s="44">
        <x:v>7.25</x:v>
      </x:c>
      <x:c r="H79" s="3"/>
      <x:c r="I79" s="3"/>
      <x:c r="J79" s="50" t="s">
        <x:v>146</x:v>
      </x:c>
      <x:c r="K79" s="50" t="s">
        <x:v>89</x:v>
      </x:c>
      <x:c r="L79" s="51" t="n">
        <x:f>$C$68/$C$65</x:f>
        <x:v>3</x:v>
      </x:c>
      <x:c r="M79" s="3"/>
      <x:c r="N79" s="3"/>
      <x:c r="O79" s="48"/>
      <x:c r="P79" s="48"/>
      <x:c r="Q79" s="48"/>
      <x:c r="R79" s="48"/>
    </x:row>
    <x:row r="80" ht="21" customHeight="1">
      <x:c r="A80" s="2" t="s">
        <x:v>147</x:v>
      </x:c>
      <x:c r="B80" s="2" t="s">
        <x:v>144</x:v>
      </x:c>
      <x:c r="C80" s="61" t="n">
        <x:f>C72/C76*C77/C78</x:f>
        <x:v>14.583333333333334</x:v>
      </x:c>
      <x:c r="D80" s="3"/>
      <x:c r="E80" s="43" t="s">
        <x:v>148</x:v>
      </x:c>
      <x:c r="F80" s="43" t="s">
        <x:v>149</x:v>
      </x:c>
      <x:c r="G80" s="44">
        <x:v>20.0</x:v>
      </x:c>
      <x:c r="H80" s="3"/>
      <x:c r="I80" s="3"/>
      <x:c r="J80" s="53" t="s">
        <x:v>150</x:v>
      </x:c>
      <x:c r="K80" s="53" t="s">
        <x:v>89</x:v>
      </x:c>
      <x:c r="L80" s="62" t="n">
        <x:f>SUM($C$66:$C$67,L79)</x:f>
        <x:v>174.51850000000002</x:v>
      </x:c>
      <x:c r="M80" s="3"/>
      <x:c r="N80" s="3"/>
      <x:c r="O80" s="48"/>
      <x:c r="P80" s="48"/>
      <x:c r="Q80" s="48"/>
      <x:c r="R80" s="48"/>
    </x:row>
    <x:row r="81" ht="21" customHeight="1">
      <x:c r="A81" s="2" t="s">
        <x:v>151</x:v>
      </x:c>
      <x:c r="B81" s="2" t="s">
        <x:v>152</x:v>
      </x:c>
      <x:c r="C81" s="57">
        <x:v>500.0</x:v>
      </x:c>
      <x:c r="D81" s="3"/>
      <x:c r="E81" s="43" t="s">
        <x:v>153</x:v>
      </x:c>
      <x:c r="F81" s="43" t="s">
        <x:v>144</x:v>
      </x:c>
      <x:c r="G81" s="45" t="n">
        <x:f>$C$79</x:f>
        <x:v>20.416666666666664</x:v>
      </x:c>
      <x:c r="H81" s="3"/>
      <x:c r="I81" s="3"/>
      <x:c r="J81" s="3"/>
      <x:c r="K81" s="3"/>
      <x:c r="L81" s="3"/>
      <x:c r="M81" s="3"/>
      <x:c r="N81" s="3"/>
      <x:c r="O81" s="48"/>
      <x:c r="P81" s="48"/>
      <x:c r="Q81" s="48"/>
      <x:c r="R81" s="48"/>
    </x:row>
    <x:row r="82" ht="21" customHeight="1">
      <x:c r="A82" s="2" t="s">
        <x:v>154</x:v>
      </x:c>
      <x:c r="B82" s="2" t="s">
        <x:v>152</x:v>
      </x:c>
      <x:c r="C82" s="57">
        <x:v>500.0</x:v>
      </x:c>
      <x:c r="D82" s="3"/>
      <x:c r="E82" s="43" t="s">
        <x:v>155</x:v>
      </x:c>
      <x:c r="F82" s="43" t="s">
        <x:v>87</x:v>
      </x:c>
      <x:c r="G82" s="45" t="n">
        <x:f>ROUND(G80/100*G81,2)</x:f>
        <x:v>4.08</x:v>
      </x:c>
      <x:c r="H82" s="3"/>
      <x:c r="I82" s="3"/>
      <x:c r="J82" s="37" t="s">
        <x:v>156</x:v>
      </x:c>
      <x:c r="K82" s="38"/>
      <x:c r="L82" s="39"/>
      <x:c r="M82" s="3"/>
      <x:c r="N82" s="3"/>
      <x:c r="O82" s="48"/>
      <x:c r="P82" s="48"/>
      <x:c r="Q82" s="48"/>
      <x:c r="R82" s="48"/>
    </x:row>
    <x:row r="83" ht="21" customHeight="1">
      <x:c r="A83" s="2" t="s">
        <x:v>157</x:v>
      </x:c>
      <x:c r="B83" s="2" t="s">
        <x:v>152</x:v>
      </x:c>
      <x:c r="C83" s="57">
        <x:v>1000.0</x:v>
      </x:c>
      <x:c r="D83" s="3"/>
      <x:c r="E83" s="43" t="s">
        <x:v>158</x:v>
      </x:c>
      <x:c r="F83" s="43" t="s">
        <x:v>89</x:v>
      </x:c>
      <x:c r="G83" s="44">
        <x:v>4.0</x:v>
      </x:c>
      <x:c r="H83" s="3"/>
      <x:c r="I83" s="3"/>
      <x:c r="J83" s="50" t="s">
        <x:v>159</x:v>
      </x:c>
      <x:c r="K83" s="50" t="s">
        <x:v>89</x:v>
      </x:c>
      <x:c r="L83" s="51" t="n">
        <x:f>SUM(G65,G72,G79,G83:G84)</x:f>
        <x:v>87.19999999999999</x:v>
      </x:c>
      <x:c r="M83" s="3"/>
      <x:c r="N83" s="3"/>
      <x:c r="O83" s="48"/>
      <x:c r="P83" s="48"/>
      <x:c r="Q83" s="48"/>
      <x:c r="R83" s="48"/>
    </x:row>
    <x:row r="84" ht="21" customHeight="1">
      <x:c r="A84" s="2" t="s">
        <x:v>160</x:v>
      </x:c>
      <x:c r="B84" s="2" t="s">
        <x:v>20</x:v>
      </x:c>
      <x:c r="C84" s="57">
        <x:v>6000.0</x:v>
      </x:c>
      <x:c r="D84" s="3"/>
      <x:c r="E84" s="43" t="s">
        <x:v>161</x:v>
      </x:c>
      <x:c r="F84" s="43" t="s">
        <x:v>89</x:v>
      </x:c>
      <x:c r="G84" s="44">
        <x:v>0.0</x:v>
      </x:c>
      <x:c r="H84" s="3"/>
      <x:c r="I84" s="3"/>
      <x:c r="J84" s="50" t="s">
        <x:v>162</x:v>
      </x:c>
      <x:c r="K84" s="50" t="s">
        <x:v>89</x:v>
      </x:c>
      <x:c r="L84" s="51" t="n">
        <x:f>SUM(G65,G72)</x:f>
        <x:v>75.94999999999999</x:v>
      </x:c>
      <x:c r="M84" s="3"/>
      <x:c r="N84" s="3"/>
      <x:c r="O84" s="48"/>
      <x:c r="P84" s="48"/>
      <x:c r="Q84" s="48"/>
      <x:c r="R84" s="48"/>
    </x:row>
    <x:row r="85" ht="21" customHeight="1">
      <x:c r="A85" s="2" t="s">
        <x:v>32</x:v>
      </x:c>
      <x:c r="B85" s="2" t="s">
        <x:v>20</x:v>
      </x:c>
      <x:c r="C85" s="57">
        <x:v>2000.0</x:v>
      </x:c>
      <x:c r="D85" s="3"/>
      <x:c r="E85" s="50" t="s">
        <x:v>91</x:v>
      </x:c>
      <x:c r="F85" s="50" t="s">
        <x:v>89</x:v>
      </x:c>
      <x:c r="G85" s="51" t="n">
        <x:f>SUM(G65,G71,G72,G78,G79,G82:G84)</x:f>
        <x:v>102.46</x:v>
      </x:c>
      <x:c r="H85" s="3"/>
      <x:c r="I85" s="3"/>
      <x:c r="J85" s="50" t="s">
        <x:v>163</x:v>
      </x:c>
      <x:c r="K85" s="50" t="s">
        <x:v>89</x:v>
      </x:c>
      <x:c r="L85" s="51" t="n">
        <x:f>SUM(L84,L68:L69)</x:f>
        <x:v>88.94999999999999</x:v>
      </x:c>
      <x:c r="M85" s="3"/>
      <x:c r="N85" s="3"/>
      <x:c r="O85" s="48"/>
      <x:c r="P85" s="48"/>
      <x:c r="Q85" s="48"/>
      <x:c r="R85" s="48"/>
    </x:row>
    <x:row r="86" ht="21" customHeight="1">
      <x:c r="A86" s="2" t="s">
        <x:v>164</x:v>
      </x:c>
      <x:c r="B86" s="2" t="s">
        <x:v>20</x:v>
      </x:c>
      <x:c r="C86" s="57">
        <x:v>4000.0</x:v>
      </x:c>
      <x:c r="D86" s="3"/>
      <x:c r="E86" s="53" t="s">
        <x:v>165</x:v>
      </x:c>
      <x:c r="F86" s="53" t="s">
        <x:v>87</x:v>
      </x:c>
      <x:c r="G86" s="62" t="n">
        <x:f>SUM(G79,G82)</x:f>
        <x:v>11.33</x:v>
      </x:c>
      <x:c r="H86" s="3"/>
      <x:c r="I86" s="3"/>
      <x:c r="J86" s="53" t="s">
        <x:v>166</x:v>
      </x:c>
      <x:c r="K86" s="53" t="s">
        <x:v>89</x:v>
      </x:c>
      <x:c r="L86" s="62" t="n">
        <x:f>SUM(L68:L69,L85*45%,L75:L77)</x:f>
        <x:v>64.0275</x:v>
      </x:c>
      <x:c r="M86" s="3"/>
      <x:c r="N86" s="3"/>
      <x:c r="O86" s="48"/>
      <x:c r="P86" s="48"/>
      <x:c r="Q86" s="48"/>
      <x:c r="R86" s="48"/>
    </x:row>
    <x:row r="87" ht="21" customHeight="1">
      <x:c r="A87" s="2" t="s">
        <x:v>43</x:v>
      </x:c>
      <x:c r="B87" s="2" t="s">
        <x:v>20</x:v>
      </x:c>
      <x:c r="C87" s="63">
        <x:v>12000.0</x:v>
      </x:c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48"/>
      <x:c r="P87" s="48"/>
      <x:c r="Q87" s="48"/>
      <x:c r="R87" s="48"/>
    </x:row>
    <x:row r="88" ht="21" customHeight="1">
      <x:c r="A88" s="2" t="s">
        <x:v>167</x:v>
      </x:c>
      <x:c r="B88" s="2" t="s">
        <x:v>20</x:v>
      </x:c>
      <x:c r="C88" s="56" t="n">
        <x:f>P69</x:f>
        <x:v>10000</x:v>
      </x:c>
      <x:c r="D88" s="3"/>
      <x:c r="E88" s="37" t="s">
        <x:v>168</x:v>
      </x:c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9"/>
      <x:c r="Q88" s="48"/>
      <x:c r="R88" s="48"/>
    </x:row>
    <x:row r="89" ht="24" customHeight="1">
      <x:c r="A89" s="2" t="s">
        <x:v>45</x:v>
      </x:c>
      <x:c r="B89" s="2" t="s">
        <x:v>20</x:v>
      </x:c>
      <x:c r="C89" s="57">
        <x:v>8000.0</x:v>
      </x:c>
      <x:c r="D89" s="3"/>
      <x:c r="E89" s="64" t="s">
        <x:v>169</x:v>
      </x:c>
      <x:c r="Q89" s="48"/>
      <x:c r="R89" s="48"/>
    </x:row>
    <x:row r="90" ht="24" customHeight="1">
      <x:c r="A90" s="2" t="s">
        <x:v>170</x:v>
      </x:c>
      <x:c r="B90" s="2" t="s">
        <x:v>171</x:v>
      </x:c>
      <x:c r="C90" s="63">
        <x:v>0.1</x:v>
      </x:c>
      <x:c r="D90" s="3"/>
      <x:c r="E90" s="64" t="s">
        <x:v>172</x:v>
      </x:c>
      <x:c r="Q90" s="48"/>
      <x:c r="R90" s="48"/>
    </x:row>
    <x:row r="91" ht="24" customHeight="1">
      <x:c r="A91" s="2" t="s">
        <x:v>173</x:v>
      </x:c>
      <x:c r="B91" s="2" t="s">
        <x:v>174</x:v>
      </x:c>
      <x:c r="C91" s="63">
        <x:v>0.08</x:v>
      </x:c>
      <x:c r="D91" s="3"/>
      <x:c r="E91" s="64" t="s">
        <x:v>175</x:v>
      </x:c>
      <x:c r="Q91" s="48"/>
      <x:c r="R91" s="48"/>
    </x:row>
    <x:row r="92" ht="24" customHeight="1">
      <x:c r="A92" s="2" t="s">
        <x:v>176</x:v>
      </x:c>
      <x:c r="B92" s="2" t="s">
        <x:v>177</x:v>
      </x:c>
      <x:c r="C92" s="57">
        <x:v>2500.0</x:v>
      </x:c>
      <x:c r="D92" s="3"/>
      <x:c r="E92" s="64" t="s">
        <x:v>178</x:v>
      </x:c>
      <x:c r="Q92" s="48"/>
      <x:c r="R92" s="48"/>
    </x:row>
    <x:row r="93" ht="24" customHeight="1">
      <x:c r="A93" s="2" t="s">
        <x:v>179</x:v>
      </x:c>
      <x:c r="B93" s="2" t="s">
        <x:v>152</x:v>
      </x:c>
      <x:c r="C93" s="65">
        <x:v>2000.0</x:v>
      </x:c>
      <x:c r="D93" s="3"/>
      <x:c r="E93" s="64" t="s">
        <x:v>180</x:v>
      </x:c>
      <x:c r="Q93" s="48"/>
      <x:c r="R93" s="48"/>
    </x:row>
    <x:row r="94" ht="21" customHeight="1">
      <x:c r="A94" s="66" t="s">
        <x:v>181</x:v>
      </x:c>
      <x:c r="B94" s="66" t="s">
        <x:v>182</x:v>
      </x:c>
      <x:c r="C94" s="67">
        <x:v>40.0</x:v>
      </x:c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48"/>
      <x:c r="P94" s="48"/>
      <x:c r="Q94" s="48"/>
      <x:c r="R94" s="48"/>
    </x:row>
    <x:row r="95" ht="21" customHeight="1">
      <x:c r="A95" s="2" t="s">
        <x:v>183</x:v>
      </x:c>
      <x:c r="B95" s="2" t="s">
        <x:v>144</x:v>
      </x:c>
      <x:c r="C95" s="3" t="n">
        <x:f>C80</x:f>
        <x:v>14.583333333333334</x:v>
      </x:c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48"/>
      <x:c r="P95" s="48"/>
      <x:c r="Q95" s="48"/>
      <x:c r="R95" s="48"/>
    </x:row>
    <x:row r="96" ht="21" customHeight="1">
      <x:c r="A96" s="2" t="s">
        <x:v>184</x:v>
      </x:c>
      <x:c r="B96" s="2" t="s">
        <x:v>185</x:v>
      </x:c>
      <x:c r="C96" s="63">
        <x:v>0.2</x:v>
      </x:c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48"/>
      <x:c r="P96" s="48"/>
      <x:c r="Q96" s="48"/>
      <x:c r="R96" s="48"/>
    </x:row>
    <x:row r="97" ht="21" customHeight="1">
      <x:c r="A97" s="2" t="s">
        <x:v>186</x:v>
      </x:c>
      <x:c r="B97" s="2" t="s">
        <x:v>20</x:v>
      </x:c>
      <x:c r="C97" s="65">
        <x:v>0.0</x:v>
      </x:c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48"/>
      <x:c r="P97" s="48"/>
      <x:c r="Q97" s="48"/>
      <x:c r="R97" s="48"/>
    </x:row>
    <x:row r="98" ht="21" customHeight="1">
      <x:c r="A98" s="2" t="s">
        <x:v>187</x:v>
      </x:c>
      <x:c r="B98" s="2" t="s">
        <x:v>89</x:v>
      </x:c>
      <x:c r="C98" s="65">
        <x:v>400.0</x:v>
      </x:c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48"/>
      <x:c r="P98" s="48"/>
      <x:c r="Q98" s="48"/>
      <x:c r="R98" s="48"/>
    </x:row>
    <x:row r="99" ht="21" customHeight="1">
      <x:c r="A99" s="2" t="s">
        <x:v>188</x:v>
      </x:c>
      <x:c r="B99" s="2" t="s">
        <x:v>105</x:v>
      </x:c>
      <x:c r="C99" s="65">
        <x:v>25.0</x:v>
      </x:c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48"/>
      <x:c r="P99" s="48"/>
      <x:c r="Q99" s="48"/>
      <x:c r="R99" s="48"/>
    </x:row>
    <x:row r="100" ht="21" customHeight="1">
      <x:c r="A100" s="2" t="s">
        <x:v>189</x:v>
      </x:c>
      <x:c r="B100" s="2" t="s">
        <x:v>190</x:v>
      </x:c>
      <x:c r="C100" s="65">
        <x:v>4.0</x:v>
      </x:c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48"/>
      <x:c r="P100" s="48"/>
      <x:c r="Q100" s="48"/>
      <x:c r="R100" s="48"/>
    </x:row>
    <x:row r="101" ht="21" customHeight="1">
      <x:c r="A101" s="2" t="s">
        <x:v>191</x:v>
      </x:c>
      <x:c r="B101" s="2" t="s">
        <x:v>192</x:v>
      </x:c>
      <x:c r="C101" s="63">
        <x:v>0.95</x:v>
      </x:c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48"/>
      <x:c r="P101" s="48"/>
      <x:c r="Q101" s="48"/>
      <x:c r="R101" s="48"/>
    </x:row>
    <x:row r="102" ht="21" customHeight="1">
      <x:c r="A102" s="2" t="s">
        <x:v>193</x:v>
      </x:c>
      <x:c r="B102" s="2" t="s">
        <x:v>194</x:v>
      </x:c>
      <x:c r="C102" s="63">
        <x:v>0.1</x:v>
      </x:c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48"/>
      <x:c r="P102" s="48"/>
      <x:c r="Q102" s="48"/>
      <x:c r="R102" s="48"/>
    </x:row>
    <x:row r="103" ht="21" customHeight="1">
      <x:c r="A103" s="2" t="s">
        <x:v>195</x:v>
      </x:c>
      <x:c r="B103" s="2" t="s">
        <x:v>152</x:v>
      </x:c>
      <x:c r="C103" s="65">
        <x:v>500.0</x:v>
      </x:c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48"/>
      <x:c r="P103" s="48"/>
      <x:c r="Q103" s="48"/>
      <x:c r="R103" s="48"/>
    </x:row>
    <x:row r="104" ht="21" customHeight="1">
      <x:c r="A104" s="2" t="s">
        <x:v>47</x:v>
      </x:c>
      <x:c r="B104" s="2" t="s">
        <x:v>196</x:v>
      </x:c>
      <x:c r="C104" s="63">
        <x:v>0.1</x:v>
      </x:c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48"/>
      <x:c r="P104" s="48"/>
      <x:c r="Q104" s="48"/>
      <x:c r="R104" s="48"/>
    </x:row>
    <x:row r="105" ht="21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48"/>
      <x:c r="P105" s="48"/>
      <x:c r="Q105" s="48"/>
      <x:c r="R105" s="48"/>
    </x:row>
    <x:row r="106" ht="21" customHeight="1">
      <x:c r="A106" s="7" t="s">
        <x:v>197</x:v>
      </x:c>
      <x:c r="B106" s="8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40"/>
      <x:c r="P106" s="40"/>
      <x:c r="Q106" s="40"/>
      <x:c r="R106" s="41"/>
    </x:row>
    <x:row r="107" ht="21" customHeight="1">
      <x:c r="A107" s="69" t="s">
        <x:v>198</x:v>
      </x:c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48"/>
      <x:c r="P107" s="48"/>
      <x:c r="Q107" s="48"/>
      <x:c r="R107" s="48"/>
    </x:row>
    <x:row r="108" ht="21" customHeight="1">
      <x:c r="A108" s="70" t="s">
        <x:v>199</x:v>
      </x:c>
      <x:c r="B108" s="66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48"/>
      <x:c r="P108" s="48"/>
      <x:c r="Q108" s="48"/>
      <x:c r="R108" s="48"/>
    </x:row>
    <x:row r="109" ht="21" customHeight="1">
      <x:c r="A109" s="69" t="s">
        <x:v>200</x:v>
      </x:c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48"/>
      <x:c r="P109" s="48"/>
      <x:c r="Q109" s="48"/>
      <x:c r="R109" s="48"/>
    </x:row>
    <x:row r="110" ht="21" customHeight="1">
      <x:c r="A110" s="69" t="s">
        <x:v>201</x:v>
      </x:c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48"/>
      <x:c r="P110" s="48"/>
      <x:c r="Q110" s="48"/>
      <x:c r="R110" s="48"/>
    </x:row>
    <x:row r="111" ht="21" customHeight="1">
      <x:c r="A111" s="69" t="s">
        <x:v>202</x:v>
      </x:c>
      <x:c r="B111" s="2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48"/>
      <x:c r="P111" s="48"/>
      <x:c r="Q111" s="48"/>
      <x:c r="R111" s="48"/>
    </x:row>
    <x:row r="112" ht="21" customHeight="1">
      <x:c r="A112" s="69" t="s">
        <x:v>203</x:v>
      </x:c>
      <x:c r="B112" s="2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48"/>
      <x:c r="P112" s="48"/>
      <x:c r="Q112" s="48"/>
      <x:c r="R112" s="48"/>
    </x:row>
    <x:row r="113" ht="21" customHeight="1">
      <x:c r="A113" s="69" t="s">
        <x:v>204</x:v>
      </x:c>
      <x:c r="B113" s="2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48"/>
      <x:c r="P113" s="48"/>
      <x:c r="Q113" s="48"/>
      <x:c r="R113" s="48"/>
    </x:row>
    <x:row r="114" ht="21" customHeight="1">
      <x:c r="A114" s="69" t="s">
        <x:v>205</x:v>
      </x:c>
      <x:c r="B114" s="2"/>
      <x:c r="C114" s="3" t="n">
        <x:f t="shared" ref="C114:N114" si="88">C118</x:f>
        <x:v>0</x:v>
      </x:c>
      <x:c r="D114" s="3">
        <x:f t="shared" si="88"/>
        <x:v>0</x:v>
      </x:c>
      <x:c r="E114" s="3">
        <x:f t="shared" si="88"/>
        <x:v>0</x:v>
      </x:c>
      <x:c r="F114" s="3">
        <x:f t="shared" si="88"/>
        <x:v>0</x:v>
      </x:c>
      <x:c r="G114" s="3">
        <x:f t="shared" si="88"/>
        <x:v>0</x:v>
      </x:c>
      <x:c r="H114" s="3">
        <x:f t="shared" si="88"/>
        <x:v>0</x:v>
      </x:c>
      <x:c r="I114" s="3">
        <x:f t="shared" si="88"/>
        <x:v>0</x:v>
      </x:c>
      <x:c r="J114" s="3">
        <x:f t="shared" si="88"/>
        <x:v>0</x:v>
      </x:c>
      <x:c r="K114" s="3">
        <x:f t="shared" si="88"/>
        <x:v>0</x:v>
      </x:c>
      <x:c r="L114" s="3">
        <x:f t="shared" si="88"/>
        <x:v>0</x:v>
      </x:c>
      <x:c r="M114" s="3">
        <x:f t="shared" si="88"/>
        <x:v>100</x:v>
      </x:c>
      <x:c r="N114" s="3">
        <x:f t="shared" si="88"/>
        <x:v>0</x:v>
      </x:c>
      <x:c r="O114" s="48"/>
      <x:c r="P114" s="48"/>
      <x:c r="Q114" s="48"/>
      <x:c r="R114" s="48"/>
    </x:row>
    <x:row r="115" ht="21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48"/>
      <x:c r="P115" s="48"/>
      <x:c r="Q115" s="48"/>
      <x:c r="R115" s="48"/>
    </x:row>
    <x:row r="116" ht="21" customHeight="1">
      <x:c r="A116" s="7" t="s">
        <x:v>206</x:v>
      </x:c>
      <x:c r="B116" s="8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40"/>
      <x:c r="P116" s="40"/>
      <x:c r="Q116" s="40"/>
      <x:c r="R116" s="41"/>
    </x:row>
    <x:row r="117" ht="21" customHeight="1">
      <x:c r="A117" s="2" t="s">
        <x:v>207</x:v>
      </x:c>
      <x:c r="B117" s="2" t="s">
        <x:v>1</x:v>
      </x:c>
      <x:c r="C117" s="61" t="s">
        <x:v>2</x:v>
      </x:c>
      <x:c r="D117" s="61" t="s">
        <x:v>3</x:v>
      </x:c>
      <x:c r="E117" s="61" t="s">
        <x:v>4</x:v>
      </x:c>
      <x:c r="F117" s="61" t="s">
        <x:v>5</x:v>
      </x:c>
      <x:c r="G117" s="61" t="s">
        <x:v>6</x:v>
      </x:c>
      <x:c r="H117" s="61" t="s">
        <x:v>7</x:v>
      </x:c>
      <x:c r="I117" s="61" t="s">
        <x:v>8</x:v>
      </x:c>
      <x:c r="J117" s="61" t="s">
        <x:v>9</x:v>
      </x:c>
      <x:c r="K117" s="61" t="s">
        <x:v>10</x:v>
      </x:c>
      <x:c r="L117" s="61" t="s">
        <x:v>11</x:v>
      </x:c>
      <x:c r="M117" s="61" t="s">
        <x:v>12</x:v>
      </x:c>
      <x:c r="N117" s="61" t="s">
        <x:v>13</x:v>
      </x:c>
      <x:c r="O117" s="48"/>
      <x:c r="P117" s="48"/>
      <x:c r="Q117" s="48"/>
      <x:c r="R117" s="48"/>
    </x:row>
    <x:row r="118" ht="21" customHeight="1">
      <x:c r="A118" s="2" t="s">
        <x:v>208</x:v>
      </x:c>
      <x:c r="B118" s="2" t="s">
        <x:v>75</x:v>
      </x:c>
      <x:c r="C118" s="61">
        <x:v>0.0</x:v>
      </x:c>
      <x:c r="D118" s="61">
        <x:v>0.0</x:v>
      </x:c>
      <x:c r="E118" s="61">
        <x:v>0.0</x:v>
      </x:c>
      <x:c r="F118" s="61">
        <x:v>0.0</x:v>
      </x:c>
      <x:c r="G118" s="61">
        <x:v>0.0</x:v>
      </x:c>
      <x:c r="H118" s="61">
        <x:v>0.0</x:v>
      </x:c>
      <x:c r="I118" s="61">
        <x:v>0.0</x:v>
      </x:c>
      <x:c r="J118" s="61">
        <x:v>0.0</x:v>
      </x:c>
      <x:c r="K118" s="61">
        <x:v>0.0</x:v>
      </x:c>
      <x:c r="L118" s="61">
        <x:v>0.0</x:v>
      </x:c>
      <x:c r="M118" s="61">
        <x:v>100.0</x:v>
      </x:c>
      <x:c r="N118" s="61">
        <x:v>0.0</x:v>
      </x:c>
      <x:c r="O118" s="48"/>
      <x:c r="P118" s="48"/>
      <x:c r="Q118" s="48"/>
      <x:c r="R118" s="48"/>
    </x:row>
    <x:row r="119" ht="21" customHeight="1">
      <x:c r="A119" s="2" t="s">
        <x:v>209</x:v>
      </x:c>
      <x:c r="B119" s="2" t="s">
        <x:v>121</x:v>
      </x:c>
      <x:c r="C119" s="61" t="n">
        <x:f>$C$73+$C$74</x:f>
        <x:v>4</x:v>
      </x:c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48"/>
      <x:c r="P119" s="48"/>
      <x:c r="Q119" s="48"/>
      <x:c r="R119" s="48"/>
    </x:row>
    <x:row r="120" ht="21" customHeight="1">
      <x:c r="A120" s="2" t="s">
        <x:v>210</x:v>
      </x:c>
      <x:c r="B120" s="2" t="s">
        <x:v>211</x:v>
      </x:c>
      <x:c r="C120" s="61" t="n">
        <x:f>C119*$C$75*$C$76</x:f>
        <x:v>7680</x:v>
      </x:c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48"/>
      <x:c r="P120" s="48"/>
      <x:c r="Q120" s="48"/>
      <x:c r="R120" s="48"/>
    </x:row>
    <x:row r="121" ht="21" customHeight="1">
      <x:c r="A121" s="2"/>
      <x:c r="B121" s="2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48"/>
      <x:c r="P121" s="48"/>
      <x:c r="Q121" s="48"/>
      <x:c r="R121" s="48"/>
    </x:row>
    <x:row r="122" ht="21" customHeight="1">
      <x:c r="A122" s="2"/>
      <x:c r="B122" s="2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48"/>
      <x:c r="P122" s="48"/>
      <x:c r="Q122" s="48"/>
      <x:c r="R122" s="48"/>
    </x:row>
    <x:row r="123" ht="21" customHeight="1">
      <x:c r="A123" s="2"/>
      <x:c r="B123" s="2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48"/>
      <x:c r="P123" s="48"/>
      <x:c r="Q123" s="48"/>
      <x:c r="R123" s="48"/>
    </x:row>
    <x:row r="124" ht="21" customHeight="1">
      <x:c r="A124" s="2"/>
      <x:c r="B124" s="2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48"/>
      <x:c r="P124" s="48"/>
      <x:c r="Q124" s="48"/>
      <x:c r="R124" s="48"/>
    </x:row>
    <x:row r="125" ht="21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48"/>
      <x:c r="P125" s="48"/>
      <x:c r="Q125" s="48"/>
      <x:c r="R125" s="48"/>
    </x:row>
    <x:row r="126" ht="21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48"/>
      <x:c r="P126" s="48"/>
      <x:c r="Q126" s="48"/>
      <x:c r="R126" s="48"/>
    </x:row>
    <x:row r="127" ht="21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48"/>
      <x:c r="P127" s="48"/>
      <x:c r="Q127" s="48"/>
      <x:c r="R127" s="48"/>
    </x:row>
    <x:row r="128" ht="15.75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48"/>
      <x:c r="P128" s="48"/>
      <x:c r="Q128" s="48"/>
      <x:c r="R128" s="48"/>
    </x:row>
    <x:row r="129" ht="21" customHeight="1">
      <x:c r="A129" s="7" t="s">
        <x:v>212</x:v>
      </x:c>
      <x:c r="B129" s="8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40"/>
      <x:c r="P129" s="40"/>
      <x:c r="Q129" s="40"/>
      <x:c r="R129" s="41"/>
    </x:row>
    <x:row r="130" ht="21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48"/>
      <x:c r="P130" s="48" t="s">
        <x:v>15</x:v>
      </x:c>
      <x:c r="Q130" s="48" t="s">
        <x:v>16</x:v>
      </x:c>
      <x:c r="R130" s="48" t="s">
        <x:v>17</x:v>
      </x:c>
    </x:row>
    <x:row r="131" ht="21" customHeight="1">
      <x:c r="A131" s="2" t="s">
        <x:v>213</x:v>
      </x:c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71"/>
      <x:c r="P131" s="71" t="n">
        <x:f>'Plan comercial'!C24</x:f>
        <x:v>300</x:v>
      </x:c>
      <x:c r="Q131" s="71" t="n">
        <x:f>'Plan comercial'!D24</x:f>
        <x:v>800</x:v>
      </x:c>
      <x:c r="R131" s="71" t="n">
        <x:f>'Plan comercial'!E24</x:f>
        <x:v>1680</x:v>
      </x:c>
    </x:row>
    <x:row r="132" ht="21" customHeight="1">
      <x:c r="A132" s="2" t="s">
        <x:v>214</x:v>
      </x:c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71"/>
      <x:c r="P132" s="71" t="n">
        <x:f>ROUNDUP(MAX(0,P131+P135+P131*$C$102-N62),0)</x:f>
        <x:v>237</x:v>
      </x:c>
      <x:c r="Q132" s="71" t="n">
        <x:f t="shared" ref="Q132:R132" si="89">ROUNDUP(MAX(0,Q131+Q135+Q131*$C$102-P62),0)</x:f>
        <x:v>865</x:v>
      </x:c>
      <x:c r="R132" s="71">
        <x:f t="shared" si="89"/>
        <x:v>1792</x:v>
      </x:c>
    </x:row>
    <x:row r="133" ht="21" customHeight="1">
      <x:c r="A133" s="2" t="s">
        <x:v>215</x:v>
      </x:c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71"/>
      <x:c r="P133" s="71" t="n">
        <x:f>'Plan comercial'!C28</x:f>
        <x:v>1</x:v>
      </x:c>
      <x:c r="Q133" s="71" t="n">
        <x:f>'Plan comercial'!D28</x:f>
        <x:v>2</x:v>
      </x:c>
      <x:c r="R133" s="71" t="n">
        <x:f>'Plan comercial'!E28</x:f>
        <x:v>3</x:v>
      </x:c>
    </x:row>
    <x:row r="134" ht="21" customHeight="1">
      <x:c r="A134" s="2" t="s">
        <x:v>216</x:v>
      </x:c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71"/>
      <x:c r="P134" s="71" t="n">
        <x:f>'Plan comercial'!C34</x:f>
        <x:v>2000</x:v>
      </x:c>
      <x:c r="Q134" s="71" t="n">
        <x:f>'Plan comercial'!D34</x:f>
        <x:v>3500</x:v>
      </x:c>
      <x:c r="R134" s="71" t="n">
        <x:f>'Plan comercial'!E34</x:f>
        <x:v>5000</x:v>
      </x:c>
    </x:row>
    <x:row r="135" ht="21" customHeight="1">
      <x:c r="A135" s="2" t="s">
        <x:v>217</x:v>
      </x:c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48"/>
      <x:c r="P135" s="48" t="n">
        <x:f>'Plan comercial'!C62</x:f>
        <x:v>7</x:v>
      </x:c>
      <x:c r="Q135" s="48" t="n">
        <x:f>'Plan comercial'!D62</x:f>
        <x:v>15</x:v>
      </x:c>
      <x:c r="R135" s="48" t="n">
        <x:f>'Plan comercial'!E62</x:f>
        <x:v>24</x:v>
      </x:c>
    </x:row>
    <x:row r="136" ht="21" customHeight="1">
      <x:c r="A136" s="7" t="s">
        <x:v>218</x:v>
      </x:c>
      <x:c r="B136" s="8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40"/>
      <x:c r="P136" s="40"/>
      <x:c r="Q136" s="40"/>
      <x:c r="R136" s="41"/>
    </x:row>
    <x:row r="137" ht="21" customHeight="1">
      <x:c r="A137" s="2" t="s">
        <x:v>219</x:v>
      </x:c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48"/>
      <x:c r="P137" s="48">
        <x:v>12.0</x:v>
      </x:c>
      <x:c r="Q137" s="48">
        <x:v>12.0</x:v>
      </x:c>
      <x:c r="R137" s="48">
        <x:v>12.0</x:v>
      </x:c>
    </x:row>
    <x:row r="138" ht="21" customHeight="1">
      <x:c r="A138" s="2" t="s">
        <x:v>220</x:v>
      </x:c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72"/>
      <x:c r="P138" s="72" t="n">
        <x:f t="shared" ref="P138:R138" si="90">IF($C$101=1,P137,(1-$C$101^P137)/(1-$C$101))</x:f>
        <x:v>9.192798246747259</x:v>
      </x:c>
      <x:c r="Q138" s="72">
        <x:f t="shared" si="90"/>
        <x:v>9.192798247</x:v>
      </x:c>
      <x:c r="R138" s="72">
        <x:f t="shared" si="90"/>
        <x:v>9.192798247</x:v>
      </x:c>
    </x:row>
    <x:row r="139" ht="21" customHeight="1">
      <x:c r="A139" s="2" t="s">
        <x:v>221</x:v>
      </x:c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72"/>
      <x:c r="P139" s="72" t="n">
        <x:f t="shared" ref="P139:R139" si="91">IF($C$101=1,P137*(P137-1)/2,(P137-P138)/(1-$C$101))</x:f>
        <x:v>56.14403506505477</x:v>
      </x:c>
      <x:c r="Q139" s="72">
        <x:f t="shared" si="91"/>
        <x:v>56.14403507</x:v>
      </x:c>
      <x:c r="R139" s="72">
        <x:f t="shared" si="91"/>
        <x:v>56.14403507</x:v>
      </x:c>
    </x:row>
    <x:row r="140" ht="21" customHeight="1">
      <x:c r="A140" s="2" t="s">
        <x:v>222</x:v>
      </x:c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72"/>
      <x:c r="P140" s="72" t="n">
        <x:f>N60*$C$101+P131/P137</x:f>
        <x:v>25</x:v>
      </x:c>
      <x:c r="Q140" s="72" t="n">
        <x:f t="shared" ref="Q140:R140" si="92">P141*$C$101+Q131/Q137</x:f>
        <x:v>284.99562502691407</x:v>
      </x:c>
      <x:c r="R140" s="72">
        <x:f t="shared" si="92"/>
        <x:v>840.1868107</x:v>
      </x:c>
    </x:row>
    <x:row r="141" ht="21" customHeight="1">
      <x:c r="A141" s="2" t="s">
        <x:v>223</x:v>
      </x:c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72"/>
      <x:c r="P141" s="72" t="n">
        <x:f t="shared" ref="P141:R141" si="93">P140*$C$101^(P137-1)+P131/P137*(P138-$C$101^(P137-1))</x:f>
        <x:v>229.81995616868147</x:v>
      </x:c>
      <x:c r="Q141" s="72">
        <x:f t="shared" si="93"/>
        <x:v>737.0387481</x:v>
      </x:c>
      <x:c r="R141" s="72">
        <x:f t="shared" si="93"/>
        <x:v>1685.258077</x:v>
      </x:c>
    </x:row>
    <x:row r="142" ht="21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48"/>
      <x:c r="P142" s="48"/>
      <x:c r="Q142" s="48"/>
      <x:c r="R142" s="48"/>
    </x:row>
    <x:row r="143" ht="21" customHeight="1">
      <x:c r="A143" s="2" t="s">
        <x:v>224</x:v>
      </x:c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48"/>
      <x:c r="P143" s="73" t="n">
        <x:f t="shared" ref="P143:R143" si="94">P62</x:f>
        <x:v>30</x:v>
      </x:c>
      <x:c r="Q143" s="73">
        <x:f t="shared" si="94"/>
        <x:v>80</x:v>
      </x:c>
      <x:c r="R143" s="73">
        <x:f t="shared" si="94"/>
        <x:v>168</x:v>
      </x:c>
    </x:row>
    <x:row r="144" ht="21" customHeight="1">
      <x:c r="A144" s="2" t="s">
        <x:v>225</x:v>
      </x:c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74"/>
      <x:c r="P144" s="74" t="n">
        <x:f t="shared" ref="P144:R144" si="95">P45</x:f>
        <x:v>15968.373475362197</x:v>
      </x:c>
      <x:c r="Q144" s="74">
        <x:f t="shared" si="95"/>
        <x:v>139335.2689</x:v>
      </x:c>
      <x:c r="R144" s="74">
        <x:f t="shared" si="95"/>
        <x:v>451017.529</x:v>
      </x:c>
    </x:row>
    <x:row r="145" ht="21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48"/>
      <x:c r="P145" s="48"/>
      <x:c r="Q145" s="48"/>
      <x:c r="R145" s="48"/>
    </x:row>
    <x:row r="146" ht="21" customHeight="1">
      <x:c r="A146" s="69" t="s">
        <x:v>226</x:v>
      </x:c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48"/>
      <x:c r="P146" s="48"/>
      <x:c r="Q146" s="48"/>
      <x:c r="R146" s="48"/>
    </x:row>
    <x:row r="147" ht="21" customHeight="1">
      <x:c r="A147" s="69" t="s">
        <x:v>227</x:v>
      </x:c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48"/>
      <x:c r="P147" s="48"/>
      <x:c r="Q147" s="48"/>
      <x:c r="R147" s="48"/>
    </x:row>
    <x:row r="148" ht="21" customHeight="1">
      <x:c r="A148" s="69" t="s">
        <x:v>228</x:v>
      </x:c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48"/>
      <x:c r="P148" s="48"/>
      <x:c r="Q148" s="48"/>
      <x:c r="R148" s="48"/>
    </x:row>
    <x:row r="149" ht="21" customHeight="1">
      <x:c r="A149" s="69" t="s">
        <x:v>229</x:v>
      </x:c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48"/>
      <x:c r="P149" s="48"/>
      <x:c r="Q149" s="48"/>
      <x:c r="R149" s="48"/>
    </x:row>
    <x:row r="150" ht="21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48"/>
      <x:c r="P150" s="48"/>
      <x:c r="Q150" s="48"/>
      <x:c r="R150" s="48"/>
    </x:row>
    <x:row r="151" ht="15.75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48"/>
      <x:c r="P151" s="48"/>
      <x:c r="Q151" s="48"/>
      <x:c r="R151" s="48"/>
    </x:row>
    <x:row r="152" ht="21.75" customHeight="1">
      <x:c r="A152" s="7" t="s">
        <x:v>230</x:v>
      </x:c>
      <x:c r="B152" s="8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40"/>
      <x:c r="P152" s="40"/>
      <x:c r="Q152" s="40"/>
      <x:c r="R152" s="41"/>
      <x:c r="S152" s="75"/>
    </x:row>
    <x:row r="153" ht="21.75" customHeight="1">
      <x:c r="A153" s="2" t="s">
        <x:v>184</x:v>
      </x:c>
      <x:c r="B153" s="2"/>
      <x:c r="C153" s="61" t="n">
        <x:f>$C$96</x:f>
        <x:v>0.2</x:v>
      </x:c>
      <x:c r="D153" s="3"/>
      <x:c r="E153" s="3" t="s">
        <x:v>231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48"/>
      <x:c r="P153" s="48"/>
      <x:c r="Q153" s="48"/>
      <x:c r="R153" s="48"/>
      <x:c r="S153" s="75"/>
    </x:row>
    <x:row r="154" ht="21.75" customHeight="1">
      <x:c r="A154" s="2" t="s">
        <x:v>232</x:v>
      </x:c>
      <x:c r="B154" s="2"/>
      <x:c r="C154" s="76" t="n">
        <x:f>DATE(2027,1,1)</x:f>
        <x:v>46388</x:v>
      </x:c>
      <x:c r="D154" s="3"/>
      <x:c r="E154" s="3" t="s">
        <x:v>233</x:v>
      </x:c>
      <x:c r="F154" s="3"/>
      <x:c r="G154" s="3"/>
      <x:c r="H154" s="3"/>
      <x:c r="I154" s="3"/>
      <x:c r="J154" s="3"/>
      <x:c r="K154" s="3"/>
      <x:c r="L154" s="3"/>
      <x:c r="M154" s="3"/>
      <x:c r="N154" s="3"/>
      <x:c r="O154" s="48"/>
      <x:c r="P154" s="48"/>
      <x:c r="Q154" s="48"/>
      <x:c r="R154" s="48"/>
      <x:c r="S154" s="75"/>
    </x:row>
    <x:row r="155" ht="21.75" customHeight="1">
      <x:c r="A155" s="2" t="s">
        <x:v>234</x:v>
      </x:c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48"/>
      <x:c r="P155" s="48"/>
      <x:c r="Q155" s="48"/>
      <x:c r="R155" s="48"/>
      <x:c r="S155" s="75"/>
    </x:row>
    <x:row r="156" ht="21.75" customHeight="1">
      <x:c r="A156" s="2" t="s">
        <x:v>235</x:v>
      </x:c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48"/>
      <x:c r="P156" s="48"/>
      <x:c r="Q156" s="48"/>
      <x:c r="R156" s="48"/>
      <x:c r="S156" s="75"/>
    </x:row>
    <x:row r="157" ht="21.75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48"/>
      <x:c r="P157" s="48"/>
      <x:c r="Q157" s="48"/>
      <x:c r="R157" s="48"/>
      <x:c r="S157" s="75"/>
    </x:row>
    <x:row r="158" ht="21.75" customHeight="1">
      <x:c r="A158" s="2"/>
      <x:c r="B158" s="2"/>
      <x:c r="C158" s="77"/>
      <x:c r="D158" s="77"/>
      <x:c r="E158" s="77"/>
      <x:c r="F158" s="77"/>
      <x:c r="G158" s="77"/>
      <x:c r="H158" s="77"/>
      <x:c r="I158" s="77"/>
      <x:c r="J158" s="77"/>
      <x:c r="K158" s="77"/>
      <x:c r="L158" s="77"/>
      <x:c r="M158" s="77"/>
      <x:c r="N158" s="77"/>
      <x:c r="O158" s="78"/>
      <x:c r="P158" s="78"/>
      <x:c r="Q158" s="78"/>
      <x:c r="R158" s="78"/>
      <x:c r="S158" s="79"/>
    </x:row>
    <x:row r="159" ht="21.75" customHeight="1">
      <x:c r="A159" s="2"/>
      <x:c r="B159" s="2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74"/>
      <x:c r="P159" s="74"/>
      <x:c r="Q159" s="74"/>
      <x:c r="R159" s="74"/>
      <x:c r="S159" s="81"/>
    </x:row>
    <x:row r="160" ht="21.75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48"/>
      <x:c r="P160" s="48"/>
      <x:c r="Q160" s="48"/>
      <x:c r="R160" s="48"/>
      <x:c r="S160" s="75"/>
    </x:row>
    <x:row r="161" ht="21.75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48"/>
      <x:c r="P161" s="48"/>
      <x:c r="Q161" s="48"/>
      <x:c r="R161" s="48"/>
      <x:c r="S161" s="75"/>
    </x:row>
    <x:row r="162" ht="21.75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48"/>
      <x:c r="P162" s="48"/>
      <x:c r="Q162" s="48"/>
      <x:c r="R162" s="48"/>
      <x:c r="S162" s="75"/>
    </x:row>
    <x:row r="163" ht="15.75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48"/>
      <x:c r="P163" s="48"/>
      <x:c r="Q163" s="48"/>
      <x:c r="R163" s="48"/>
    </x:row>
    <x:row r="164" ht="15.75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48"/>
      <x:c r="P164" s="48"/>
      <x:c r="Q164" s="48"/>
      <x:c r="R164" s="48"/>
    </x:row>
    <x:row r="165" ht="33.75" customHeight="1">
      <x:c r="A165" s="2"/>
      <x:c r="B165" s="2"/>
      <x:c r="C165" s="3"/>
      <x:c r="D165" s="3"/>
      <x:c r="E165" s="82" t="s">
        <x:v>236</x:v>
      </x:c>
      <x:c r="F165" s="82" t="s">
        <x:v>237</x:v>
      </x:c>
      <x:c r="G165" s="82" t="s">
        <x:v>238</x:v>
      </x:c>
      <x:c r="H165" s="3"/>
      <x:c r="I165" s="3"/>
      <x:c r="J165" s="3"/>
      <x:c r="K165" s="3"/>
      <x:c r="L165" s="3"/>
      <x:c r="M165" s="3"/>
      <x:c r="N165" s="3"/>
      <x:c r="O165" s="48"/>
      <x:c r="P165" s="48"/>
      <x:c r="Q165" s="48"/>
      <x:c r="R165" s="48"/>
    </x:row>
    <x:row r="166" ht="21.75" customHeight="1">
      <x:c r="A166" s="2"/>
      <x:c r="B166" s="2"/>
      <x:c r="C166" s="3"/>
      <x:c r="D166" s="3"/>
      <x:c r="E166" s="60">
        <x:v>0.0</x:v>
      </x:c>
      <x:c r="F166" s="76" t="n">
        <x:f t="shared" ref="F166:F181" si="96">$C$154+ROUND(E166*365/12,0)</x:f>
        <x:v>46388</x:v>
      </x:c>
      <x:c r="G166" s="80" t="n">
        <x:f>0</x:f>
        <x:v>0</x:v>
      </x:c>
      <x:c r="H166" s="3"/>
      <x:c r="I166" s="3"/>
      <x:c r="J166" s="3"/>
      <x:c r="K166" s="3"/>
      <x:c r="L166" s="3"/>
      <x:c r="M166" s="3"/>
      <x:c r="N166" s="3"/>
      <x:c r="O166" s="48"/>
      <x:c r="P166" s="48"/>
      <x:c r="Q166" s="48"/>
      <x:c r="R166" s="48"/>
    </x:row>
    <x:row r="167" ht="21.75" customHeight="1">
      <x:c r="A167" s="2"/>
      <x:c r="B167" s="2"/>
      <x:c r="C167" s="3"/>
      <x:c r="D167" s="3"/>
      <x:c r="E167" s="60">
        <x:v>1.0</x:v>
      </x:c>
      <x:c r="F167" s="76">
        <x:f t="shared" si="96"/>
        <x:v>46418</x:v>
      </x:c>
      <x:c r="G167" s="80" t="n">
        <x:f>C45</x:f>
        <x:v>-15700</x:v>
      </x:c>
      <x:c r="H167" s="3"/>
      <x:c r="I167" s="3"/>
      <x:c r="J167" s="3"/>
      <x:c r="K167" s="3"/>
      <x:c r="L167" s="3"/>
      <x:c r="M167" s="3"/>
      <x:c r="N167" s="3"/>
      <x:c r="O167" s="48"/>
      <x:c r="P167" s="48"/>
      <x:c r="Q167" s="48"/>
      <x:c r="R167" s="48"/>
    </x:row>
    <x:row r="168" ht="21.75" customHeight="1">
      <x:c r="A168" s="2"/>
      <x:c r="B168" s="2"/>
      <x:c r="C168" s="3"/>
      <x:c r="D168" s="3"/>
      <x:c r="E168" s="60">
        <x:v>2.0</x:v>
      </x:c>
      <x:c r="F168" s="76">
        <x:f t="shared" si="96"/>
        <x:v>46449</x:v>
      </x:c>
      <x:c r="G168" s="80" t="n">
        <x:f>D45</x:f>
        <x:v>-17500</x:v>
      </x:c>
      <x:c r="H168" s="3"/>
      <x:c r="I168" s="3"/>
      <x:c r="J168" s="3"/>
      <x:c r="K168" s="3"/>
      <x:c r="L168" s="3"/>
      <x:c r="M168" s="3"/>
      <x:c r="N168" s="3"/>
      <x:c r="O168" s="48"/>
      <x:c r="P168" s="48"/>
      <x:c r="Q168" s="48"/>
      <x:c r="R168" s="48"/>
    </x:row>
    <x:row r="169" ht="21.75" customHeight="1">
      <x:c r="A169" s="2"/>
      <x:c r="B169" s="2"/>
      <x:c r="C169" s="3"/>
      <x:c r="D169" s="3"/>
      <x:c r="E169" s="60">
        <x:v>3.0</x:v>
      </x:c>
      <x:c r="F169" s="76">
        <x:f t="shared" si="96"/>
        <x:v>46479</x:v>
      </x:c>
      <x:c r="G169" s="80" t="n">
        <x:f>E45</x:f>
        <x:v>-15700</x:v>
      </x:c>
      <x:c r="H169" s="3"/>
      <x:c r="I169" s="3"/>
      <x:c r="J169" s="3"/>
      <x:c r="K169" s="3"/>
      <x:c r="L169" s="3"/>
      <x:c r="M169" s="3"/>
      <x:c r="N169" s="3"/>
      <x:c r="O169" s="48"/>
      <x:c r="P169" s="48"/>
      <x:c r="Q169" s="48"/>
      <x:c r="R169" s="48"/>
    </x:row>
    <x:row r="170" ht="21.75" customHeight="1">
      <x:c r="A170" s="2"/>
      <x:c r="B170" s="2"/>
      <x:c r="C170" s="3"/>
      <x:c r="D170" s="3"/>
      <x:c r="E170" s="60">
        <x:v>4.0</x:v>
      </x:c>
      <x:c r="F170" s="76">
        <x:f t="shared" si="96"/>
        <x:v>46510</x:v>
      </x:c>
      <x:c r="G170" s="80" t="n">
        <x:f>F45</x:f>
        <x:v>-16700</x:v>
      </x:c>
      <x:c r="H170" s="3"/>
      <x:c r="I170" s="3"/>
      <x:c r="J170" s="3"/>
      <x:c r="K170" s="3"/>
      <x:c r="L170" s="3"/>
      <x:c r="M170" s="3"/>
      <x:c r="N170" s="3"/>
      <x:c r="O170" s="48"/>
      <x:c r="P170" s="48"/>
      <x:c r="Q170" s="48"/>
      <x:c r="R170" s="48"/>
    </x:row>
    <x:row r="171" ht="21.75" customHeight="1">
      <x:c r="A171" s="2"/>
      <x:c r="B171" s="2"/>
      <x:c r="C171" s="3"/>
      <x:c r="D171" s="3"/>
      <x:c r="E171" s="60">
        <x:v>5.0</x:v>
      </x:c>
      <x:c r="F171" s="76">
        <x:f t="shared" si="96"/>
        <x:v>46540</x:v>
      </x:c>
      <x:c r="G171" s="80" t="n">
        <x:f>G45</x:f>
        <x:v>-16700</x:v>
      </x:c>
      <x:c r="H171" s="3"/>
      <x:c r="I171" s="3"/>
      <x:c r="J171" s="3"/>
      <x:c r="K171" s="3"/>
      <x:c r="L171" s="3"/>
      <x:c r="M171" s="3"/>
      <x:c r="N171" s="3"/>
      <x:c r="O171" s="48"/>
      <x:c r="P171" s="48"/>
      <x:c r="Q171" s="48"/>
      <x:c r="R171" s="48"/>
    </x:row>
    <x:row r="172" ht="21.75" customHeight="1">
      <x:c r="A172" s="2"/>
      <x:c r="B172" s="2"/>
      <x:c r="C172" s="3"/>
      <x:c r="D172" s="3"/>
      <x:c r="E172" s="60">
        <x:v>6.0</x:v>
      </x:c>
      <x:c r="F172" s="76">
        <x:f t="shared" si="96"/>
        <x:v>46571</x:v>
      </x:c>
      <x:c r="G172" s="80" t="n">
        <x:f>H45</x:f>
        <x:v>-16700</x:v>
      </x:c>
      <x:c r="H172" s="3"/>
      <x:c r="I172" s="3"/>
      <x:c r="J172" s="3"/>
      <x:c r="K172" s="3"/>
      <x:c r="L172" s="3"/>
      <x:c r="M172" s="3"/>
      <x:c r="N172" s="3"/>
      <x:c r="O172" s="48"/>
      <x:c r="P172" s="48"/>
      <x:c r="Q172" s="48"/>
      <x:c r="R172" s="48"/>
    </x:row>
    <x:row r="173" ht="21.75" customHeight="1">
      <x:c r="A173" s="2"/>
      <x:c r="B173" s="2"/>
      <x:c r="C173" s="3"/>
      <x:c r="D173" s="3"/>
      <x:c r="E173" s="60">
        <x:v>7.0</x:v>
      </x:c>
      <x:c r="F173" s="76">
        <x:f t="shared" si="96"/>
        <x:v>46601</x:v>
      </x:c>
      <x:c r="G173" s="80" t="n">
        <x:f>I45</x:f>
        <x:v>-16700</x:v>
      </x:c>
      <x:c r="H173" s="3"/>
      <x:c r="I173" s="3"/>
      <x:c r="J173" s="3"/>
      <x:c r="K173" s="3"/>
      <x:c r="L173" s="3"/>
      <x:c r="M173" s="3"/>
      <x:c r="N173" s="3"/>
      <x:c r="O173" s="48"/>
      <x:c r="P173" s="48"/>
      <x:c r="Q173" s="48"/>
      <x:c r="R173" s="48"/>
    </x:row>
    <x:row r="174" ht="21.75" customHeight="1">
      <x:c r="A174" s="2"/>
      <x:c r="B174" s="2"/>
      <x:c r="C174" s="3"/>
      <x:c r="D174" s="3"/>
      <x:c r="E174" s="60">
        <x:v>8.0</x:v>
      </x:c>
      <x:c r="F174" s="76">
        <x:f t="shared" si="96"/>
        <x:v>46631</x:v>
      </x:c>
      <x:c r="G174" s="80" t="n">
        <x:f>J45</x:f>
        <x:v>-16700</x:v>
      </x:c>
      <x:c r="H174" s="3"/>
      <x:c r="I174" s="3"/>
      <x:c r="J174" s="3"/>
      <x:c r="K174" s="3"/>
      <x:c r="L174" s="3"/>
      <x:c r="M174" s="3"/>
      <x:c r="N174" s="3"/>
      <x:c r="O174" s="48"/>
      <x:c r="P174" s="48"/>
      <x:c r="Q174" s="48"/>
      <x:c r="R174" s="48"/>
    </x:row>
    <x:row r="175" ht="21.75" customHeight="1">
      <x:c r="A175" s="2"/>
      <x:c r="B175" s="2"/>
      <x:c r="C175" s="3"/>
      <x:c r="D175" s="3"/>
      <x:c r="E175" s="60">
        <x:v>9.0</x:v>
      </x:c>
      <x:c r="F175" s="76">
        <x:f t="shared" si="96"/>
        <x:v>46662</x:v>
      </x:c>
      <x:c r="G175" s="80" t="n">
        <x:f>K45</x:f>
        <x:v>-16700</x:v>
      </x:c>
      <x:c r="H175" s="3"/>
      <x:c r="I175" s="3"/>
      <x:c r="J175" s="3"/>
      <x:c r="K175" s="3"/>
      <x:c r="L175" s="3"/>
      <x:c r="M175" s="3"/>
      <x:c r="N175" s="3"/>
      <x:c r="O175" s="48"/>
      <x:c r="P175" s="48"/>
      <x:c r="Q175" s="48"/>
      <x:c r="R175" s="48"/>
    </x:row>
    <x:row r="176" ht="21.75" customHeight="1">
      <x:c r="A176" s="2"/>
      <x:c r="B176" s="2"/>
      <x:c r="C176" s="3"/>
      <x:c r="D176" s="3"/>
      <x:c r="E176" s="60">
        <x:v>10.0</x:v>
      </x:c>
      <x:c r="F176" s="76">
        <x:f t="shared" si="96"/>
        <x:v>46692</x:v>
      </x:c>
      <x:c r="G176" s="80" t="n">
        <x:f>L45</x:f>
        <x:v>-16700</x:v>
      </x:c>
      <x:c r="H176" s="3"/>
      <x:c r="I176" s="3"/>
      <x:c r="J176" s="3"/>
      <x:c r="K176" s="3"/>
      <x:c r="L176" s="3"/>
      <x:c r="M176" s="3"/>
      <x:c r="N176" s="3"/>
      <x:c r="O176" s="48"/>
      <x:c r="P176" s="48"/>
      <x:c r="Q176" s="48"/>
      <x:c r="R176" s="48"/>
    </x:row>
    <x:row r="177" ht="21.75" customHeight="1">
      <x:c r="A177" s="2"/>
      <x:c r="B177" s="2"/>
      <x:c r="C177" s="3"/>
      <x:c r="D177" s="3"/>
      <x:c r="E177" s="60">
        <x:v>11.0</x:v>
      </x:c>
      <x:c r="F177" s="76">
        <x:f t="shared" si="96"/>
        <x:v>46723</x:v>
      </x:c>
      <x:c r="G177" s="80" t="n">
        <x:f>M45</x:f>
        <x:v>-16700</x:v>
      </x:c>
      <x:c r="H177" s="3"/>
      <x:c r="I177" s="3"/>
      <x:c r="J177" s="3"/>
      <x:c r="K177" s="3"/>
      <x:c r="L177" s="3"/>
      <x:c r="M177" s="3"/>
      <x:c r="N177" s="3"/>
      <x:c r="O177" s="48"/>
      <x:c r="P177" s="48"/>
      <x:c r="Q177" s="48"/>
      <x:c r="R177" s="48"/>
    </x:row>
    <x:row r="178" ht="21.75" customHeight="1">
      <x:c r="A178" s="2"/>
      <x:c r="B178" s="2"/>
      <x:c r="C178" s="3"/>
      <x:c r="D178" s="3"/>
      <x:c r="E178" s="60">
        <x:v>12.0</x:v>
      </x:c>
      <x:c r="F178" s="76">
        <x:f t="shared" si="96"/>
        <x:v>46753</x:v>
      </x:c>
      <x:c r="G178" s="80" t="n">
        <x:f>N45</x:f>
        <x:v>-16700</x:v>
      </x:c>
      <x:c r="H178" s="3"/>
      <x:c r="I178" s="3"/>
      <x:c r="J178" s="3"/>
      <x:c r="K178" s="3"/>
      <x:c r="L178" s="3"/>
      <x:c r="M178" s="3"/>
      <x:c r="N178" s="3"/>
      <x:c r="O178" s="48"/>
      <x:c r="P178" s="48"/>
      <x:c r="Q178" s="48"/>
      <x:c r="R178" s="48"/>
    </x:row>
    <x:row r="179" ht="21.75" customHeight="1">
      <x:c r="A179" s="2"/>
      <x:c r="B179" s="2"/>
      <x:c r="C179" s="3"/>
      <x:c r="D179" s="3"/>
      <x:c r="E179" s="60">
        <x:v>24.0</x:v>
      </x:c>
      <x:c r="F179" s="76">
        <x:f t="shared" si="96"/>
        <x:v>47118</x:v>
      </x:c>
      <x:c r="G179" s="80" t="n">
        <x:f>P45</x:f>
        <x:v>15968.373475362197</x:v>
      </x:c>
      <x:c r="H179" s="3"/>
      <x:c r="I179" s="3"/>
      <x:c r="J179" s="3"/>
      <x:c r="K179" s="3"/>
      <x:c r="L179" s="3"/>
      <x:c r="M179" s="3"/>
      <x:c r="N179" s="3"/>
      <x:c r="O179" s="48"/>
      <x:c r="P179" s="48"/>
      <x:c r="Q179" s="48"/>
      <x:c r="R179" s="48"/>
    </x:row>
    <x:row r="180" ht="21.75" customHeight="1">
      <x:c r="A180" s="2"/>
      <x:c r="B180" s="2"/>
      <x:c r="C180" s="3"/>
      <x:c r="D180" s="3"/>
      <x:c r="E180" s="60">
        <x:v>36.0</x:v>
      </x:c>
      <x:c r="F180" s="76">
        <x:f t="shared" si="96"/>
        <x:v>47483</x:v>
      </x:c>
      <x:c r="G180" s="80" t="n">
        <x:f>Q45</x:f>
        <x:v>139335.2689</x:v>
      </x:c>
      <x:c r="H180" s="3"/>
      <x:c r="I180" s="3"/>
      <x:c r="J180" s="3"/>
      <x:c r="K180" s="3"/>
      <x:c r="L180" s="3"/>
      <x:c r="M180" s="3"/>
      <x:c r="N180" s="3"/>
      <x:c r="O180" s="48"/>
      <x:c r="P180" s="48"/>
      <x:c r="Q180" s="48"/>
      <x:c r="R180" s="48"/>
    </x:row>
    <x:row r="181" ht="21.75" customHeight="1">
      <x:c r="A181" s="2"/>
      <x:c r="B181" s="2"/>
      <x:c r="C181" s="3"/>
      <x:c r="D181" s="3"/>
      <x:c r="E181" s="60">
        <x:v>48.0</x:v>
      </x:c>
      <x:c r="F181" s="76">
        <x:f t="shared" si="96"/>
        <x:v>47848</x:v>
      </x:c>
      <x:c r="G181" s="80" t="n">
        <x:f>R45</x:f>
        <x:v>451017.529</x:v>
      </x:c>
      <x:c r="H181" s="3"/>
      <x:c r="I181" s="3"/>
      <x:c r="J181" s="3"/>
      <x:c r="K181" s="3"/>
      <x:c r="L181" s="3"/>
      <x:c r="M181" s="3"/>
      <x:c r="N181" s="3"/>
      <x:c r="O181" s="48"/>
      <x:c r="P181" s="48"/>
      <x:c r="Q181" s="48"/>
      <x:c r="R181" s="48"/>
    </x:row>
    <x:row r="182" ht="15.75" customHeight="1"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</x:row>
    <x:row r="183" ht="15.75" customHeight="1"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</x:row>
    <x:row r="184" ht="15.75" customHeight="1"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</x:row>
    <x:row r="185" ht="15.75" customHeight="1"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</x:row>
    <x:row r="186" ht="15.75" customHeight="1"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</x:row>
    <x:row r="187" ht="15.75" customHeight="1"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</x:row>
    <x:row r="188" ht="15.75" customHeight="1"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</x:row>
    <x:row r="189" ht="15.75" customHeight="1"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</x:row>
    <x:row r="190" ht="15.75" customHeight="1"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</x:row>
    <x:row r="191" ht="15.75" customHeight="1"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</x:row>
    <x:row r="192" ht="15.75" customHeight="1"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</x:row>
    <x:row r="193" ht="15.75" customHeight="1"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</x:row>
    <x:row r="194" ht="15.75" customHeight="1"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</x:row>
    <x:row r="195" ht="15.75" customHeight="1"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</x:row>
    <x:row r="196" ht="15.75" customHeight="1"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</x:row>
    <x:row r="197" ht="15.75" customHeight="1"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</x:row>
    <x:row r="198" ht="15.75" customHeight="1"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</x:row>
    <x:row r="199" ht="15.75" customHeight="1"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</x:row>
    <x:row r="200" ht="15.75" customHeight="1"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</x:row>
    <x:row r="201" ht="15.75" customHeight="1">
      <x:c r="C201" s="83"/>
      <x:c r="D201" s="83"/>
      <x:c r="E201" s="83"/>
      <x:c r="F201" s="83"/>
      <x:c r="G201" s="83"/>
      <x:c r="H201" s="83"/>
      <x:c r="I201" s="83"/>
      <x:c r="J201" s="83"/>
      <x:c r="K201" s="83"/>
      <x:c r="L201" s="83"/>
      <x:c r="M201" s="83"/>
      <x:c r="N201" s="83"/>
    </x:row>
    <x:row r="202" ht="15.75" customHeight="1">
      <x:c r="C202" s="83"/>
      <x:c r="D202" s="83"/>
      <x:c r="E202" s="83"/>
      <x:c r="F202" s="83"/>
      <x:c r="G202" s="83"/>
      <x:c r="H202" s="83"/>
      <x:c r="I202" s="83"/>
      <x:c r="J202" s="83"/>
      <x:c r="K202" s="83"/>
      <x:c r="L202" s="83"/>
      <x:c r="M202" s="83"/>
      <x:c r="N202" s="83"/>
    </x:row>
    <x:row r="203" ht="15.75" customHeight="1">
      <x:c r="C203" s="83"/>
      <x:c r="D203" s="83"/>
      <x:c r="E203" s="83"/>
      <x:c r="F203" s="83"/>
      <x:c r="G203" s="83"/>
      <x:c r="H203" s="83"/>
      <x:c r="I203" s="83"/>
      <x:c r="J203" s="83"/>
      <x:c r="K203" s="83"/>
      <x:c r="L203" s="83"/>
      <x:c r="M203" s="83"/>
      <x:c r="N203" s="83"/>
    </x:row>
    <x:row r="204" ht="15.75" customHeight="1">
      <x:c r="C204" s="83"/>
      <x:c r="D204" s="83"/>
      <x:c r="E204" s="83"/>
      <x:c r="F204" s="83"/>
      <x:c r="G204" s="83"/>
      <x:c r="H204" s="83"/>
      <x:c r="I204" s="83"/>
      <x:c r="J204" s="83"/>
      <x:c r="K204" s="83"/>
      <x:c r="L204" s="83"/>
      <x:c r="M204" s="83"/>
      <x:c r="N204" s="83"/>
    </x:row>
    <x:row r="205" ht="15.75" customHeight="1">
      <x:c r="C205" s="83"/>
      <x:c r="D205" s="83"/>
      <x:c r="E205" s="83"/>
      <x:c r="F205" s="83"/>
      <x:c r="G205" s="83"/>
      <x:c r="H205" s="83"/>
      <x:c r="I205" s="83"/>
      <x:c r="J205" s="83"/>
      <x:c r="K205" s="83"/>
      <x:c r="L205" s="83"/>
      <x:c r="M205" s="83"/>
      <x:c r="N205" s="83"/>
    </x:row>
    <x:row r="206" ht="15.75" customHeight="1">
      <x:c r="C206" s="83"/>
      <x:c r="D206" s="83"/>
      <x:c r="E206" s="83"/>
      <x:c r="F206" s="83"/>
      <x:c r="G206" s="83"/>
      <x:c r="H206" s="83"/>
      <x:c r="I206" s="83"/>
      <x:c r="J206" s="83"/>
      <x:c r="K206" s="83"/>
      <x:c r="L206" s="83"/>
      <x:c r="M206" s="83"/>
      <x:c r="N206" s="83"/>
    </x:row>
    <x:row r="207" ht="15.75" customHeight="1">
      <x:c r="C207" s="83"/>
      <x:c r="D207" s="83"/>
      <x:c r="E207" s="83"/>
      <x:c r="F207" s="83"/>
      <x:c r="G207" s="83"/>
      <x:c r="H207" s="83"/>
      <x:c r="I207" s="83"/>
      <x:c r="J207" s="83"/>
      <x:c r="K207" s="83"/>
      <x:c r="L207" s="83"/>
      <x:c r="M207" s="83"/>
      <x:c r="N207" s="83"/>
    </x:row>
    <x:row r="208" ht="15.75" customHeight="1">
      <x:c r="C208" s="83"/>
      <x:c r="D208" s="83"/>
      <x:c r="E208" s="83"/>
      <x:c r="F208" s="83"/>
      <x:c r="G208" s="83"/>
      <x:c r="H208" s="83"/>
      <x:c r="I208" s="83"/>
      <x:c r="J208" s="83"/>
      <x:c r="K208" s="83"/>
      <x:c r="L208" s="83"/>
      <x:c r="M208" s="83"/>
      <x:c r="N208" s="83"/>
    </x:row>
    <x:row r="209" ht="15.75" customHeight="1">
      <x:c r="C209" s="83"/>
      <x:c r="D209" s="83"/>
      <x:c r="E209" s="83"/>
      <x:c r="F209" s="83"/>
      <x:c r="G209" s="83"/>
      <x:c r="H209" s="83"/>
      <x:c r="I209" s="83"/>
      <x:c r="J209" s="83"/>
      <x:c r="K209" s="83"/>
      <x:c r="L209" s="83"/>
      <x:c r="M209" s="83"/>
      <x:c r="N209" s="83"/>
    </x:row>
    <x:row r="210" ht="15.75" customHeight="1">
      <x:c r="C210" s="83"/>
      <x:c r="D210" s="83"/>
      <x:c r="E210" s="83"/>
      <x:c r="F210" s="83"/>
      <x:c r="G210" s="83"/>
      <x:c r="H210" s="83"/>
      <x:c r="I210" s="83"/>
      <x:c r="J210" s="83"/>
      <x:c r="K210" s="83"/>
      <x:c r="L210" s="83"/>
      <x:c r="M210" s="83"/>
      <x:c r="N210" s="83"/>
    </x:row>
    <x:row r="211" ht="15.75" customHeight="1">
      <x:c r="C211" s="83"/>
      <x:c r="D211" s="83"/>
      <x:c r="E211" s="83"/>
      <x:c r="F211" s="83"/>
      <x:c r="G211" s="83"/>
      <x:c r="H211" s="83"/>
      <x:c r="I211" s="83"/>
      <x:c r="J211" s="83"/>
      <x:c r="K211" s="83"/>
      <x:c r="L211" s="83"/>
      <x:c r="M211" s="83"/>
      <x:c r="N211" s="83"/>
    </x:row>
    <x:row r="212" ht="15.75" customHeight="1">
      <x:c r="C212" s="83"/>
      <x:c r="D212" s="83"/>
      <x:c r="E212" s="83"/>
      <x:c r="F212" s="83"/>
      <x:c r="G212" s="83"/>
      <x:c r="H212" s="83"/>
      <x:c r="I212" s="83"/>
      <x:c r="J212" s="83"/>
      <x:c r="K212" s="83"/>
      <x:c r="L212" s="83"/>
      <x:c r="M212" s="83"/>
      <x:c r="N212" s="83"/>
    </x:row>
    <x:row r="213" ht="15.75" customHeight="1">
      <x:c r="C213" s="83"/>
      <x:c r="D213" s="83"/>
      <x:c r="E213" s="83"/>
      <x:c r="F213" s="83"/>
      <x:c r="G213" s="83"/>
      <x:c r="H213" s="83"/>
      <x:c r="I213" s="83"/>
      <x:c r="J213" s="83"/>
      <x:c r="K213" s="83"/>
      <x:c r="L213" s="83"/>
      <x:c r="M213" s="83"/>
      <x:c r="N213" s="83"/>
    </x:row>
    <x:row r="214" ht="15.75" customHeight="1">
      <x:c r="C214" s="83"/>
      <x:c r="D214" s="83"/>
      <x:c r="E214" s="83"/>
      <x:c r="F214" s="83"/>
      <x:c r="G214" s="83"/>
      <x:c r="H214" s="83"/>
      <x:c r="I214" s="83"/>
      <x:c r="J214" s="83"/>
      <x:c r="K214" s="83"/>
      <x:c r="L214" s="83"/>
      <x:c r="M214" s="83"/>
      <x:c r="N214" s="83"/>
    </x:row>
    <x:row r="215" ht="15.75" customHeight="1">
      <x:c r="C215" s="83"/>
      <x:c r="D215" s="83"/>
      <x:c r="E215" s="83"/>
      <x:c r="F215" s="83"/>
      <x:c r="G215" s="83"/>
      <x:c r="H215" s="83"/>
      <x:c r="I215" s="83"/>
      <x:c r="J215" s="83"/>
      <x:c r="K215" s="83"/>
      <x:c r="L215" s="83"/>
      <x:c r="M215" s="83"/>
      <x:c r="N215" s="83"/>
    </x:row>
    <x:row r="216" ht="15.75" customHeight="1">
      <x:c r="C216" s="83"/>
      <x:c r="D216" s="83"/>
      <x:c r="E216" s="83"/>
      <x:c r="F216" s="83"/>
      <x:c r="G216" s="83"/>
      <x:c r="H216" s="83"/>
      <x:c r="I216" s="83"/>
      <x:c r="J216" s="83"/>
      <x:c r="K216" s="83"/>
      <x:c r="L216" s="83"/>
      <x:c r="M216" s="83"/>
      <x:c r="N216" s="83"/>
    </x:row>
    <x:row r="217" ht="15.75" customHeight="1">
      <x:c r="C217" s="83"/>
      <x:c r="D217" s="83"/>
      <x:c r="E217" s="83"/>
      <x:c r="F217" s="83"/>
      <x:c r="G217" s="83"/>
      <x:c r="H217" s="83"/>
      <x:c r="I217" s="83"/>
      <x:c r="J217" s="83"/>
      <x:c r="K217" s="83"/>
      <x:c r="L217" s="83"/>
      <x:c r="M217" s="83"/>
      <x:c r="N217" s="83"/>
    </x:row>
    <x:row r="218" ht="15.75" customHeight="1">
      <x:c r="C218" s="83"/>
      <x:c r="D218" s="83"/>
      <x:c r="E218" s="83"/>
      <x:c r="F218" s="83"/>
      <x:c r="G218" s="83"/>
      <x:c r="H218" s="83"/>
      <x:c r="I218" s="83"/>
      <x:c r="J218" s="83"/>
      <x:c r="K218" s="83"/>
      <x:c r="L218" s="83"/>
      <x:c r="M218" s="83"/>
      <x:c r="N218" s="83"/>
    </x:row>
    <x:row r="219" ht="15.75" customHeight="1">
      <x:c r="C219" s="83"/>
      <x:c r="D219" s="83"/>
      <x:c r="E219" s="83"/>
      <x:c r="F219" s="83"/>
      <x:c r="G219" s="83"/>
      <x:c r="H219" s="83"/>
      <x:c r="I219" s="83"/>
      <x:c r="J219" s="83"/>
      <x:c r="K219" s="83"/>
      <x:c r="L219" s="83"/>
      <x:c r="M219" s="83"/>
      <x:c r="N219" s="83"/>
    </x:row>
    <x:row r="220" ht="15.75" customHeight="1">
      <x:c r="C220" s="83"/>
      <x:c r="D220" s="83"/>
      <x:c r="E220" s="83"/>
      <x:c r="F220" s="83"/>
      <x:c r="G220" s="83"/>
      <x:c r="H220" s="83"/>
      <x:c r="I220" s="83"/>
      <x:c r="J220" s="83"/>
      <x:c r="K220" s="83"/>
      <x:c r="L220" s="83"/>
      <x:c r="M220" s="83"/>
      <x:c r="N220" s="83"/>
    </x:row>
    <x:row r="221" ht="15.75" customHeight="1">
      <x:c r="C221" s="83"/>
      <x:c r="D221" s="83"/>
      <x:c r="E221" s="83"/>
      <x:c r="F221" s="83"/>
      <x:c r="G221" s="83"/>
      <x:c r="H221" s="83"/>
      <x:c r="I221" s="83"/>
      <x:c r="J221" s="83"/>
      <x:c r="K221" s="83"/>
      <x:c r="L221" s="83"/>
      <x:c r="M221" s="83"/>
      <x:c r="N221" s="83"/>
    </x:row>
    <x:row r="222" ht="15.75" customHeight="1">
      <x:c r="C222" s="83"/>
      <x:c r="D222" s="83"/>
      <x:c r="E222" s="83"/>
      <x:c r="F222" s="83"/>
      <x:c r="G222" s="83"/>
      <x:c r="H222" s="83"/>
      <x:c r="I222" s="83"/>
      <x:c r="J222" s="83"/>
      <x:c r="K222" s="83"/>
      <x:c r="L222" s="83"/>
      <x:c r="M222" s="83"/>
      <x:c r="N222" s="83"/>
    </x:row>
    <x:row r="223" ht="15.75" customHeight="1">
      <x:c r="C223" s="83"/>
      <x:c r="D223" s="83"/>
      <x:c r="E223" s="83"/>
      <x:c r="F223" s="83"/>
      <x:c r="G223" s="83"/>
      <x:c r="H223" s="83"/>
      <x:c r="I223" s="83"/>
      <x:c r="J223" s="83"/>
      <x:c r="K223" s="83"/>
      <x:c r="L223" s="83"/>
      <x:c r="M223" s="83"/>
      <x:c r="N223" s="83"/>
    </x:row>
    <x:row r="224" ht="15.75" customHeight="1">
      <x:c r="C224" s="83"/>
      <x:c r="D224" s="83"/>
      <x:c r="E224" s="83"/>
      <x:c r="F224" s="83"/>
      <x:c r="G224" s="83"/>
      <x:c r="H224" s="83"/>
      <x:c r="I224" s="83"/>
      <x:c r="J224" s="83"/>
      <x:c r="K224" s="83"/>
      <x:c r="L224" s="83"/>
      <x:c r="M224" s="83"/>
      <x:c r="N224" s="83"/>
    </x:row>
    <x:row r="225" ht="15.75" customHeight="1">
      <x:c r="C225" s="83"/>
      <x:c r="D225" s="83"/>
      <x:c r="E225" s="83"/>
      <x:c r="F225" s="83"/>
      <x:c r="G225" s="83"/>
      <x:c r="H225" s="83"/>
      <x:c r="I225" s="83"/>
      <x:c r="J225" s="83"/>
      <x:c r="K225" s="83"/>
      <x:c r="L225" s="83"/>
      <x:c r="M225" s="83"/>
      <x:c r="N225" s="83"/>
    </x:row>
    <x:row r="226" ht="15.75" customHeight="1">
      <x:c r="C226" s="83"/>
      <x:c r="D226" s="83"/>
      <x:c r="E226" s="83"/>
      <x:c r="F226" s="83"/>
      <x:c r="G226" s="83"/>
      <x:c r="H226" s="83"/>
      <x:c r="I226" s="83"/>
      <x:c r="J226" s="83"/>
      <x:c r="K226" s="83"/>
      <x:c r="L226" s="83"/>
      <x:c r="M226" s="83"/>
      <x:c r="N226" s="83"/>
    </x:row>
    <x:row r="227" ht="15.75" customHeight="1">
      <x:c r="C227" s="83"/>
      <x:c r="D227" s="83"/>
      <x:c r="E227" s="83"/>
      <x:c r="F227" s="83"/>
      <x:c r="G227" s="83"/>
      <x:c r="H227" s="83"/>
      <x:c r="I227" s="83"/>
      <x:c r="J227" s="83"/>
      <x:c r="K227" s="83"/>
      <x:c r="L227" s="83"/>
      <x:c r="M227" s="83"/>
      <x:c r="N227" s="83"/>
    </x:row>
    <x:row r="228" ht="15.75" customHeight="1">
      <x:c r="C228" s="83"/>
      <x:c r="D228" s="83"/>
      <x:c r="E228" s="83"/>
      <x:c r="F228" s="83"/>
      <x:c r="G228" s="83"/>
      <x:c r="H228" s="83"/>
      <x:c r="I228" s="83"/>
      <x:c r="J228" s="83"/>
      <x:c r="K228" s="83"/>
      <x:c r="L228" s="83"/>
      <x:c r="M228" s="83"/>
      <x:c r="N228" s="83"/>
    </x:row>
    <x:row r="229" ht="15.75" customHeight="1">
      <x:c r="C229" s="83"/>
      <x:c r="D229" s="83"/>
      <x:c r="E229" s="83"/>
      <x:c r="F229" s="83"/>
      <x:c r="G229" s="83"/>
      <x:c r="H229" s="83"/>
      <x:c r="I229" s="83"/>
      <x:c r="J229" s="83"/>
      <x:c r="K229" s="83"/>
      <x:c r="L229" s="83"/>
      <x:c r="M229" s="83"/>
      <x:c r="N229" s="83"/>
    </x:row>
    <x:row r="230" ht="15.75" customHeight="1">
      <x:c r="C230" s="83"/>
      <x:c r="D230" s="83"/>
      <x:c r="E230" s="83"/>
      <x:c r="F230" s="83"/>
      <x:c r="G230" s="83"/>
      <x:c r="H230" s="83"/>
      <x:c r="I230" s="83"/>
      <x:c r="J230" s="83"/>
      <x:c r="K230" s="83"/>
      <x:c r="L230" s="83"/>
      <x:c r="M230" s="83"/>
      <x:c r="N230" s="83"/>
    </x:row>
    <x:row r="231" ht="15.75" customHeight="1">
      <x:c r="C231" s="83"/>
      <x:c r="D231" s="83"/>
      <x:c r="E231" s="83"/>
      <x:c r="F231" s="83"/>
      <x:c r="G231" s="83"/>
      <x:c r="H231" s="83"/>
      <x:c r="I231" s="83"/>
      <x:c r="J231" s="83"/>
      <x:c r="K231" s="83"/>
      <x:c r="L231" s="83"/>
      <x:c r="M231" s="83"/>
      <x:c r="N231" s="83"/>
    </x:row>
    <x:row r="232" ht="15.75" customHeight="1">
      <x:c r="C232" s="83"/>
      <x:c r="D232" s="83"/>
      <x:c r="E232" s="83"/>
      <x:c r="F232" s="83"/>
      <x:c r="G232" s="83"/>
      <x:c r="H232" s="83"/>
      <x:c r="I232" s="83"/>
      <x:c r="J232" s="83"/>
      <x:c r="K232" s="83"/>
      <x:c r="L232" s="83"/>
      <x:c r="M232" s="83"/>
      <x:c r="N232" s="83"/>
    </x:row>
    <x:row r="233" ht="15.75" customHeight="1">
      <x:c r="C233" s="83"/>
      <x:c r="D233" s="83"/>
      <x:c r="E233" s="83"/>
      <x:c r="F233" s="83"/>
      <x:c r="G233" s="83"/>
      <x:c r="H233" s="83"/>
      <x:c r="I233" s="83"/>
      <x:c r="J233" s="83"/>
      <x:c r="K233" s="83"/>
      <x:c r="L233" s="83"/>
      <x:c r="M233" s="83"/>
      <x:c r="N233" s="83"/>
    </x:row>
    <x:row r="234" ht="15.75" customHeight="1">
      <x:c r="C234" s="83"/>
      <x:c r="D234" s="83"/>
      <x:c r="E234" s="83"/>
      <x:c r="F234" s="83"/>
      <x:c r="G234" s="83"/>
      <x:c r="H234" s="83"/>
      <x:c r="I234" s="83"/>
      <x:c r="J234" s="83"/>
      <x:c r="K234" s="83"/>
      <x:c r="L234" s="83"/>
      <x:c r="M234" s="83"/>
      <x:c r="N234" s="83"/>
    </x:row>
    <x:row r="235" ht="15.75" customHeight="1">
      <x:c r="C235" s="83"/>
      <x:c r="D235" s="83"/>
      <x:c r="E235" s="83"/>
      <x:c r="F235" s="83"/>
      <x:c r="G235" s="83"/>
      <x:c r="H235" s="83"/>
      <x:c r="I235" s="83"/>
      <x:c r="J235" s="83"/>
      <x:c r="K235" s="83"/>
      <x:c r="L235" s="83"/>
      <x:c r="M235" s="83"/>
      <x:c r="N235" s="83"/>
    </x:row>
    <x:row r="236" ht="15.75" customHeight="1">
      <x:c r="C236" s="83"/>
      <x:c r="D236" s="83"/>
      <x:c r="E236" s="83"/>
      <x:c r="F236" s="83"/>
      <x:c r="G236" s="83"/>
      <x:c r="H236" s="83"/>
      <x:c r="I236" s="83"/>
      <x:c r="J236" s="83"/>
      <x:c r="K236" s="83"/>
      <x:c r="L236" s="83"/>
      <x:c r="M236" s="83"/>
      <x:c r="N236" s="83"/>
    </x:row>
    <x:row r="237" ht="15.75" customHeight="1">
      <x:c r="C237" s="83"/>
      <x:c r="D237" s="83"/>
      <x:c r="E237" s="83"/>
      <x:c r="F237" s="83"/>
      <x:c r="G237" s="83"/>
      <x:c r="H237" s="83"/>
      <x:c r="I237" s="83"/>
      <x:c r="J237" s="83"/>
      <x:c r="K237" s="83"/>
      <x:c r="L237" s="83"/>
      <x:c r="M237" s="83"/>
      <x:c r="N237" s="83"/>
    </x:row>
    <x:row r="238" ht="15.75" customHeight="1">
      <x:c r="C238" s="83"/>
      <x:c r="D238" s="83"/>
      <x:c r="E238" s="83"/>
      <x:c r="F238" s="83"/>
      <x:c r="G238" s="83"/>
      <x:c r="H238" s="83"/>
      <x:c r="I238" s="83"/>
      <x:c r="J238" s="83"/>
      <x:c r="K238" s="83"/>
      <x:c r="L238" s="83"/>
      <x:c r="M238" s="83"/>
      <x:c r="N238" s="83"/>
    </x:row>
    <x:row r="239" ht="15.75" customHeight="1">
      <x:c r="C239" s="83"/>
      <x:c r="D239" s="83"/>
      <x:c r="E239" s="83"/>
      <x:c r="F239" s="83"/>
      <x:c r="G239" s="83"/>
      <x:c r="H239" s="83"/>
      <x:c r="I239" s="83"/>
      <x:c r="J239" s="83"/>
      <x:c r="K239" s="83"/>
      <x:c r="L239" s="83"/>
      <x:c r="M239" s="83"/>
      <x:c r="N239" s="83"/>
    </x:row>
    <x:row r="240" ht="15.75" customHeight="1">
      <x:c r="C240" s="83"/>
      <x:c r="D240" s="83"/>
      <x:c r="E240" s="83"/>
      <x:c r="F240" s="83"/>
      <x:c r="G240" s="83"/>
      <x:c r="H240" s="83"/>
      <x:c r="I240" s="83"/>
      <x:c r="J240" s="83"/>
      <x:c r="K240" s="83"/>
      <x:c r="L240" s="83"/>
      <x:c r="M240" s="83"/>
      <x:c r="N240" s="83"/>
    </x:row>
    <x:row r="241" ht="15.75" customHeight="1">
      <x:c r="C241" s="83"/>
      <x:c r="D241" s="83"/>
      <x:c r="E241" s="83"/>
      <x:c r="F241" s="83"/>
      <x:c r="G241" s="83"/>
      <x:c r="H241" s="83"/>
      <x:c r="I241" s="83"/>
      <x:c r="J241" s="83"/>
      <x:c r="K241" s="83"/>
      <x:c r="L241" s="83"/>
      <x:c r="M241" s="83"/>
      <x:c r="N241" s="83"/>
    </x:row>
    <x:row r="242" ht="15.75" customHeight="1">
      <x:c r="C242" s="83"/>
      <x:c r="D242" s="83"/>
      <x:c r="E242" s="83"/>
      <x:c r="F242" s="83"/>
      <x:c r="G242" s="83"/>
      <x:c r="H242" s="83"/>
      <x:c r="I242" s="83"/>
      <x:c r="J242" s="83"/>
      <x:c r="K242" s="83"/>
      <x:c r="L242" s="83"/>
      <x:c r="M242" s="83"/>
      <x:c r="N242" s="83"/>
    </x:row>
    <x:row r="243" ht="15.75" customHeight="1">
      <x:c r="C243" s="83"/>
      <x:c r="D243" s="83"/>
      <x:c r="E243" s="83"/>
      <x:c r="F243" s="83"/>
      <x:c r="G243" s="83"/>
      <x:c r="H243" s="83"/>
      <x:c r="I243" s="83"/>
      <x:c r="J243" s="83"/>
      <x:c r="K243" s="83"/>
      <x:c r="L243" s="83"/>
      <x:c r="M243" s="83"/>
      <x:c r="N243" s="83"/>
    </x:row>
    <x:row r="244" ht="15.75" customHeight="1">
      <x:c r="C244" s="83"/>
      <x:c r="D244" s="83"/>
      <x:c r="E244" s="83"/>
      <x:c r="F244" s="83"/>
      <x:c r="G244" s="83"/>
      <x:c r="H244" s="83"/>
      <x:c r="I244" s="83"/>
      <x:c r="J244" s="83"/>
      <x:c r="K244" s="83"/>
      <x:c r="L244" s="83"/>
      <x:c r="M244" s="83"/>
      <x:c r="N244" s="83"/>
    </x:row>
    <x:row r="245" ht="15.75" customHeight="1">
      <x:c r="C245" s="83"/>
      <x:c r="D245" s="83"/>
      <x:c r="E245" s="83"/>
      <x:c r="F245" s="83"/>
      <x:c r="G245" s="83"/>
      <x:c r="H245" s="83"/>
      <x:c r="I245" s="83"/>
      <x:c r="J245" s="83"/>
      <x:c r="K245" s="83"/>
      <x:c r="L245" s="83"/>
      <x:c r="M245" s="83"/>
      <x:c r="N245" s="83"/>
    </x:row>
    <x:row r="246" ht="15.75" customHeight="1">
      <x:c r="C246" s="83"/>
      <x:c r="D246" s="83"/>
      <x:c r="E246" s="83"/>
      <x:c r="F246" s="83"/>
      <x:c r="G246" s="83"/>
      <x:c r="H246" s="83"/>
      <x:c r="I246" s="83"/>
      <x:c r="J246" s="83"/>
      <x:c r="K246" s="83"/>
      <x:c r="L246" s="83"/>
      <x:c r="M246" s="83"/>
      <x:c r="N246" s="83"/>
    </x:row>
    <x:row r="247" ht="15.75" customHeight="1">
      <x:c r="C247" s="83"/>
      <x:c r="D247" s="83"/>
      <x:c r="E247" s="83"/>
      <x:c r="F247" s="83"/>
      <x:c r="G247" s="83"/>
      <x:c r="H247" s="83"/>
      <x:c r="I247" s="83"/>
      <x:c r="J247" s="83"/>
      <x:c r="K247" s="83"/>
      <x:c r="L247" s="83"/>
      <x:c r="M247" s="83"/>
      <x:c r="N247" s="83"/>
    </x:row>
    <x:row r="248" ht="15.75" customHeight="1">
      <x:c r="C248" s="83"/>
      <x:c r="D248" s="83"/>
      <x:c r="E248" s="83"/>
      <x:c r="F248" s="83"/>
      <x:c r="G248" s="83"/>
      <x:c r="H248" s="83"/>
      <x:c r="I248" s="83"/>
      <x:c r="J248" s="83"/>
      <x:c r="K248" s="83"/>
      <x:c r="L248" s="83"/>
      <x:c r="M248" s="83"/>
      <x:c r="N248" s="83"/>
    </x:row>
    <x:row r="249" ht="15.75" customHeight="1">
      <x:c r="C249" s="83"/>
      <x:c r="D249" s="83"/>
      <x:c r="E249" s="83"/>
      <x:c r="F249" s="83"/>
      <x:c r="G249" s="83"/>
      <x:c r="H249" s="83"/>
      <x:c r="I249" s="83"/>
      <x:c r="J249" s="83"/>
      <x:c r="K249" s="83"/>
      <x:c r="L249" s="83"/>
      <x:c r="M249" s="83"/>
      <x:c r="N249" s="83"/>
    </x:row>
    <x:row r="250" ht="15.75" customHeight="1">
      <x:c r="C250" s="83"/>
      <x:c r="D250" s="83"/>
      <x:c r="E250" s="83"/>
      <x:c r="F250" s="83"/>
      <x:c r="G250" s="83"/>
      <x:c r="H250" s="83"/>
      <x:c r="I250" s="83"/>
      <x:c r="J250" s="83"/>
      <x:c r="K250" s="83"/>
      <x:c r="L250" s="83"/>
      <x:c r="M250" s="83"/>
      <x:c r="N250" s="83"/>
    </x:row>
    <x:row r="251" ht="15.75" customHeight="1">
      <x:c r="C251" s="83"/>
      <x:c r="D251" s="83"/>
      <x:c r="E251" s="83"/>
      <x:c r="F251" s="83"/>
      <x:c r="G251" s="83"/>
      <x:c r="H251" s="83"/>
      <x:c r="I251" s="83"/>
      <x:c r="J251" s="83"/>
      <x:c r="K251" s="83"/>
      <x:c r="L251" s="83"/>
      <x:c r="M251" s="83"/>
      <x:c r="N251" s="83"/>
    </x:row>
    <x:row r="252" ht="15.75" customHeight="1">
      <x:c r="C252" s="83"/>
      <x:c r="D252" s="83"/>
      <x:c r="E252" s="83"/>
      <x:c r="F252" s="83"/>
      <x:c r="G252" s="83"/>
      <x:c r="H252" s="83"/>
      <x:c r="I252" s="83"/>
      <x:c r="J252" s="83"/>
      <x:c r="K252" s="83"/>
      <x:c r="L252" s="83"/>
      <x:c r="M252" s="83"/>
      <x:c r="N252" s="83"/>
    </x:row>
    <x:row r="253" ht="15.75" customHeight="1">
      <x:c r="C253" s="83"/>
      <x:c r="D253" s="83"/>
      <x:c r="E253" s="83"/>
      <x:c r="F253" s="83"/>
      <x:c r="G253" s="83"/>
      <x:c r="H253" s="83"/>
      <x:c r="I253" s="83"/>
      <x:c r="J253" s="83"/>
      <x:c r="K253" s="83"/>
      <x:c r="L253" s="83"/>
      <x:c r="M253" s="83"/>
      <x:c r="N253" s="83"/>
    </x:row>
    <x:row r="254" ht="15.75" customHeight="1">
      <x:c r="C254" s="83"/>
      <x:c r="D254" s="83"/>
      <x:c r="E254" s="83"/>
      <x:c r="F254" s="83"/>
      <x:c r="G254" s="83"/>
      <x:c r="H254" s="83"/>
      <x:c r="I254" s="83"/>
      <x:c r="J254" s="83"/>
      <x:c r="K254" s="83"/>
      <x:c r="L254" s="83"/>
      <x:c r="M254" s="83"/>
      <x:c r="N254" s="83"/>
    </x:row>
    <x:row r="255" ht="15.75" customHeight="1">
      <x:c r="C255" s="83"/>
      <x:c r="D255" s="83"/>
      <x:c r="E255" s="83"/>
      <x:c r="F255" s="83"/>
      <x:c r="G255" s="83"/>
      <x:c r="H255" s="83"/>
      <x:c r="I255" s="83"/>
      <x:c r="J255" s="83"/>
      <x:c r="K255" s="83"/>
      <x:c r="L255" s="83"/>
      <x:c r="M255" s="83"/>
      <x:c r="N255" s="83"/>
    </x:row>
    <x:row r="256" ht="15.75" customHeight="1">
      <x:c r="C256" s="83"/>
      <x:c r="D256" s="83"/>
      <x:c r="E256" s="83"/>
      <x:c r="F256" s="83"/>
      <x:c r="G256" s="83"/>
      <x:c r="H256" s="83"/>
      <x:c r="I256" s="83"/>
      <x:c r="J256" s="83"/>
      <x:c r="K256" s="83"/>
      <x:c r="L256" s="83"/>
      <x:c r="M256" s="83"/>
      <x:c r="N256" s="83"/>
    </x:row>
    <x:row r="257" ht="15.75" customHeight="1">
      <x:c r="C257" s="83"/>
      <x:c r="D257" s="83"/>
      <x:c r="E257" s="83"/>
      <x:c r="F257" s="83"/>
      <x:c r="G257" s="83"/>
      <x:c r="H257" s="83"/>
      <x:c r="I257" s="83"/>
      <x:c r="J257" s="83"/>
      <x:c r="K257" s="83"/>
      <x:c r="L257" s="83"/>
      <x:c r="M257" s="83"/>
      <x:c r="N257" s="83"/>
    </x:row>
    <x:row r="258" ht="15.75" customHeight="1">
      <x:c r="C258" s="83"/>
      <x:c r="D258" s="83"/>
      <x:c r="E258" s="83"/>
      <x:c r="F258" s="83"/>
      <x:c r="G258" s="83"/>
      <x:c r="H258" s="83"/>
      <x:c r="I258" s="83"/>
      <x:c r="J258" s="83"/>
      <x:c r="K258" s="83"/>
      <x:c r="L258" s="83"/>
      <x:c r="M258" s="83"/>
      <x:c r="N258" s="83"/>
    </x:row>
    <x:row r="259" ht="15.75" customHeight="1">
      <x:c r="C259" s="83"/>
      <x:c r="D259" s="83"/>
      <x:c r="E259" s="83"/>
      <x:c r="F259" s="83"/>
      <x:c r="G259" s="83"/>
      <x:c r="H259" s="83"/>
      <x:c r="I259" s="83"/>
      <x:c r="J259" s="83"/>
      <x:c r="K259" s="83"/>
      <x:c r="L259" s="83"/>
      <x:c r="M259" s="83"/>
      <x:c r="N259" s="83"/>
    </x:row>
    <x:row r="260" ht="15.75" customHeight="1">
      <x:c r="C260" s="83"/>
      <x:c r="D260" s="83"/>
      <x:c r="E260" s="83"/>
      <x:c r="F260" s="83"/>
      <x:c r="G260" s="83"/>
      <x:c r="H260" s="83"/>
      <x:c r="I260" s="83"/>
      <x:c r="J260" s="83"/>
      <x:c r="K260" s="83"/>
      <x:c r="L260" s="83"/>
      <x:c r="M260" s="83"/>
      <x:c r="N260" s="83"/>
    </x:row>
    <x:row r="261" ht="15.75" customHeight="1">
      <x:c r="C261" s="83"/>
      <x:c r="D261" s="83"/>
      <x:c r="E261" s="83"/>
      <x:c r="F261" s="83"/>
      <x:c r="G261" s="83"/>
      <x:c r="H261" s="83"/>
      <x:c r="I261" s="83"/>
      <x:c r="J261" s="83"/>
      <x:c r="K261" s="83"/>
      <x:c r="L261" s="83"/>
      <x:c r="M261" s="83"/>
      <x:c r="N261" s="83"/>
    </x:row>
    <x:row r="262" ht="15.75" customHeight="1">
      <x:c r="C262" s="83"/>
      <x:c r="D262" s="83"/>
      <x:c r="E262" s="83"/>
      <x:c r="F262" s="83"/>
      <x:c r="G262" s="83"/>
      <x:c r="H262" s="83"/>
      <x:c r="I262" s="83"/>
      <x:c r="J262" s="83"/>
      <x:c r="K262" s="83"/>
      <x:c r="L262" s="83"/>
      <x:c r="M262" s="83"/>
      <x:c r="N262" s="83"/>
    </x:row>
    <x:row r="263" ht="15.75" customHeight="1">
      <x:c r="C263" s="83"/>
      <x:c r="D263" s="83"/>
      <x:c r="E263" s="83"/>
      <x:c r="F263" s="83"/>
      <x:c r="G263" s="83"/>
      <x:c r="H263" s="83"/>
      <x:c r="I263" s="83"/>
      <x:c r="J263" s="83"/>
      <x:c r="K263" s="83"/>
      <x:c r="L263" s="83"/>
      <x:c r="M263" s="83"/>
      <x:c r="N263" s="83"/>
    </x:row>
    <x:row r="264" ht="15.75" customHeight="1">
      <x:c r="C264" s="83"/>
      <x:c r="D264" s="83"/>
      <x:c r="E264" s="83"/>
      <x:c r="F264" s="83"/>
      <x:c r="G264" s="83"/>
      <x:c r="H264" s="83"/>
      <x:c r="I264" s="83"/>
      <x:c r="J264" s="83"/>
      <x:c r="K264" s="83"/>
      <x:c r="L264" s="83"/>
      <x:c r="M264" s="83"/>
      <x:c r="N264" s="83"/>
    </x:row>
    <x:row r="265" ht="15.75" customHeight="1">
      <x:c r="C265" s="83"/>
      <x:c r="D265" s="83"/>
      <x:c r="E265" s="83"/>
      <x:c r="F265" s="83"/>
      <x:c r="G265" s="83"/>
      <x:c r="H265" s="83"/>
      <x:c r="I265" s="83"/>
      <x:c r="J265" s="83"/>
      <x:c r="K265" s="83"/>
      <x:c r="L265" s="83"/>
      <x:c r="M265" s="83"/>
      <x:c r="N265" s="83"/>
    </x:row>
    <x:row r="266" ht="15.75" customHeight="1">
      <x:c r="C266" s="83"/>
      <x:c r="D266" s="83"/>
      <x:c r="E266" s="83"/>
      <x:c r="F266" s="83"/>
      <x:c r="G266" s="83"/>
      <x:c r="H266" s="83"/>
      <x:c r="I266" s="83"/>
      <x:c r="J266" s="83"/>
      <x:c r="K266" s="83"/>
      <x:c r="L266" s="83"/>
      <x:c r="M266" s="83"/>
      <x:c r="N266" s="83"/>
    </x:row>
    <x:row r="267" ht="15.75" customHeight="1">
      <x:c r="C267" s="83"/>
      <x:c r="D267" s="83"/>
      <x:c r="E267" s="83"/>
      <x:c r="F267" s="83"/>
      <x:c r="G267" s="83"/>
      <x:c r="H267" s="83"/>
      <x:c r="I267" s="83"/>
      <x:c r="J267" s="83"/>
      <x:c r="K267" s="83"/>
      <x:c r="L267" s="83"/>
      <x:c r="M267" s="83"/>
      <x:c r="N267" s="83"/>
    </x:row>
    <x:row r="268" ht="15.75" customHeight="1">
      <x:c r="C268" s="83"/>
      <x:c r="D268" s="83"/>
      <x:c r="E268" s="83"/>
      <x:c r="F268" s="83"/>
      <x:c r="G268" s="83"/>
      <x:c r="H268" s="83"/>
      <x:c r="I268" s="83"/>
      <x:c r="J268" s="83"/>
      <x:c r="K268" s="83"/>
      <x:c r="L268" s="83"/>
      <x:c r="M268" s="83"/>
      <x:c r="N268" s="83"/>
    </x:row>
    <x:row r="269" ht="15.75" customHeight="1">
      <x:c r="C269" s="83"/>
      <x:c r="D269" s="83"/>
      <x:c r="E269" s="83"/>
      <x:c r="F269" s="83"/>
      <x:c r="G269" s="83"/>
      <x:c r="H269" s="83"/>
      <x:c r="I269" s="83"/>
      <x:c r="J269" s="83"/>
      <x:c r="K269" s="83"/>
      <x:c r="L269" s="83"/>
      <x:c r="M269" s="83"/>
      <x:c r="N269" s="83"/>
    </x:row>
    <x:row r="270" ht="15.75" customHeight="1">
      <x:c r="C270" s="83"/>
      <x:c r="D270" s="83"/>
      <x:c r="E270" s="83"/>
      <x:c r="F270" s="83"/>
      <x:c r="G270" s="83"/>
      <x:c r="H270" s="83"/>
      <x:c r="I270" s="83"/>
      <x:c r="J270" s="83"/>
      <x:c r="K270" s="83"/>
      <x:c r="L270" s="83"/>
      <x:c r="M270" s="83"/>
      <x:c r="N270" s="83"/>
    </x:row>
    <x:row r="271" ht="15.75" customHeight="1">
      <x:c r="C271" s="83"/>
      <x:c r="D271" s="83"/>
      <x:c r="E271" s="83"/>
      <x:c r="F271" s="83"/>
      <x:c r="G271" s="83"/>
      <x:c r="H271" s="83"/>
      <x:c r="I271" s="83"/>
      <x:c r="J271" s="83"/>
      <x:c r="K271" s="83"/>
      <x:c r="L271" s="83"/>
      <x:c r="M271" s="83"/>
      <x:c r="N271" s="83"/>
    </x:row>
    <x:row r="272" ht="15.75" customHeight="1">
      <x:c r="C272" s="83"/>
      <x:c r="D272" s="83"/>
      <x:c r="E272" s="83"/>
      <x:c r="F272" s="83"/>
      <x:c r="G272" s="83"/>
      <x:c r="H272" s="83"/>
      <x:c r="I272" s="83"/>
      <x:c r="J272" s="83"/>
      <x:c r="K272" s="83"/>
      <x:c r="L272" s="83"/>
      <x:c r="M272" s="83"/>
      <x:c r="N272" s="83"/>
    </x:row>
    <x:row r="273" ht="15.75" customHeight="1">
      <x:c r="C273" s="83"/>
      <x:c r="D273" s="83"/>
      <x:c r="E273" s="83"/>
      <x:c r="F273" s="83"/>
      <x:c r="G273" s="83"/>
      <x:c r="H273" s="83"/>
      <x:c r="I273" s="83"/>
      <x:c r="J273" s="83"/>
      <x:c r="K273" s="83"/>
      <x:c r="L273" s="83"/>
      <x:c r="M273" s="83"/>
      <x:c r="N273" s="83"/>
    </x:row>
    <x:row r="274" ht="15.75" customHeight="1">
      <x:c r="C274" s="83"/>
      <x:c r="D274" s="83"/>
      <x:c r="E274" s="83"/>
      <x:c r="F274" s="83"/>
      <x:c r="G274" s="83"/>
      <x:c r="H274" s="83"/>
      <x:c r="I274" s="83"/>
      <x:c r="J274" s="83"/>
      <x:c r="K274" s="83"/>
      <x:c r="L274" s="83"/>
      <x:c r="M274" s="83"/>
      <x:c r="N274" s="83"/>
    </x:row>
    <x:row r="275" ht="15.75" customHeight="1">
      <x:c r="C275" s="83"/>
      <x:c r="D275" s="83"/>
      <x:c r="E275" s="83"/>
      <x:c r="F275" s="83"/>
      <x:c r="G275" s="83"/>
      <x:c r="H275" s="83"/>
      <x:c r="I275" s="83"/>
      <x:c r="J275" s="83"/>
      <x:c r="K275" s="83"/>
      <x:c r="L275" s="83"/>
      <x:c r="M275" s="83"/>
      <x:c r="N275" s="83"/>
    </x:row>
    <x:row r="276" ht="15.75" customHeight="1">
      <x:c r="C276" s="83"/>
      <x:c r="D276" s="83"/>
      <x:c r="E276" s="83"/>
      <x:c r="F276" s="83"/>
      <x:c r="G276" s="83"/>
      <x:c r="H276" s="83"/>
      <x:c r="I276" s="83"/>
      <x:c r="J276" s="83"/>
      <x:c r="K276" s="83"/>
      <x:c r="L276" s="83"/>
      <x:c r="M276" s="83"/>
      <x:c r="N276" s="83"/>
    </x:row>
    <x:row r="277" ht="15.75" customHeight="1">
      <x:c r="C277" s="83"/>
      <x:c r="D277" s="83"/>
      <x:c r="E277" s="83"/>
      <x:c r="F277" s="83"/>
      <x:c r="G277" s="83"/>
      <x:c r="H277" s="83"/>
      <x:c r="I277" s="83"/>
      <x:c r="J277" s="83"/>
      <x:c r="K277" s="83"/>
      <x:c r="L277" s="83"/>
      <x:c r="M277" s="83"/>
      <x:c r="N277" s="83"/>
    </x:row>
    <x:row r="278" ht="15.75" customHeight="1">
      <x:c r="C278" s="83"/>
      <x:c r="D278" s="83"/>
      <x:c r="E278" s="83"/>
      <x:c r="F278" s="83"/>
      <x:c r="G278" s="83"/>
      <x:c r="H278" s="83"/>
      <x:c r="I278" s="83"/>
      <x:c r="J278" s="83"/>
      <x:c r="K278" s="83"/>
      <x:c r="L278" s="83"/>
      <x:c r="M278" s="83"/>
      <x:c r="N278" s="83"/>
    </x:row>
    <x:row r="279" ht="15.75" customHeight="1">
      <x:c r="C279" s="83"/>
      <x:c r="D279" s="83"/>
      <x:c r="E279" s="83"/>
      <x:c r="F279" s="83"/>
      <x:c r="G279" s="83"/>
      <x:c r="H279" s="83"/>
      <x:c r="I279" s="83"/>
      <x:c r="J279" s="83"/>
      <x:c r="K279" s="83"/>
      <x:c r="L279" s="83"/>
      <x:c r="M279" s="83"/>
      <x:c r="N279" s="83"/>
    </x:row>
    <x:row r="280" ht="15.75" customHeight="1">
      <x:c r="C280" s="83"/>
      <x:c r="D280" s="83"/>
      <x:c r="E280" s="83"/>
      <x:c r="F280" s="83"/>
      <x:c r="G280" s="83"/>
      <x:c r="H280" s="83"/>
      <x:c r="I280" s="83"/>
      <x:c r="J280" s="83"/>
      <x:c r="K280" s="83"/>
      <x:c r="L280" s="83"/>
      <x:c r="M280" s="83"/>
      <x:c r="N280" s="83"/>
    </x:row>
    <x:row r="281" ht="15.75" customHeight="1">
      <x:c r="C281" s="83"/>
      <x:c r="D281" s="83"/>
      <x:c r="E281" s="83"/>
      <x:c r="F281" s="83"/>
      <x:c r="G281" s="83"/>
      <x:c r="H281" s="83"/>
      <x:c r="I281" s="83"/>
      <x:c r="J281" s="83"/>
      <x:c r="K281" s="83"/>
      <x:c r="L281" s="83"/>
      <x:c r="M281" s="83"/>
      <x:c r="N281" s="83"/>
    </x:row>
    <x:row r="282" ht="15.75" customHeight="1">
      <x:c r="C282" s="83"/>
      <x:c r="D282" s="83"/>
      <x:c r="E282" s="83"/>
      <x:c r="F282" s="83"/>
      <x:c r="G282" s="83"/>
      <x:c r="H282" s="83"/>
      <x:c r="I282" s="83"/>
      <x:c r="J282" s="83"/>
      <x:c r="K282" s="83"/>
      <x:c r="L282" s="83"/>
      <x:c r="M282" s="83"/>
      <x:c r="N282" s="83"/>
    </x:row>
    <x:row r="283" ht="15.75" customHeight="1">
      <x:c r="C283" s="83"/>
      <x:c r="D283" s="83"/>
      <x:c r="E283" s="83"/>
      <x:c r="F283" s="83"/>
      <x:c r="G283" s="83"/>
      <x:c r="H283" s="83"/>
      <x:c r="I283" s="83"/>
      <x:c r="J283" s="83"/>
      <x:c r="K283" s="83"/>
      <x:c r="L283" s="83"/>
      <x:c r="M283" s="83"/>
      <x:c r="N283" s="83"/>
    </x:row>
    <x:row r="284" ht="15.75" customHeight="1">
      <x:c r="C284" s="83"/>
      <x:c r="D284" s="83"/>
      <x:c r="E284" s="83"/>
      <x:c r="F284" s="83"/>
      <x:c r="G284" s="83"/>
      <x:c r="H284" s="83"/>
      <x:c r="I284" s="83"/>
      <x:c r="J284" s="83"/>
      <x:c r="K284" s="83"/>
      <x:c r="L284" s="83"/>
      <x:c r="M284" s="83"/>
      <x:c r="N284" s="83"/>
    </x:row>
    <x:row r="285" ht="15.75" customHeight="1">
      <x:c r="C285" s="83"/>
      <x:c r="D285" s="83"/>
      <x:c r="E285" s="83"/>
      <x:c r="F285" s="83"/>
      <x:c r="G285" s="83"/>
      <x:c r="H285" s="83"/>
      <x:c r="I285" s="83"/>
      <x:c r="J285" s="83"/>
      <x:c r="K285" s="83"/>
      <x:c r="L285" s="83"/>
      <x:c r="M285" s="83"/>
      <x:c r="N285" s="83"/>
    </x:row>
    <x:row r="286" ht="15.75" customHeight="1">
      <x:c r="C286" s="83"/>
      <x:c r="D286" s="83"/>
      <x:c r="E286" s="83"/>
      <x:c r="F286" s="83"/>
      <x:c r="G286" s="83"/>
      <x:c r="H286" s="83"/>
      <x:c r="I286" s="83"/>
      <x:c r="J286" s="83"/>
      <x:c r="K286" s="83"/>
      <x:c r="L286" s="83"/>
      <x:c r="M286" s="83"/>
      <x:c r="N286" s="83"/>
    </x:row>
    <x:row r="287" ht="15.75" customHeight="1">
      <x:c r="C287" s="83"/>
      <x:c r="D287" s="83"/>
      <x:c r="E287" s="83"/>
      <x:c r="F287" s="83"/>
      <x:c r="G287" s="83"/>
      <x:c r="H287" s="83"/>
      <x:c r="I287" s="83"/>
      <x:c r="J287" s="83"/>
      <x:c r="K287" s="83"/>
      <x:c r="L287" s="83"/>
      <x:c r="M287" s="83"/>
      <x:c r="N287" s="83"/>
    </x:row>
    <x:row r="288" ht="15.75" customHeight="1">
      <x:c r="C288" s="83"/>
      <x:c r="D288" s="83"/>
      <x:c r="E288" s="83"/>
      <x:c r="F288" s="83"/>
      <x:c r="G288" s="83"/>
      <x:c r="H288" s="83"/>
      <x:c r="I288" s="83"/>
      <x:c r="J288" s="83"/>
      <x:c r="K288" s="83"/>
      <x:c r="L288" s="83"/>
      <x:c r="M288" s="83"/>
      <x:c r="N288" s="83"/>
    </x:row>
    <x:row r="289" ht="15.75" customHeight="1">
      <x:c r="C289" s="83"/>
      <x:c r="D289" s="83"/>
      <x:c r="E289" s="83"/>
      <x:c r="F289" s="83"/>
      <x:c r="G289" s="83"/>
      <x:c r="H289" s="83"/>
      <x:c r="I289" s="83"/>
      <x:c r="J289" s="83"/>
      <x:c r="K289" s="83"/>
      <x:c r="L289" s="83"/>
      <x:c r="M289" s="83"/>
      <x:c r="N289" s="83"/>
    </x:row>
    <x:row r="290" ht="15.75" customHeight="1">
      <x:c r="C290" s="83"/>
      <x:c r="D290" s="83"/>
      <x:c r="E290" s="83"/>
      <x:c r="F290" s="83"/>
      <x:c r="G290" s="83"/>
      <x:c r="H290" s="83"/>
      <x:c r="I290" s="83"/>
      <x:c r="J290" s="83"/>
      <x:c r="K290" s="83"/>
      <x:c r="L290" s="83"/>
      <x:c r="M290" s="83"/>
      <x:c r="N290" s="83"/>
    </x:row>
    <x:row r="291" ht="15.75" customHeight="1">
      <x:c r="C291" s="83"/>
      <x:c r="D291" s="83"/>
      <x:c r="E291" s="83"/>
      <x:c r="F291" s="83"/>
      <x:c r="G291" s="83"/>
      <x:c r="H291" s="83"/>
      <x:c r="I291" s="83"/>
      <x:c r="J291" s="83"/>
      <x:c r="K291" s="83"/>
      <x:c r="L291" s="83"/>
      <x:c r="M291" s="83"/>
      <x:c r="N291" s="83"/>
    </x:row>
    <x:row r="292" ht="15.75" customHeight="1">
      <x:c r="C292" s="83"/>
      <x:c r="D292" s="83"/>
      <x:c r="E292" s="83"/>
      <x:c r="F292" s="83"/>
      <x:c r="G292" s="83"/>
      <x:c r="H292" s="83"/>
      <x:c r="I292" s="83"/>
      <x:c r="J292" s="83"/>
      <x:c r="K292" s="83"/>
      <x:c r="L292" s="83"/>
      <x:c r="M292" s="83"/>
      <x:c r="N292" s="83"/>
    </x:row>
    <x:row r="293" ht="15.75" customHeight="1">
      <x:c r="C293" s="83"/>
      <x:c r="D293" s="83"/>
      <x:c r="E293" s="83"/>
      <x:c r="F293" s="83"/>
      <x:c r="G293" s="83"/>
      <x:c r="H293" s="83"/>
      <x:c r="I293" s="83"/>
      <x:c r="J293" s="83"/>
      <x:c r="K293" s="83"/>
      <x:c r="L293" s="83"/>
      <x:c r="M293" s="83"/>
      <x:c r="N293" s="83"/>
    </x:row>
    <x:row r="294" ht="15.75" customHeight="1">
      <x:c r="C294" s="83"/>
      <x:c r="D294" s="83"/>
      <x:c r="E294" s="83"/>
      <x:c r="F294" s="83"/>
      <x:c r="G294" s="83"/>
      <x:c r="H294" s="83"/>
      <x:c r="I294" s="83"/>
      <x:c r="J294" s="83"/>
      <x:c r="K294" s="83"/>
      <x:c r="L294" s="83"/>
      <x:c r="M294" s="83"/>
      <x:c r="N294" s="83"/>
    </x:row>
    <x:row r="295" ht="15.75" customHeight="1">
      <x:c r="C295" s="83"/>
      <x:c r="D295" s="83"/>
      <x:c r="E295" s="83"/>
      <x:c r="F295" s="83"/>
      <x:c r="G295" s="83"/>
      <x:c r="H295" s="83"/>
      <x:c r="I295" s="83"/>
      <x:c r="J295" s="83"/>
      <x:c r="K295" s="83"/>
      <x:c r="L295" s="83"/>
      <x:c r="M295" s="83"/>
      <x:c r="N295" s="83"/>
    </x:row>
    <x:row r="296" ht="15.75" customHeight="1">
      <x:c r="C296" s="83"/>
      <x:c r="D296" s="83"/>
      <x:c r="E296" s="83"/>
      <x:c r="F296" s="83"/>
      <x:c r="G296" s="83"/>
      <x:c r="H296" s="83"/>
      <x:c r="I296" s="83"/>
      <x:c r="J296" s="83"/>
      <x:c r="K296" s="83"/>
      <x:c r="L296" s="83"/>
      <x:c r="M296" s="83"/>
      <x:c r="N296" s="83"/>
    </x:row>
    <x:row r="297" ht="15.75" customHeight="1">
      <x:c r="C297" s="83"/>
      <x:c r="D297" s="83"/>
      <x:c r="E297" s="83"/>
      <x:c r="F297" s="83"/>
      <x:c r="G297" s="83"/>
      <x:c r="H297" s="83"/>
      <x:c r="I297" s="83"/>
      <x:c r="J297" s="83"/>
      <x:c r="K297" s="83"/>
      <x:c r="L297" s="83"/>
      <x:c r="M297" s="83"/>
      <x:c r="N297" s="83"/>
    </x:row>
    <x:row r="298" ht="15.75" customHeight="1">
      <x:c r="C298" s="83"/>
      <x:c r="D298" s="83"/>
      <x:c r="E298" s="83"/>
      <x:c r="F298" s="83"/>
      <x:c r="G298" s="83"/>
      <x:c r="H298" s="83"/>
      <x:c r="I298" s="83"/>
      <x:c r="J298" s="83"/>
      <x:c r="K298" s="83"/>
      <x:c r="L298" s="83"/>
      <x:c r="M298" s="83"/>
      <x:c r="N298" s="83"/>
    </x:row>
    <x:row r="299" ht="15.75" customHeight="1">
      <x:c r="C299" s="83"/>
      <x:c r="D299" s="83"/>
      <x:c r="E299" s="83"/>
      <x:c r="F299" s="83"/>
      <x:c r="G299" s="83"/>
      <x:c r="H299" s="83"/>
      <x:c r="I299" s="83"/>
      <x:c r="J299" s="83"/>
      <x:c r="K299" s="83"/>
      <x:c r="L299" s="83"/>
      <x:c r="M299" s="83"/>
      <x:c r="N299" s="83"/>
    </x:row>
    <x:row r="300" ht="15.75" customHeight="1">
      <x:c r="C300" s="83"/>
      <x:c r="D300" s="83"/>
      <x:c r="E300" s="83"/>
      <x:c r="F300" s="83"/>
      <x:c r="G300" s="83"/>
      <x:c r="H300" s="83"/>
      <x:c r="I300" s="83"/>
      <x:c r="J300" s="83"/>
      <x:c r="K300" s="83"/>
      <x:c r="L300" s="83"/>
      <x:c r="M300" s="83"/>
      <x:c r="N300" s="83"/>
    </x:row>
    <x:row r="301" ht="15.75" customHeight="1">
      <x:c r="C301" s="83"/>
      <x:c r="D301" s="83"/>
      <x:c r="E301" s="83"/>
      <x:c r="F301" s="83"/>
      <x:c r="G301" s="83"/>
      <x:c r="H301" s="83"/>
      <x:c r="I301" s="83"/>
      <x:c r="J301" s="83"/>
      <x:c r="K301" s="83"/>
      <x:c r="L301" s="83"/>
      <x:c r="M301" s="83"/>
      <x:c r="N301" s="83"/>
    </x:row>
    <x:row r="302" ht="15.75" customHeight="1">
      <x:c r="C302" s="83"/>
      <x:c r="D302" s="83"/>
      <x:c r="E302" s="83"/>
      <x:c r="F302" s="83"/>
      <x:c r="G302" s="83"/>
      <x:c r="H302" s="83"/>
      <x:c r="I302" s="83"/>
      <x:c r="J302" s="83"/>
      <x:c r="K302" s="83"/>
      <x:c r="L302" s="83"/>
      <x:c r="M302" s="83"/>
      <x:c r="N302" s="83"/>
    </x:row>
    <x:row r="303" ht="15.75" customHeight="1">
      <x:c r="C303" s="83"/>
      <x:c r="D303" s="83"/>
      <x:c r="E303" s="83"/>
      <x:c r="F303" s="83"/>
      <x:c r="G303" s="83"/>
      <x:c r="H303" s="83"/>
      <x:c r="I303" s="83"/>
      <x:c r="J303" s="83"/>
      <x:c r="K303" s="83"/>
      <x:c r="L303" s="83"/>
      <x:c r="M303" s="83"/>
      <x:c r="N303" s="83"/>
    </x:row>
    <x:row r="304" ht="15.75" customHeight="1">
      <x:c r="C304" s="83"/>
      <x:c r="D304" s="83"/>
      <x:c r="E304" s="83"/>
      <x:c r="F304" s="83"/>
      <x:c r="G304" s="83"/>
      <x:c r="H304" s="83"/>
      <x:c r="I304" s="83"/>
      <x:c r="J304" s="83"/>
      <x:c r="K304" s="83"/>
      <x:c r="L304" s="83"/>
      <x:c r="M304" s="83"/>
      <x:c r="N304" s="83"/>
    </x:row>
    <x:row r="305" ht="15.75" customHeight="1">
      <x:c r="C305" s="83"/>
      <x:c r="D305" s="83"/>
      <x:c r="E305" s="83"/>
      <x:c r="F305" s="83"/>
      <x:c r="G305" s="83"/>
      <x:c r="H305" s="83"/>
      <x:c r="I305" s="83"/>
      <x:c r="J305" s="83"/>
      <x:c r="K305" s="83"/>
      <x:c r="L305" s="83"/>
      <x:c r="M305" s="83"/>
      <x:c r="N305" s="83"/>
    </x:row>
    <x:row r="306" ht="15.75" customHeight="1">
      <x:c r="C306" s="83"/>
      <x:c r="D306" s="83"/>
      <x:c r="E306" s="83"/>
      <x:c r="F306" s="83"/>
      <x:c r="G306" s="83"/>
      <x:c r="H306" s="83"/>
      <x:c r="I306" s="83"/>
      <x:c r="J306" s="83"/>
      <x:c r="K306" s="83"/>
      <x:c r="L306" s="83"/>
      <x:c r="M306" s="83"/>
      <x:c r="N306" s="83"/>
    </x:row>
    <x:row r="307" ht="15.75" customHeight="1">
      <x:c r="C307" s="83"/>
      <x:c r="D307" s="83"/>
      <x:c r="E307" s="83"/>
      <x:c r="F307" s="83"/>
      <x:c r="G307" s="83"/>
      <x:c r="H307" s="83"/>
      <x:c r="I307" s="83"/>
      <x:c r="J307" s="83"/>
      <x:c r="K307" s="83"/>
      <x:c r="L307" s="83"/>
      <x:c r="M307" s="83"/>
      <x:c r="N307" s="83"/>
    </x:row>
    <x:row r="308" ht="15.75" customHeight="1">
      <x:c r="C308" s="83"/>
      <x:c r="D308" s="83"/>
      <x:c r="E308" s="83"/>
      <x:c r="F308" s="83"/>
      <x:c r="G308" s="83"/>
      <x:c r="H308" s="83"/>
      <x:c r="I308" s="83"/>
      <x:c r="J308" s="83"/>
      <x:c r="K308" s="83"/>
      <x:c r="L308" s="83"/>
      <x:c r="M308" s="83"/>
      <x:c r="N308" s="83"/>
    </x:row>
    <x:row r="309" ht="15.75" customHeight="1">
      <x:c r="C309" s="83"/>
      <x:c r="D309" s="83"/>
      <x:c r="E309" s="83"/>
      <x:c r="F309" s="83"/>
      <x:c r="G309" s="83"/>
      <x:c r="H309" s="83"/>
      <x:c r="I309" s="83"/>
      <x:c r="J309" s="83"/>
      <x:c r="K309" s="83"/>
      <x:c r="L309" s="83"/>
      <x:c r="M309" s="83"/>
      <x:c r="N309" s="83"/>
    </x:row>
    <x:row r="310" ht="15.75" customHeight="1">
      <x:c r="C310" s="83"/>
      <x:c r="D310" s="83"/>
      <x:c r="E310" s="83"/>
      <x:c r="F310" s="83"/>
      <x:c r="G310" s="83"/>
      <x:c r="H310" s="83"/>
      <x:c r="I310" s="83"/>
      <x:c r="J310" s="83"/>
      <x:c r="K310" s="83"/>
      <x:c r="L310" s="83"/>
      <x:c r="M310" s="83"/>
      <x:c r="N310" s="83"/>
    </x:row>
    <x:row r="311" ht="15.75" customHeight="1">
      <x:c r="C311" s="83"/>
      <x:c r="D311" s="83"/>
      <x:c r="E311" s="83"/>
      <x:c r="F311" s="83"/>
      <x:c r="G311" s="83"/>
      <x:c r="H311" s="83"/>
      <x:c r="I311" s="83"/>
      <x:c r="J311" s="83"/>
      <x:c r="K311" s="83"/>
      <x:c r="L311" s="83"/>
      <x:c r="M311" s="83"/>
      <x:c r="N311" s="83"/>
    </x:row>
    <x:row r="312" ht="15.75" customHeight="1">
      <x:c r="C312" s="83"/>
      <x:c r="D312" s="83"/>
      <x:c r="E312" s="83"/>
      <x:c r="F312" s="83"/>
      <x:c r="G312" s="83"/>
      <x:c r="H312" s="83"/>
      <x:c r="I312" s="83"/>
      <x:c r="J312" s="83"/>
      <x:c r="K312" s="83"/>
      <x:c r="L312" s="83"/>
      <x:c r="M312" s="83"/>
      <x:c r="N312" s="83"/>
    </x:row>
    <x:row r="313" ht="15.75" customHeight="1">
      <x:c r="C313" s="83"/>
      <x:c r="D313" s="83"/>
      <x:c r="E313" s="83"/>
      <x:c r="F313" s="83"/>
      <x:c r="G313" s="83"/>
      <x:c r="H313" s="83"/>
      <x:c r="I313" s="83"/>
      <x:c r="J313" s="83"/>
      <x:c r="K313" s="83"/>
      <x:c r="L313" s="83"/>
      <x:c r="M313" s="83"/>
      <x:c r="N313" s="83"/>
    </x:row>
    <x:row r="314" ht="15.75" customHeight="1">
      <x:c r="C314" s="83"/>
      <x:c r="D314" s="83"/>
      <x:c r="E314" s="83"/>
      <x:c r="F314" s="83"/>
      <x:c r="G314" s="83"/>
      <x:c r="H314" s="83"/>
      <x:c r="I314" s="83"/>
      <x:c r="J314" s="83"/>
      <x:c r="K314" s="83"/>
      <x:c r="L314" s="83"/>
      <x:c r="M314" s="83"/>
      <x:c r="N314" s="83"/>
    </x:row>
    <x:row r="315" ht="15.75" customHeight="1">
      <x:c r="C315" s="83"/>
      <x:c r="D315" s="83"/>
      <x:c r="E315" s="83"/>
      <x:c r="F315" s="83"/>
      <x:c r="G315" s="83"/>
      <x:c r="H315" s="83"/>
      <x:c r="I315" s="83"/>
      <x:c r="J315" s="83"/>
      <x:c r="K315" s="83"/>
      <x:c r="L315" s="83"/>
      <x:c r="M315" s="83"/>
      <x:c r="N315" s="83"/>
    </x:row>
    <x:row r="316" ht="15.75" customHeight="1">
      <x:c r="C316" s="83"/>
      <x:c r="D316" s="83"/>
      <x:c r="E316" s="83"/>
      <x:c r="F316" s="83"/>
      <x:c r="G316" s="83"/>
      <x:c r="H316" s="83"/>
      <x:c r="I316" s="83"/>
      <x:c r="J316" s="83"/>
      <x:c r="K316" s="83"/>
      <x:c r="L316" s="83"/>
      <x:c r="M316" s="83"/>
      <x:c r="N316" s="83"/>
    </x:row>
    <x:row r="317" ht="15.75" customHeight="1">
      <x:c r="C317" s="83"/>
      <x:c r="D317" s="83"/>
      <x:c r="E317" s="83"/>
      <x:c r="F317" s="83"/>
      <x:c r="G317" s="83"/>
      <x:c r="H317" s="83"/>
      <x:c r="I317" s="83"/>
      <x:c r="J317" s="83"/>
      <x:c r="K317" s="83"/>
      <x:c r="L317" s="83"/>
      <x:c r="M317" s="83"/>
      <x:c r="N317" s="83"/>
    </x:row>
    <x:row r="318" ht="15.75" customHeight="1">
      <x:c r="C318" s="83"/>
      <x:c r="D318" s="83"/>
      <x:c r="E318" s="83"/>
      <x:c r="F318" s="83"/>
      <x:c r="G318" s="83"/>
      <x:c r="H318" s="83"/>
      <x:c r="I318" s="83"/>
      <x:c r="J318" s="83"/>
      <x:c r="K318" s="83"/>
      <x:c r="L318" s="83"/>
      <x:c r="M318" s="83"/>
      <x:c r="N318" s="83"/>
    </x:row>
    <x:row r="319" ht="15.75" customHeight="1">
      <x:c r="C319" s="83"/>
      <x:c r="D319" s="83"/>
      <x:c r="E319" s="83"/>
      <x:c r="F319" s="83"/>
      <x:c r="G319" s="83"/>
      <x:c r="H319" s="83"/>
      <x:c r="I319" s="83"/>
      <x:c r="J319" s="83"/>
      <x:c r="K319" s="83"/>
      <x:c r="L319" s="83"/>
      <x:c r="M319" s="83"/>
      <x:c r="N319" s="83"/>
    </x:row>
    <x:row r="320" ht="15.75" customHeight="1">
      <x:c r="C320" s="83"/>
      <x:c r="D320" s="83"/>
      <x:c r="E320" s="83"/>
      <x:c r="F320" s="83"/>
      <x:c r="G320" s="83"/>
      <x:c r="H320" s="83"/>
      <x:c r="I320" s="83"/>
      <x:c r="J320" s="83"/>
      <x:c r="K320" s="83"/>
      <x:c r="L320" s="83"/>
      <x:c r="M320" s="83"/>
      <x:c r="N320" s="83"/>
    </x:row>
    <x:row r="321" ht="15.75" customHeight="1">
      <x:c r="C321" s="83"/>
      <x:c r="D321" s="83"/>
      <x:c r="E321" s="83"/>
      <x:c r="F321" s="83"/>
      <x:c r="G321" s="83"/>
      <x:c r="H321" s="83"/>
      <x:c r="I321" s="83"/>
      <x:c r="J321" s="83"/>
      <x:c r="K321" s="83"/>
      <x:c r="L321" s="83"/>
      <x:c r="M321" s="83"/>
      <x:c r="N321" s="83"/>
    </x:row>
    <x:row r="322" ht="15.75" customHeight="1">
      <x:c r="C322" s="83"/>
      <x:c r="D322" s="83"/>
      <x:c r="E322" s="83"/>
      <x:c r="F322" s="83"/>
      <x:c r="G322" s="83"/>
      <x:c r="H322" s="83"/>
      <x:c r="I322" s="83"/>
      <x:c r="J322" s="83"/>
      <x:c r="K322" s="83"/>
      <x:c r="L322" s="83"/>
      <x:c r="M322" s="83"/>
      <x:c r="N322" s="83"/>
    </x:row>
    <x:row r="323" ht="15.75" customHeight="1">
      <x:c r="C323" s="83"/>
      <x:c r="D323" s="83"/>
      <x:c r="E323" s="83"/>
      <x:c r="F323" s="83"/>
      <x:c r="G323" s="83"/>
      <x:c r="H323" s="83"/>
      <x:c r="I323" s="83"/>
      <x:c r="J323" s="83"/>
      <x:c r="K323" s="83"/>
      <x:c r="L323" s="83"/>
      <x:c r="M323" s="83"/>
      <x:c r="N323" s="83"/>
    </x:row>
    <x:row r="324" ht="15.75" customHeight="1">
      <x:c r="C324" s="83"/>
      <x:c r="D324" s="83"/>
      <x:c r="E324" s="83"/>
      <x:c r="F324" s="83"/>
      <x:c r="G324" s="83"/>
      <x:c r="H324" s="83"/>
      <x:c r="I324" s="83"/>
      <x:c r="J324" s="83"/>
      <x:c r="K324" s="83"/>
      <x:c r="L324" s="83"/>
      <x:c r="M324" s="83"/>
      <x:c r="N324" s="83"/>
    </x:row>
    <x:row r="325" ht="15.75" customHeight="1">
      <x:c r="C325" s="83"/>
      <x:c r="D325" s="83"/>
      <x:c r="E325" s="83"/>
      <x:c r="F325" s="83"/>
      <x:c r="G325" s="83"/>
      <x:c r="H325" s="83"/>
      <x:c r="I325" s="83"/>
      <x:c r="J325" s="83"/>
      <x:c r="K325" s="83"/>
      <x:c r="L325" s="83"/>
      <x:c r="M325" s="83"/>
      <x:c r="N325" s="83"/>
    </x:row>
    <x:row r="326" ht="15.75" customHeight="1">
      <x:c r="C326" s="83"/>
      <x:c r="D326" s="83"/>
      <x:c r="E326" s="83"/>
      <x:c r="F326" s="83"/>
      <x:c r="G326" s="83"/>
      <x:c r="H326" s="83"/>
      <x:c r="I326" s="83"/>
      <x:c r="J326" s="83"/>
      <x:c r="K326" s="83"/>
      <x:c r="L326" s="83"/>
      <x:c r="M326" s="83"/>
      <x:c r="N326" s="83"/>
    </x:row>
    <x:row r="327" ht="15.75" customHeight="1">
      <x:c r="C327" s="83"/>
      <x:c r="D327" s="83"/>
      <x:c r="E327" s="83"/>
      <x:c r="F327" s="83"/>
      <x:c r="G327" s="83"/>
      <x:c r="H327" s="83"/>
      <x:c r="I327" s="83"/>
      <x:c r="J327" s="83"/>
      <x:c r="K327" s="83"/>
      <x:c r="L327" s="83"/>
      <x:c r="M327" s="83"/>
      <x:c r="N327" s="83"/>
    </x:row>
    <x:row r="328" ht="15.75" customHeight="1">
      <x:c r="C328" s="83"/>
      <x:c r="D328" s="83"/>
      <x:c r="E328" s="83"/>
      <x:c r="F328" s="83"/>
      <x:c r="G328" s="83"/>
      <x:c r="H328" s="83"/>
      <x:c r="I328" s="83"/>
      <x:c r="J328" s="83"/>
      <x:c r="K328" s="83"/>
      <x:c r="L328" s="83"/>
      <x:c r="M328" s="83"/>
      <x:c r="N328" s="83"/>
    </x:row>
    <x:row r="329" ht="15.75" customHeight="1">
      <x:c r="C329" s="83"/>
      <x:c r="D329" s="83"/>
      <x:c r="E329" s="83"/>
      <x:c r="F329" s="83"/>
      <x:c r="G329" s="83"/>
      <x:c r="H329" s="83"/>
      <x:c r="I329" s="83"/>
      <x:c r="J329" s="83"/>
      <x:c r="K329" s="83"/>
      <x:c r="L329" s="83"/>
      <x:c r="M329" s="83"/>
      <x:c r="N329" s="83"/>
    </x:row>
    <x:row r="330" ht="15.75" customHeight="1">
      <x:c r="C330" s="83"/>
      <x:c r="D330" s="83"/>
      <x:c r="E330" s="83"/>
      <x:c r="F330" s="83"/>
      <x:c r="G330" s="83"/>
      <x:c r="H330" s="83"/>
      <x:c r="I330" s="83"/>
      <x:c r="J330" s="83"/>
      <x:c r="K330" s="83"/>
      <x:c r="L330" s="83"/>
      <x:c r="M330" s="83"/>
      <x:c r="N330" s="83"/>
    </x:row>
    <x:row r="331" ht="15.75" customHeight="1">
      <x:c r="C331" s="83"/>
      <x:c r="D331" s="83"/>
      <x:c r="E331" s="83"/>
      <x:c r="F331" s="83"/>
      <x:c r="G331" s="83"/>
      <x:c r="H331" s="83"/>
      <x:c r="I331" s="83"/>
      <x:c r="J331" s="83"/>
      <x:c r="K331" s="83"/>
      <x:c r="L331" s="83"/>
      <x:c r="M331" s="83"/>
      <x:c r="N331" s="83"/>
    </x:row>
    <x:row r="332" ht="15.75" customHeight="1">
      <x:c r="C332" s="83"/>
      <x:c r="D332" s="83"/>
      <x:c r="E332" s="83"/>
      <x:c r="F332" s="83"/>
      <x:c r="G332" s="83"/>
      <x:c r="H332" s="83"/>
      <x:c r="I332" s="83"/>
      <x:c r="J332" s="83"/>
      <x:c r="K332" s="83"/>
      <x:c r="L332" s="83"/>
      <x:c r="M332" s="83"/>
      <x:c r="N332" s="83"/>
    </x:row>
    <x:row r="333" ht="15.75" customHeight="1">
      <x:c r="C333" s="83"/>
      <x:c r="D333" s="83"/>
      <x:c r="E333" s="83"/>
      <x:c r="F333" s="83"/>
      <x:c r="G333" s="83"/>
      <x:c r="H333" s="83"/>
      <x:c r="I333" s="83"/>
      <x:c r="J333" s="83"/>
      <x:c r="K333" s="83"/>
      <x:c r="L333" s="83"/>
      <x:c r="M333" s="83"/>
      <x:c r="N333" s="83"/>
    </x:row>
    <x:row r="334" ht="15.75" customHeight="1">
      <x:c r="C334" s="83"/>
      <x:c r="D334" s="83"/>
      <x:c r="E334" s="83"/>
      <x:c r="F334" s="83"/>
      <x:c r="G334" s="83"/>
      <x:c r="H334" s="83"/>
      <x:c r="I334" s="83"/>
      <x:c r="J334" s="83"/>
      <x:c r="K334" s="83"/>
      <x:c r="L334" s="83"/>
      <x:c r="M334" s="83"/>
      <x:c r="N334" s="83"/>
    </x:row>
    <x:row r="335" ht="15.75" customHeight="1">
      <x:c r="C335" s="83"/>
      <x:c r="D335" s="83"/>
      <x:c r="E335" s="83"/>
      <x:c r="F335" s="83"/>
      <x:c r="G335" s="83"/>
      <x:c r="H335" s="83"/>
      <x:c r="I335" s="83"/>
      <x:c r="J335" s="83"/>
      <x:c r="K335" s="83"/>
      <x:c r="L335" s="83"/>
      <x:c r="M335" s="83"/>
      <x:c r="N335" s="83"/>
    </x:row>
    <x:row r="336" ht="15.75" customHeight="1">
      <x:c r="C336" s="83"/>
      <x:c r="D336" s="83"/>
      <x:c r="E336" s="83"/>
      <x:c r="F336" s="83"/>
      <x:c r="G336" s="83"/>
      <x:c r="H336" s="83"/>
      <x:c r="I336" s="83"/>
      <x:c r="J336" s="83"/>
      <x:c r="K336" s="83"/>
      <x:c r="L336" s="83"/>
      <x:c r="M336" s="83"/>
      <x:c r="N336" s="83"/>
    </x:row>
    <x:row r="337" ht="15.75" customHeight="1">
      <x:c r="C337" s="83"/>
      <x:c r="D337" s="83"/>
      <x:c r="E337" s="83"/>
      <x:c r="F337" s="83"/>
      <x:c r="G337" s="83"/>
      <x:c r="H337" s="83"/>
      <x:c r="I337" s="83"/>
      <x:c r="J337" s="83"/>
      <x:c r="K337" s="83"/>
      <x:c r="L337" s="83"/>
      <x:c r="M337" s="83"/>
      <x:c r="N337" s="83"/>
    </x:row>
    <x:row r="338" ht="15.75" customHeight="1">
      <x:c r="C338" s="83"/>
      <x:c r="D338" s="83"/>
      <x:c r="E338" s="83"/>
      <x:c r="F338" s="83"/>
      <x:c r="G338" s="83"/>
      <x:c r="H338" s="83"/>
      <x:c r="I338" s="83"/>
      <x:c r="J338" s="83"/>
      <x:c r="K338" s="83"/>
      <x:c r="L338" s="83"/>
      <x:c r="M338" s="83"/>
      <x:c r="N338" s="83"/>
    </x:row>
    <x:row r="339" ht="15.75" customHeight="1">
      <x:c r="C339" s="83"/>
      <x:c r="D339" s="83"/>
      <x:c r="E339" s="83"/>
      <x:c r="F339" s="83"/>
      <x:c r="G339" s="83"/>
      <x:c r="H339" s="83"/>
      <x:c r="I339" s="83"/>
      <x:c r="J339" s="83"/>
      <x:c r="K339" s="83"/>
      <x:c r="L339" s="83"/>
      <x:c r="M339" s="83"/>
      <x:c r="N339" s="83"/>
    </x:row>
    <x:row r="340" ht="15.75" customHeight="1">
      <x:c r="C340" s="83"/>
      <x:c r="D340" s="83"/>
      <x:c r="E340" s="83"/>
      <x:c r="F340" s="83"/>
      <x:c r="G340" s="83"/>
      <x:c r="H340" s="83"/>
      <x:c r="I340" s="83"/>
      <x:c r="J340" s="83"/>
      <x:c r="K340" s="83"/>
      <x:c r="L340" s="83"/>
      <x:c r="M340" s="83"/>
      <x:c r="N340" s="83"/>
    </x:row>
    <x:row r="341" ht="15.75" customHeight="1">
      <x:c r="C341" s="83"/>
      <x:c r="D341" s="83"/>
      <x:c r="E341" s="83"/>
      <x:c r="F341" s="83"/>
      <x:c r="G341" s="83"/>
      <x:c r="H341" s="83"/>
      <x:c r="I341" s="83"/>
      <x:c r="J341" s="83"/>
      <x:c r="K341" s="83"/>
      <x:c r="L341" s="83"/>
      <x:c r="M341" s="83"/>
      <x:c r="N341" s="83"/>
    </x:row>
    <x:row r="342" ht="15.75" customHeight="1">
      <x:c r="C342" s="83"/>
      <x:c r="D342" s="83"/>
      <x:c r="E342" s="83"/>
      <x:c r="F342" s="83"/>
      <x:c r="G342" s="83"/>
      <x:c r="H342" s="83"/>
      <x:c r="I342" s="83"/>
      <x:c r="J342" s="83"/>
      <x:c r="K342" s="83"/>
      <x:c r="L342" s="83"/>
      <x:c r="M342" s="83"/>
      <x:c r="N342" s="83"/>
    </x:row>
    <x:row r="343" ht="15.75" customHeight="1">
      <x:c r="C343" s="83"/>
      <x:c r="D343" s="83"/>
      <x:c r="E343" s="83"/>
      <x:c r="F343" s="83"/>
      <x:c r="G343" s="83"/>
      <x:c r="H343" s="83"/>
      <x:c r="I343" s="83"/>
      <x:c r="J343" s="83"/>
      <x:c r="K343" s="83"/>
      <x:c r="L343" s="83"/>
      <x:c r="M343" s="83"/>
      <x:c r="N343" s="83"/>
    </x:row>
    <x:row r="344" ht="15.75" customHeight="1">
      <x:c r="C344" s="83"/>
      <x:c r="D344" s="83"/>
      <x:c r="E344" s="83"/>
      <x:c r="F344" s="83"/>
      <x:c r="G344" s="83"/>
      <x:c r="H344" s="83"/>
      <x:c r="I344" s="83"/>
      <x:c r="J344" s="83"/>
      <x:c r="K344" s="83"/>
      <x:c r="L344" s="83"/>
      <x:c r="M344" s="83"/>
      <x:c r="N344" s="83"/>
    </x:row>
    <x:row r="345" ht="15.75" customHeight="1">
      <x:c r="C345" s="83"/>
      <x:c r="D345" s="83"/>
      <x:c r="E345" s="83"/>
      <x:c r="F345" s="83"/>
      <x:c r="G345" s="83"/>
      <x:c r="H345" s="83"/>
      <x:c r="I345" s="83"/>
      <x:c r="J345" s="83"/>
      <x:c r="K345" s="83"/>
      <x:c r="L345" s="83"/>
      <x:c r="M345" s="83"/>
      <x:c r="N345" s="83"/>
    </x:row>
    <x:row r="346" ht="15.75" customHeight="1">
      <x:c r="C346" s="83"/>
      <x:c r="D346" s="83"/>
      <x:c r="E346" s="83"/>
      <x:c r="F346" s="83"/>
      <x:c r="G346" s="83"/>
      <x:c r="H346" s="83"/>
      <x:c r="I346" s="83"/>
      <x:c r="J346" s="83"/>
      <x:c r="K346" s="83"/>
      <x:c r="L346" s="83"/>
      <x:c r="M346" s="83"/>
      <x:c r="N346" s="83"/>
    </x:row>
    <x:row r="347" ht="15.75" customHeight="1">
      <x:c r="C347" s="83"/>
      <x:c r="D347" s="83"/>
      <x:c r="E347" s="83"/>
      <x:c r="F347" s="83"/>
      <x:c r="G347" s="83"/>
      <x:c r="H347" s="83"/>
      <x:c r="I347" s="83"/>
      <x:c r="J347" s="83"/>
      <x:c r="K347" s="83"/>
      <x:c r="L347" s="83"/>
      <x:c r="M347" s="83"/>
      <x:c r="N347" s="83"/>
    </x:row>
    <x:row r="348" ht="15.75" customHeight="1">
      <x:c r="C348" s="83"/>
      <x:c r="D348" s="83"/>
      <x:c r="E348" s="83"/>
      <x:c r="F348" s="83"/>
      <x:c r="G348" s="83"/>
      <x:c r="H348" s="83"/>
      <x:c r="I348" s="83"/>
      <x:c r="J348" s="83"/>
      <x:c r="K348" s="83"/>
      <x:c r="L348" s="83"/>
      <x:c r="M348" s="83"/>
      <x:c r="N348" s="83"/>
    </x:row>
    <x:row r="349" ht="15.75" customHeight="1">
      <x:c r="C349" s="83"/>
      <x:c r="D349" s="83"/>
      <x:c r="E349" s="83"/>
      <x:c r="F349" s="83"/>
      <x:c r="G349" s="83"/>
      <x:c r="H349" s="83"/>
      <x:c r="I349" s="83"/>
      <x:c r="J349" s="83"/>
      <x:c r="K349" s="83"/>
      <x:c r="L349" s="83"/>
      <x:c r="M349" s="83"/>
      <x:c r="N349" s="83"/>
    </x:row>
    <x:row r="350" ht="15.75" customHeight="1">
      <x:c r="C350" s="83"/>
      <x:c r="D350" s="83"/>
      <x:c r="E350" s="83"/>
      <x:c r="F350" s="83"/>
      <x:c r="G350" s="83"/>
      <x:c r="H350" s="83"/>
      <x:c r="I350" s="83"/>
      <x:c r="J350" s="83"/>
      <x:c r="K350" s="83"/>
      <x:c r="L350" s="83"/>
      <x:c r="M350" s="83"/>
      <x:c r="N350" s="83"/>
    </x:row>
    <x:row r="351" ht="15.75" customHeight="1">
      <x:c r="C351" s="83"/>
      <x:c r="D351" s="83"/>
      <x:c r="E351" s="83"/>
      <x:c r="F351" s="83"/>
      <x:c r="G351" s="83"/>
      <x:c r="H351" s="83"/>
      <x:c r="I351" s="83"/>
      <x:c r="J351" s="83"/>
      <x:c r="K351" s="83"/>
      <x:c r="L351" s="83"/>
      <x:c r="M351" s="83"/>
      <x:c r="N351" s="83"/>
    </x:row>
    <x:row r="352" ht="15.75" customHeight="1">
      <x:c r="C352" s="83"/>
      <x:c r="D352" s="83"/>
      <x:c r="E352" s="83"/>
      <x:c r="F352" s="83"/>
      <x:c r="G352" s="83"/>
      <x:c r="H352" s="83"/>
      <x:c r="I352" s="83"/>
      <x:c r="J352" s="83"/>
      <x:c r="K352" s="83"/>
      <x:c r="L352" s="83"/>
      <x:c r="M352" s="83"/>
      <x:c r="N352" s="83"/>
    </x:row>
    <x:row r="353" ht="15.75" customHeight="1">
      <x:c r="C353" s="83"/>
      <x:c r="D353" s="83"/>
      <x:c r="E353" s="83"/>
      <x:c r="F353" s="83"/>
      <x:c r="G353" s="83"/>
      <x:c r="H353" s="83"/>
      <x:c r="I353" s="83"/>
      <x:c r="J353" s="83"/>
      <x:c r="K353" s="83"/>
      <x:c r="L353" s="83"/>
      <x:c r="M353" s="83"/>
      <x:c r="N353" s="83"/>
    </x:row>
    <x:row r="354" ht="15.75" customHeight="1">
      <x:c r="C354" s="83"/>
      <x:c r="D354" s="83"/>
      <x:c r="E354" s="83"/>
      <x:c r="F354" s="83"/>
      <x:c r="G354" s="83"/>
      <x:c r="H354" s="83"/>
      <x:c r="I354" s="83"/>
      <x:c r="J354" s="83"/>
      <x:c r="K354" s="83"/>
      <x:c r="L354" s="83"/>
      <x:c r="M354" s="83"/>
      <x:c r="N354" s="83"/>
    </x:row>
    <x:row r="355" ht="15.75" customHeight="1">
      <x:c r="C355" s="83"/>
      <x:c r="D355" s="83"/>
      <x:c r="E355" s="83"/>
      <x:c r="F355" s="83"/>
      <x:c r="G355" s="83"/>
      <x:c r="H355" s="83"/>
      <x:c r="I355" s="83"/>
      <x:c r="J355" s="83"/>
      <x:c r="K355" s="83"/>
      <x:c r="L355" s="83"/>
      <x:c r="M355" s="83"/>
      <x:c r="N355" s="83"/>
    </x:row>
    <x:row r="356" ht="15.75" customHeight="1">
      <x:c r="C356" s="83"/>
      <x:c r="D356" s="83"/>
      <x:c r="E356" s="83"/>
      <x:c r="F356" s="83"/>
      <x:c r="G356" s="83"/>
      <x:c r="H356" s="83"/>
      <x:c r="I356" s="83"/>
      <x:c r="J356" s="83"/>
      <x:c r="K356" s="83"/>
      <x:c r="L356" s="83"/>
      <x:c r="M356" s="83"/>
      <x:c r="N356" s="83"/>
    </x:row>
    <x:row r="357" ht="15.75" customHeight="1">
      <x:c r="C357" s="83"/>
      <x:c r="D357" s="83"/>
      <x:c r="E357" s="83"/>
      <x:c r="F357" s="83"/>
      <x:c r="G357" s="83"/>
      <x:c r="H357" s="83"/>
      <x:c r="I357" s="83"/>
      <x:c r="J357" s="83"/>
      <x:c r="K357" s="83"/>
      <x:c r="L357" s="83"/>
      <x:c r="M357" s="83"/>
      <x:c r="N357" s="83"/>
    </x:row>
    <x:row r="358" ht="15.75" customHeight="1">
      <x:c r="C358" s="83"/>
      <x:c r="D358" s="83"/>
      <x:c r="E358" s="83"/>
      <x:c r="F358" s="83"/>
      <x:c r="G358" s="83"/>
      <x:c r="H358" s="83"/>
      <x:c r="I358" s="83"/>
      <x:c r="J358" s="83"/>
      <x:c r="K358" s="83"/>
      <x:c r="L358" s="83"/>
      <x:c r="M358" s="83"/>
      <x:c r="N358" s="83"/>
    </x:row>
    <x:row r="359" ht="15.75" customHeight="1">
      <x:c r="C359" s="83"/>
      <x:c r="D359" s="83"/>
      <x:c r="E359" s="83"/>
      <x:c r="F359" s="83"/>
      <x:c r="G359" s="83"/>
      <x:c r="H359" s="83"/>
      <x:c r="I359" s="83"/>
      <x:c r="J359" s="83"/>
      <x:c r="K359" s="83"/>
      <x:c r="L359" s="83"/>
      <x:c r="M359" s="83"/>
      <x:c r="N359" s="83"/>
    </x:row>
    <x:row r="360" ht="15.75" customHeight="1">
      <x:c r="C360" s="83"/>
      <x:c r="D360" s="83"/>
      <x:c r="E360" s="83"/>
      <x:c r="F360" s="83"/>
      <x:c r="G360" s="83"/>
      <x:c r="H360" s="83"/>
      <x:c r="I360" s="83"/>
      <x:c r="J360" s="83"/>
      <x:c r="K360" s="83"/>
      <x:c r="L360" s="83"/>
      <x:c r="M360" s="83"/>
      <x:c r="N360" s="83"/>
    </x:row>
    <x:row r="361" ht="15.75" customHeight="1">
      <x:c r="C361" s="83"/>
      <x:c r="D361" s="83"/>
      <x:c r="E361" s="83"/>
      <x:c r="F361" s="83"/>
      <x:c r="G361" s="83"/>
      <x:c r="H361" s="83"/>
      <x:c r="I361" s="83"/>
      <x:c r="J361" s="83"/>
      <x:c r="K361" s="83"/>
      <x:c r="L361" s="83"/>
      <x:c r="M361" s="83"/>
      <x:c r="N361" s="83"/>
    </x:row>
    <x:row r="362" ht="15.75" customHeight="1">
      <x:c r="C362" s="83"/>
      <x:c r="D362" s="83"/>
      <x:c r="E362" s="83"/>
      <x:c r="F362" s="83"/>
      <x:c r="G362" s="83"/>
      <x:c r="H362" s="83"/>
      <x:c r="I362" s="83"/>
      <x:c r="J362" s="83"/>
      <x:c r="K362" s="83"/>
      <x:c r="L362" s="83"/>
      <x:c r="M362" s="83"/>
      <x:c r="N362" s="83"/>
    </x:row>
    <x:row r="363" ht="15.75" customHeight="1">
      <x:c r="C363" s="83"/>
      <x:c r="D363" s="83"/>
      <x:c r="E363" s="83"/>
      <x:c r="F363" s="83"/>
      <x:c r="G363" s="83"/>
      <x:c r="H363" s="83"/>
      <x:c r="I363" s="83"/>
      <x:c r="J363" s="83"/>
      <x:c r="K363" s="83"/>
      <x:c r="L363" s="83"/>
      <x:c r="M363" s="83"/>
      <x:c r="N363" s="83"/>
    </x:row>
    <x:row r="364" ht="15.75" customHeight="1">
      <x:c r="C364" s="83"/>
      <x:c r="D364" s="83"/>
      <x:c r="E364" s="83"/>
      <x:c r="F364" s="83"/>
      <x:c r="G364" s="83"/>
      <x:c r="H364" s="83"/>
      <x:c r="I364" s="83"/>
      <x:c r="J364" s="83"/>
      <x:c r="K364" s="83"/>
      <x:c r="L364" s="83"/>
      <x:c r="M364" s="83"/>
      <x:c r="N364" s="83"/>
    </x:row>
    <x:row r="365" ht="15.75" customHeight="1">
      <x:c r="C365" s="83"/>
      <x:c r="D365" s="83"/>
      <x:c r="E365" s="83"/>
      <x:c r="F365" s="83"/>
      <x:c r="G365" s="83"/>
      <x:c r="H365" s="83"/>
      <x:c r="I365" s="83"/>
      <x:c r="J365" s="83"/>
      <x:c r="K365" s="83"/>
      <x:c r="L365" s="83"/>
      <x:c r="M365" s="83"/>
      <x:c r="N365" s="83"/>
    </x:row>
    <x:row r="366" ht="15.75" customHeight="1">
      <x:c r="C366" s="83"/>
      <x:c r="D366" s="83"/>
      <x:c r="E366" s="83"/>
      <x:c r="F366" s="83"/>
      <x:c r="G366" s="83"/>
      <x:c r="H366" s="83"/>
      <x:c r="I366" s="83"/>
      <x:c r="J366" s="83"/>
      <x:c r="K366" s="83"/>
      <x:c r="L366" s="83"/>
      <x:c r="M366" s="83"/>
      <x:c r="N366" s="83"/>
    </x:row>
    <x:row r="367" ht="15.75" customHeight="1">
      <x:c r="C367" s="83"/>
      <x:c r="D367" s="83"/>
      <x:c r="E367" s="83"/>
      <x:c r="F367" s="83"/>
      <x:c r="G367" s="83"/>
      <x:c r="H367" s="83"/>
      <x:c r="I367" s="83"/>
      <x:c r="J367" s="83"/>
      <x:c r="K367" s="83"/>
      <x:c r="L367" s="83"/>
      <x:c r="M367" s="83"/>
      <x:c r="N367" s="83"/>
    </x:row>
    <x:row r="368" ht="15.75" customHeight="1">
      <x:c r="C368" s="83"/>
      <x:c r="D368" s="83"/>
      <x:c r="E368" s="83"/>
      <x:c r="F368" s="83"/>
      <x:c r="G368" s="83"/>
      <x:c r="H368" s="83"/>
      <x:c r="I368" s="83"/>
      <x:c r="J368" s="83"/>
      <x:c r="K368" s="83"/>
      <x:c r="L368" s="83"/>
      <x:c r="M368" s="83"/>
      <x:c r="N368" s="83"/>
    </x:row>
    <x:row r="369" ht="15.75" customHeight="1">
      <x:c r="C369" s="83"/>
      <x:c r="D369" s="83"/>
      <x:c r="E369" s="83"/>
      <x:c r="F369" s="83"/>
      <x:c r="G369" s="83"/>
      <x:c r="H369" s="83"/>
      <x:c r="I369" s="83"/>
      <x:c r="J369" s="83"/>
      <x:c r="K369" s="83"/>
      <x:c r="L369" s="83"/>
      <x:c r="M369" s="83"/>
      <x:c r="N369" s="83"/>
    </x:row>
    <x:row r="370" ht="15.75" customHeight="1">
      <x:c r="C370" s="83"/>
      <x:c r="D370" s="83"/>
      <x:c r="E370" s="83"/>
      <x:c r="F370" s="83"/>
      <x:c r="G370" s="83"/>
      <x:c r="H370" s="83"/>
      <x:c r="I370" s="83"/>
      <x:c r="J370" s="83"/>
      <x:c r="K370" s="83"/>
      <x:c r="L370" s="83"/>
      <x:c r="M370" s="83"/>
      <x:c r="N370" s="83"/>
    </x:row>
    <x:row r="371" ht="15.75" customHeight="1">
      <x:c r="C371" s="83"/>
      <x:c r="D371" s="83"/>
      <x:c r="E371" s="83"/>
      <x:c r="F371" s="83"/>
      <x:c r="G371" s="83"/>
      <x:c r="H371" s="83"/>
      <x:c r="I371" s="83"/>
      <x:c r="J371" s="83"/>
      <x:c r="K371" s="83"/>
      <x:c r="L371" s="83"/>
      <x:c r="M371" s="83"/>
      <x:c r="N371" s="83"/>
    </x:row>
    <x:row r="372" ht="15.75" customHeight="1">
      <x:c r="C372" s="83"/>
      <x:c r="D372" s="83"/>
      <x:c r="E372" s="83"/>
      <x:c r="F372" s="83"/>
      <x:c r="G372" s="83"/>
      <x:c r="H372" s="83"/>
      <x:c r="I372" s="83"/>
      <x:c r="J372" s="83"/>
      <x:c r="K372" s="83"/>
      <x:c r="L372" s="83"/>
      <x:c r="M372" s="83"/>
      <x:c r="N372" s="83"/>
    </x:row>
    <x:row r="373" ht="15.75" customHeight="1">
      <x:c r="C373" s="83"/>
      <x:c r="D373" s="83"/>
      <x:c r="E373" s="83"/>
      <x:c r="F373" s="83"/>
      <x:c r="G373" s="83"/>
      <x:c r="H373" s="83"/>
      <x:c r="I373" s="83"/>
      <x:c r="J373" s="83"/>
      <x:c r="K373" s="83"/>
      <x:c r="L373" s="83"/>
      <x:c r="M373" s="83"/>
      <x:c r="N373" s="83"/>
    </x:row>
    <x:row r="374" ht="15.75" customHeight="1">
      <x:c r="C374" s="83"/>
      <x:c r="D374" s="83"/>
      <x:c r="E374" s="83"/>
      <x:c r="F374" s="83"/>
      <x:c r="G374" s="83"/>
      <x:c r="H374" s="83"/>
      <x:c r="I374" s="83"/>
      <x:c r="J374" s="83"/>
      <x:c r="K374" s="83"/>
      <x:c r="L374" s="83"/>
      <x:c r="M374" s="83"/>
      <x:c r="N374" s="83"/>
    </x:row>
    <x:row r="375" ht="15.75" customHeight="1">
      <x:c r="C375" s="83"/>
      <x:c r="D375" s="83"/>
      <x:c r="E375" s="83"/>
      <x:c r="F375" s="83"/>
      <x:c r="G375" s="83"/>
      <x:c r="H375" s="83"/>
      <x:c r="I375" s="83"/>
      <x:c r="J375" s="83"/>
      <x:c r="K375" s="83"/>
      <x:c r="L375" s="83"/>
      <x:c r="M375" s="83"/>
      <x:c r="N375" s="83"/>
    </x:row>
    <x:row r="376" ht="15.75" customHeight="1">
      <x:c r="C376" s="83"/>
      <x:c r="D376" s="83"/>
      <x:c r="E376" s="83"/>
      <x:c r="F376" s="83"/>
      <x:c r="G376" s="83"/>
      <x:c r="H376" s="83"/>
      <x:c r="I376" s="83"/>
      <x:c r="J376" s="83"/>
      <x:c r="K376" s="83"/>
      <x:c r="L376" s="83"/>
      <x:c r="M376" s="83"/>
      <x:c r="N376" s="83"/>
    </x:row>
    <x:row r="377" ht="15.75" customHeight="1">
      <x:c r="C377" s="83"/>
      <x:c r="D377" s="83"/>
      <x:c r="E377" s="83"/>
      <x:c r="F377" s="83"/>
      <x:c r="G377" s="83"/>
      <x:c r="H377" s="83"/>
      <x:c r="I377" s="83"/>
      <x:c r="J377" s="83"/>
      <x:c r="K377" s="83"/>
      <x:c r="L377" s="83"/>
      <x:c r="M377" s="83"/>
      <x:c r="N377" s="83"/>
    </x:row>
    <x:row r="378" ht="15.75" customHeight="1">
      <x:c r="C378" s="83"/>
      <x:c r="D378" s="83"/>
      <x:c r="E378" s="83"/>
      <x:c r="F378" s="83"/>
      <x:c r="G378" s="83"/>
      <x:c r="H378" s="83"/>
      <x:c r="I378" s="83"/>
      <x:c r="J378" s="83"/>
      <x:c r="K378" s="83"/>
      <x:c r="L378" s="83"/>
      <x:c r="M378" s="83"/>
      <x:c r="N378" s="83"/>
    </x:row>
    <x:row r="379" ht="15.75" customHeight="1">
      <x:c r="C379" s="83"/>
      <x:c r="D379" s="83"/>
      <x:c r="E379" s="83"/>
      <x:c r="F379" s="83"/>
      <x:c r="G379" s="83"/>
      <x:c r="H379" s="83"/>
      <x:c r="I379" s="83"/>
      <x:c r="J379" s="83"/>
      <x:c r="K379" s="83"/>
      <x:c r="L379" s="83"/>
      <x:c r="M379" s="83"/>
      <x:c r="N379" s="83"/>
    </x:row>
    <x:row r="380" ht="15.75" customHeight="1">
      <x:c r="C380" s="83"/>
      <x:c r="D380" s="83"/>
      <x:c r="E380" s="83"/>
      <x:c r="F380" s="83"/>
      <x:c r="G380" s="83"/>
      <x:c r="H380" s="83"/>
      <x:c r="I380" s="83"/>
      <x:c r="J380" s="83"/>
      <x:c r="K380" s="83"/>
      <x:c r="L380" s="83"/>
      <x:c r="M380" s="83"/>
      <x:c r="N380" s="83"/>
    </x:row>
    <x:row r="381" ht="15.75" customHeight="1">
      <x:c r="C381" s="83"/>
      <x:c r="D381" s="83"/>
      <x:c r="E381" s="83"/>
      <x:c r="F381" s="83"/>
      <x:c r="G381" s="83"/>
      <x:c r="H381" s="83"/>
      <x:c r="I381" s="83"/>
      <x:c r="J381" s="83"/>
      <x:c r="K381" s="83"/>
      <x:c r="L381" s="83"/>
      <x:c r="M381" s="83"/>
      <x:c r="N381" s="83"/>
    </x:row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E89:P89"/>
    <x:mergeCell ref="E90:P90"/>
    <x:mergeCell ref="E91:P91"/>
    <x:mergeCell ref="E92:P92"/>
    <x:mergeCell ref="E93:P93"/>
  </x:mergeCells>
  <x:conditionalFormatting sqref="C43:N43">
    <x:cfRule type="cellIs" dxfId="0" priority="1" operator="lessThan">
      <x:formula>-0.005</x:formula>
    </x:cfRule>
  </x:conditionalFormatting>
  <x:conditionalFormatting sqref="C62:N62">
    <x:cfRule type="cellIs" dxfId="0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2b350b4aff8e43fa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4" ySplit="5" topLeftCell="E6" activePane="bottomRight" state="frozen"/>
    </x:sheetView>
  </x:sheetViews>
  <x:sheetFormatPr defaultColWidth="12.630000114440918" defaultRowHeight="15"/>
  <x:cols>
    <x:col min="1" max="1" width="12" customWidth="1"/>
    <x:col min="2" max="2" width="18" customWidth="1"/>
    <x:col min="3" max="3" width="42" customWidth="1"/>
    <x:col min="4" max="4" width="24" customWidth="1"/>
    <x:col min="5" max="6" width="8" customWidth="1"/>
    <x:col min="7" max="7" width="14" customWidth="1"/>
    <x:col min="8" max="8" width="10" customWidth="1"/>
    <x:col min="9" max="9" width="34" customWidth="1"/>
    <x:col min="10" max="10" width="3" customWidth="1"/>
    <x:col min="11" max="22" width="5" customWidth="1"/>
    <x:col min="23" max="26" width="8.630000114440918" customWidth="1"/>
  </x:cols>
  <x:sheetData>
    <x:row r="1">
      <x:c r="A1" s="84" t="str">
        <x:v>ANTECEDENTE — consultar Resumen nuevo, Flujo mensual nuevo y Plan 18 meses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</x:row>
    <x:row r="2">
      <x:c r="A2" s="85" t="s">
        <x:v>239</x:v>
      </x:c>
      <x:c r="B2" s="85" t="s">
        <x:v>240</x:v>
      </x:c>
      <x:c r="C2" s="85"/>
      <x:c r="D2" s="85"/>
      <x:c r="E2" s="85" t="s">
        <x:v>241</x:v>
      </x:c>
      <x:c r="F2" s="85">
        <x:v>7680.0</x:v>
      </x:c>
      <x:c r="G2" s="85" t="s">
        <x:v>211</x:v>
      </x:c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</x:row>
    <x:row r="4">
      <x:c r="A4" s="85"/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</x:row>
    <x:row r="5">
      <x:c r="A5" s="4" t="s">
        <x:v>242</x:v>
      </x:c>
      <x:c r="B5" s="4" t="s">
        <x:v>243</x:v>
      </x:c>
      <x:c r="C5" s="4" t="s">
        <x:v>244</x:v>
      </x:c>
      <x:c r="D5" s="4" t="s">
        <x:v>245</x:v>
      </x:c>
      <x:c r="E5" s="4" t="s">
        <x:v>246</x:v>
      </x:c>
      <x:c r="F5" s="4" t="s">
        <x:v>247</x:v>
      </x:c>
      <x:c r="G5" s="4" t="s">
        <x:v>248</x:v>
      </x:c>
      <x:c r="H5" s="4" t="s">
        <x:v>249</x:v>
      </x:c>
      <x:c r="I5" s="4" t="s">
        <x:v>250</x:v>
      </x:c>
      <x:c r="J5" s="4"/>
      <x:c r="K5" s="4" t="s">
        <x:v>251</x:v>
      </x:c>
      <x:c r="L5" s="4" t="s">
        <x:v>252</x:v>
      </x:c>
      <x:c r="M5" s="4" t="s">
        <x:v>253</x:v>
      </x:c>
      <x:c r="N5" s="4" t="s">
        <x:v>254</x:v>
      </x:c>
      <x:c r="O5" s="4" t="s">
        <x:v>255</x:v>
      </x:c>
      <x:c r="P5" s="4" t="s">
        <x:v>256</x:v>
      </x:c>
      <x:c r="Q5" s="4" t="s">
        <x:v>257</x:v>
      </x:c>
      <x:c r="R5" s="4" t="s">
        <x:v>258</x:v>
      </x:c>
      <x:c r="S5" s="4" t="s">
        <x:v>259</x:v>
      </x:c>
      <x:c r="T5" s="4" t="s">
        <x:v>260</x:v>
      </x:c>
      <x:c r="U5" s="4" t="s">
        <x:v>261</x:v>
      </x:c>
      <x:c r="V5" s="4" t="s">
        <x:v>262</x:v>
      </x:c>
    </x:row>
    <x:row r="6">
      <x:c r="A6" s="86" t="s">
        <x:v>263</x:v>
      </x:c>
      <x:c r="B6" s="87" t="s">
        <x:v>264</x:v>
      </x:c>
      <x:c r="C6" s="87" t="s">
        <x:v>265</x:v>
      </x:c>
      <x:c r="D6" s="87" t="s">
        <x:v>266</x:v>
      </x:c>
      <x:c r="E6" s="88">
        <x:v>1.0</x:v>
      </x:c>
      <x:c r="F6" s="88">
        <x:v>2.0</x:v>
      </x:c>
      <x:c r="G6" s="87" t="s">
        <x:v>267</x:v>
      </x:c>
      <x:c r="H6" s="87" t="s">
        <x:v>268</x:v>
      </x:c>
      <x:c r="I6" s="89" t="s">
        <x:v>269</x:v>
      </x:c>
      <x:c r="J6" s="85"/>
      <x:c r="K6" s="90" t="s">
        <x:v>270</x:v>
      </x:c>
      <x:c r="L6" s="90" t="s">
        <x:v>270</x:v>
      </x:c>
      <x:c r="M6" s="90"/>
      <x:c r="N6" s="90"/>
      <x:c r="O6" s="90"/>
      <x:c r="P6" s="90"/>
      <x:c r="Q6" s="90"/>
      <x:c r="R6" s="90"/>
      <x:c r="S6" s="90"/>
      <x:c r="T6" s="90"/>
      <x:c r="U6" s="90"/>
      <x:c r="V6" s="90"/>
    </x:row>
    <x:row r="7">
      <x:c r="A7" s="91" t="s">
        <x:v>271</x:v>
      </x:c>
      <x:c r="B7" s="92" t="s">
        <x:v>272</x:v>
      </x:c>
      <x:c r="C7" s="92" t="s">
        <x:v>273</x:v>
      </x:c>
      <x:c r="D7" s="92" t="s">
        <x:v>274</x:v>
      </x:c>
      <x:c r="E7" s="93">
        <x:v>1.0</x:v>
      </x:c>
      <x:c r="F7" s="93">
        <x:v>3.0</x:v>
      </x:c>
      <x:c r="G7" s="92" t="s">
        <x:v>263</x:v>
      </x:c>
      <x:c r="H7" s="92" t="s">
        <x:v>268</x:v>
      </x:c>
      <x:c r="I7" s="94" t="s">
        <x:v>275</x:v>
      </x:c>
      <x:c r="J7" s="85"/>
      <x:c r="K7" s="90" t="s">
        <x:v>270</x:v>
      </x:c>
      <x:c r="L7" s="90" t="s">
        <x:v>270</x:v>
      </x:c>
      <x:c r="M7" s="90" t="s">
        <x:v>270</x:v>
      </x:c>
      <x:c r="N7" s="90"/>
      <x:c r="O7" s="90"/>
      <x:c r="P7" s="90"/>
      <x:c r="Q7" s="90"/>
      <x:c r="R7" s="90"/>
      <x:c r="S7" s="90"/>
      <x:c r="T7" s="90"/>
      <x:c r="U7" s="90"/>
      <x:c r="V7" s="90"/>
    </x:row>
    <x:row r="8">
      <x:c r="A8" s="91" t="s">
        <x:v>276</x:v>
      </x:c>
      <x:c r="B8" s="92" t="s">
        <x:v>277</x:v>
      </x:c>
      <x:c r="C8" s="92" t="s">
        <x:v>278</x:v>
      </x:c>
      <x:c r="D8" s="92" t="s">
        <x:v>279</x:v>
      </x:c>
      <x:c r="E8" s="93">
        <x:v>1.0</x:v>
      </x:c>
      <x:c r="F8" s="93">
        <x:v>3.0</x:v>
      </x:c>
      <x:c r="G8" s="92" t="s">
        <x:v>263</x:v>
      </x:c>
      <x:c r="H8" s="92" t="s">
        <x:v>268</x:v>
      </x:c>
      <x:c r="I8" s="94" t="s">
        <x:v>280</x:v>
      </x:c>
      <x:c r="J8" s="85"/>
      <x:c r="K8" s="90" t="s">
        <x:v>270</x:v>
      </x:c>
      <x:c r="L8" s="90" t="s">
        <x:v>270</x:v>
      </x:c>
      <x:c r="M8" s="90" t="s">
        <x:v>270</x:v>
      </x:c>
      <x:c r="N8" s="90"/>
      <x:c r="O8" s="90"/>
      <x:c r="P8" s="90"/>
      <x:c r="Q8" s="90"/>
      <x:c r="R8" s="90"/>
      <x:c r="S8" s="90"/>
      <x:c r="T8" s="90"/>
      <x:c r="U8" s="90"/>
      <x:c r="V8" s="90"/>
    </x:row>
    <x:row r="9">
      <x:c r="A9" s="91" t="s">
        <x:v>281</x:v>
      </x:c>
      <x:c r="B9" s="92" t="s">
        <x:v>282</x:v>
      </x:c>
      <x:c r="C9" s="92" t="s">
        <x:v>283</x:v>
      </x:c>
      <x:c r="D9" s="92" t="s">
        <x:v>274</x:v>
      </x:c>
      <x:c r="E9" s="93">
        <x:v>1.0</x:v>
      </x:c>
      <x:c r="F9" s="93">
        <x:v>2.0</x:v>
      </x:c>
      <x:c r="G9" s="92" t="s">
        <x:v>263</x:v>
      </x:c>
      <x:c r="H9" s="92" t="s">
        <x:v>268</x:v>
      </x:c>
      <x:c r="I9" s="94" t="s">
        <x:v>284</x:v>
      </x:c>
      <x:c r="J9" s="85"/>
      <x:c r="K9" s="90" t="s">
        <x:v>270</x:v>
      </x:c>
      <x:c r="L9" s="90" t="s">
        <x:v>270</x:v>
      </x:c>
      <x:c r="M9" s="90"/>
      <x:c r="N9" s="90"/>
      <x:c r="O9" s="90"/>
      <x:c r="P9" s="90"/>
      <x:c r="Q9" s="90"/>
      <x:c r="R9" s="90"/>
      <x:c r="S9" s="90"/>
      <x:c r="T9" s="90"/>
      <x:c r="U9" s="90"/>
      <x:c r="V9" s="90"/>
    </x:row>
    <x:row r="10">
      <x:c r="A10" s="91" t="s">
        <x:v>285</x:v>
      </x:c>
      <x:c r="B10" s="92" t="s">
        <x:v>282</x:v>
      </x:c>
      <x:c r="C10" s="92" t="s">
        <x:v>286</x:v>
      </x:c>
      <x:c r="D10" s="92" t="s">
        <x:v>287</x:v>
      </x:c>
      <x:c r="E10" s="93">
        <x:v>2.0</x:v>
      </x:c>
      <x:c r="F10" s="93">
        <x:v>3.0</x:v>
      </x:c>
      <x:c r="G10" s="92" t="s">
        <x:v>288</x:v>
      </x:c>
      <x:c r="H10" s="92" t="s">
        <x:v>268</x:v>
      </x:c>
      <x:c r="I10" s="94" t="s">
        <x:v>289</x:v>
      </x:c>
      <x:c r="J10" s="85"/>
      <x:c r="K10" s="90"/>
      <x:c r="L10" s="90" t="s">
        <x:v>270</x:v>
      </x:c>
      <x:c r="M10" s="90" t="s">
        <x:v>270</x:v>
      </x:c>
      <x:c r="N10" s="90"/>
      <x:c r="O10" s="90"/>
      <x:c r="P10" s="90"/>
      <x:c r="Q10" s="90"/>
      <x:c r="R10" s="90"/>
      <x:c r="S10" s="90"/>
      <x:c r="T10" s="90"/>
      <x:c r="U10" s="90"/>
      <x:c r="V10" s="90"/>
    </x:row>
    <x:row r="11">
      <x:c r="A11" s="91" t="s">
        <x:v>290</x:v>
      </x:c>
      <x:c r="B11" s="92" t="s">
        <x:v>264</x:v>
      </x:c>
      <x:c r="C11" s="92" t="s">
        <x:v>291</x:v>
      </x:c>
      <x:c r="D11" s="92" t="s">
        <x:v>292</x:v>
      </x:c>
      <x:c r="E11" s="93">
        <x:v>3.0</x:v>
      </x:c>
      <x:c r="F11" s="93">
        <x:v>3.0</x:v>
      </x:c>
      <x:c r="G11" s="92" t="s">
        <x:v>293</x:v>
      </x:c>
      <x:c r="H11" s="92" t="s">
        <x:v>294</x:v>
      </x:c>
      <x:c r="I11" s="94" t="s">
        <x:v>295</x:v>
      </x:c>
      <x:c r="J11" s="85"/>
      <x:c r="K11" s="95"/>
      <x:c r="L11" s="95"/>
      <x:c r="M11" s="95" t="s">
        <x:v>296</x:v>
      </x:c>
      <x:c r="N11" s="95"/>
      <x:c r="O11" s="95"/>
      <x:c r="P11" s="95"/>
      <x:c r="Q11" s="95"/>
      <x:c r="R11" s="95"/>
      <x:c r="S11" s="95"/>
      <x:c r="T11" s="95"/>
      <x:c r="U11" s="95"/>
      <x:c r="V11" s="95"/>
    </x:row>
    <x:row r="12">
      <x:c r="A12" s="91" t="s">
        <x:v>297</x:v>
      </x:c>
      <x:c r="B12" s="92" t="s">
        <x:v>282</x:v>
      </x:c>
      <x:c r="C12" s="92" t="s">
        <x:v>298</x:v>
      </x:c>
      <x:c r="D12" s="92" t="s">
        <x:v>299</x:v>
      </x:c>
      <x:c r="E12" s="93">
        <x:v>3.0</x:v>
      </x:c>
      <x:c r="F12" s="93">
        <x:v>6.0</x:v>
      </x:c>
      <x:c r="G12" s="92" t="s">
        <x:v>290</x:v>
      </x:c>
      <x:c r="H12" s="92" t="s">
        <x:v>268</x:v>
      </x:c>
      <x:c r="I12" s="94" t="s">
        <x:v>300</x:v>
      </x:c>
      <x:c r="J12" s="85"/>
      <x:c r="K12" s="90"/>
      <x:c r="L12" s="90"/>
      <x:c r="M12" s="90" t="s">
        <x:v>270</x:v>
      </x:c>
      <x:c r="N12" s="90" t="s">
        <x:v>270</x:v>
      </x:c>
      <x:c r="O12" s="90" t="s">
        <x:v>270</x:v>
      </x:c>
      <x:c r="P12" s="90" t="s">
        <x:v>270</x:v>
      </x:c>
      <x:c r="Q12" s="90"/>
      <x:c r="R12" s="90"/>
      <x:c r="S12" s="90"/>
      <x:c r="T12" s="90"/>
      <x:c r="U12" s="90"/>
      <x:c r="V12" s="90"/>
    </x:row>
    <x:row r="13">
      <x:c r="A13" s="91" t="s">
        <x:v>301</x:v>
      </x:c>
      <x:c r="B13" s="92" t="s">
        <x:v>302</x:v>
      </x:c>
      <x:c r="C13" s="92" t="s">
        <x:v>303</x:v>
      </x:c>
      <x:c r="D13" s="92" t="s">
        <x:v>304</x:v>
      </x:c>
      <x:c r="E13" s="93">
        <x:v>2.0</x:v>
      </x:c>
      <x:c r="F13" s="93">
        <x:v>6.0</x:v>
      </x:c>
      <x:c r="G13" s="92" t="s">
        <x:v>290</x:v>
      </x:c>
      <x:c r="H13" s="92" t="s">
        <x:v>268</x:v>
      </x:c>
      <x:c r="I13" s="94" t="s">
        <x:v>305</x:v>
      </x:c>
      <x:c r="J13" s="85"/>
      <x:c r="K13" s="90"/>
      <x:c r="L13" s="90" t="s">
        <x:v>270</x:v>
      </x:c>
      <x:c r="M13" s="90" t="s">
        <x:v>270</x:v>
      </x:c>
      <x:c r="N13" s="90" t="s">
        <x:v>270</x:v>
      </x:c>
      <x:c r="O13" s="90" t="s">
        <x:v>270</x:v>
      </x:c>
      <x:c r="P13" s="90" t="s">
        <x:v>270</x:v>
      </x:c>
      <x:c r="Q13" s="90"/>
      <x:c r="R13" s="90"/>
      <x:c r="S13" s="90"/>
      <x:c r="T13" s="90"/>
      <x:c r="U13" s="90"/>
      <x:c r="V13" s="90"/>
    </x:row>
    <x:row r="14">
      <x:c r="A14" s="91" t="s">
        <x:v>306</x:v>
      </x:c>
      <x:c r="B14" s="92" t="s">
        <x:v>307</x:v>
      </x:c>
      <x:c r="C14" s="92" t="s">
        <x:v>308</x:v>
      </x:c>
      <x:c r="D14" s="92" t="s">
        <x:v>309</x:v>
      </x:c>
      <x:c r="E14" s="93">
        <x:v>2.0</x:v>
      </x:c>
      <x:c r="F14" s="93">
        <x:v>6.0</x:v>
      </x:c>
      <x:c r="G14" s="92" t="s">
        <x:v>290</x:v>
      </x:c>
      <x:c r="H14" s="92" t="s">
        <x:v>268</x:v>
      </x:c>
      <x:c r="I14" s="94" t="s">
        <x:v>305</x:v>
      </x:c>
      <x:c r="J14" s="85"/>
      <x:c r="K14" s="90"/>
      <x:c r="L14" s="90" t="s">
        <x:v>270</x:v>
      </x:c>
      <x:c r="M14" s="90" t="s">
        <x:v>270</x:v>
      </x:c>
      <x:c r="N14" s="90" t="s">
        <x:v>270</x:v>
      </x:c>
      <x:c r="O14" s="90" t="s">
        <x:v>270</x:v>
      </x:c>
      <x:c r="P14" s="90" t="s">
        <x:v>270</x:v>
      </x:c>
      <x:c r="Q14" s="90"/>
      <x:c r="R14" s="90"/>
      <x:c r="S14" s="90"/>
      <x:c r="T14" s="90"/>
      <x:c r="U14" s="90"/>
      <x:c r="V14" s="90"/>
    </x:row>
    <x:row r="15">
      <x:c r="A15" s="91" t="s">
        <x:v>310</x:v>
      </x:c>
      <x:c r="B15" s="92" t="s">
        <x:v>311</x:v>
      </x:c>
      <x:c r="C15" s="92" t="s">
        <x:v>312</x:v>
      </x:c>
      <x:c r="D15" s="92" t="s">
        <x:v>313</x:v>
      </x:c>
      <x:c r="E15" s="93">
        <x:v>2.0</x:v>
      </x:c>
      <x:c r="F15" s="93">
        <x:v>7.0</x:v>
      </x:c>
      <x:c r="G15" s="92" t="s">
        <x:v>290</x:v>
      </x:c>
      <x:c r="H15" s="92" t="s">
        <x:v>268</x:v>
      </x:c>
      <x:c r="I15" s="94" t="s">
        <x:v>314</x:v>
      </x:c>
      <x:c r="J15" s="85"/>
      <x:c r="K15" s="90"/>
      <x:c r="L15" s="90" t="s">
        <x:v>270</x:v>
      </x:c>
      <x:c r="M15" s="90" t="s">
        <x:v>270</x:v>
      </x:c>
      <x:c r="N15" s="90" t="s">
        <x:v>270</x:v>
      </x:c>
      <x:c r="O15" s="90" t="s">
        <x:v>270</x:v>
      </x:c>
      <x:c r="P15" s="90" t="s">
        <x:v>270</x:v>
      </x:c>
      <x:c r="Q15" s="90" t="s">
        <x:v>270</x:v>
      </x:c>
      <x:c r="R15" s="90"/>
      <x:c r="S15" s="90"/>
      <x:c r="T15" s="90"/>
      <x:c r="U15" s="90"/>
      <x:c r="V15" s="90"/>
    </x:row>
    <x:row r="16">
      <x:c r="A16" s="91" t="s">
        <x:v>315</x:v>
      </x:c>
      <x:c r="B16" s="92" t="s">
        <x:v>316</x:v>
      </x:c>
      <x:c r="C16" s="92" t="s">
        <x:v>317</x:v>
      </x:c>
      <x:c r="D16" s="92" t="s">
        <x:v>318</x:v>
      </x:c>
      <x:c r="E16" s="93">
        <x:v>2.0</x:v>
      </x:c>
      <x:c r="F16" s="93">
        <x:v>4.0</x:v>
      </x:c>
      <x:c r="G16" s="92" t="s">
        <x:v>276</x:v>
      </x:c>
      <x:c r="H16" s="92" t="s">
        <x:v>268</x:v>
      </x:c>
      <x:c r="I16" s="94" t="s">
        <x:v>319</x:v>
      </x:c>
      <x:c r="J16" s="85"/>
      <x:c r="K16" s="90"/>
      <x:c r="L16" s="90" t="s">
        <x:v>270</x:v>
      </x:c>
      <x:c r="M16" s="90" t="s">
        <x:v>270</x:v>
      </x:c>
      <x:c r="N16" s="90" t="s">
        <x:v>270</x:v>
      </x:c>
      <x:c r="O16" s="90"/>
      <x:c r="P16" s="90"/>
      <x:c r="Q16" s="90"/>
      <x:c r="R16" s="90"/>
      <x:c r="S16" s="90"/>
      <x:c r="T16" s="90"/>
      <x:c r="U16" s="90"/>
      <x:c r="V16" s="90"/>
    </x:row>
    <x:row r="17">
      <x:c r="A17" s="91" t="s">
        <x:v>320</x:v>
      </x:c>
      <x:c r="B17" s="92" t="s">
        <x:v>321</x:v>
      </x:c>
      <x:c r="C17" s="92" t="s">
        <x:v>322</x:v>
      </x:c>
      <x:c r="D17" s="92" t="s">
        <x:v>323</x:v>
      </x:c>
      <x:c r="E17" s="93">
        <x:v>6.0</x:v>
      </x:c>
      <x:c r="F17" s="93">
        <x:v>6.0</x:v>
      </x:c>
      <x:c r="G17" s="92" t="s">
        <x:v>324</x:v>
      </x:c>
      <x:c r="H17" s="92" t="s">
        <x:v>294</x:v>
      </x:c>
      <x:c r="I17" s="94" t="s">
        <x:v>325</x:v>
      </x:c>
      <x:c r="J17" s="85"/>
      <x:c r="K17" s="95"/>
      <x:c r="L17" s="95"/>
      <x:c r="M17" s="95"/>
      <x:c r="N17" s="95"/>
      <x:c r="O17" s="95"/>
      <x:c r="P17" s="95" t="s">
        <x:v>296</x:v>
      </x:c>
      <x:c r="Q17" s="95"/>
      <x:c r="R17" s="95"/>
      <x:c r="S17" s="95"/>
      <x:c r="T17" s="95"/>
      <x:c r="U17" s="95"/>
      <x:c r="V17" s="95"/>
    </x:row>
    <x:row r="18">
      <x:c r="A18" s="91" t="s">
        <x:v>326</x:v>
      </x:c>
      <x:c r="B18" s="92" t="s">
        <x:v>321</x:v>
      </x:c>
      <x:c r="C18" s="92" t="s">
        <x:v>327</x:v>
      </x:c>
      <x:c r="D18" s="92" t="s">
        <x:v>323</x:v>
      </x:c>
      <x:c r="E18" s="93">
        <x:v>6.0</x:v>
      </x:c>
      <x:c r="F18" s="93">
        <x:v>7.0</x:v>
      </x:c>
      <x:c r="G18" s="92" t="s">
        <x:v>320</x:v>
      </x:c>
      <x:c r="H18" s="92" t="s">
        <x:v>268</x:v>
      </x:c>
      <x:c r="I18" s="94" t="s">
        <x:v>328</x:v>
      </x:c>
      <x:c r="J18" s="85"/>
      <x:c r="K18" s="90"/>
      <x:c r="L18" s="90"/>
      <x:c r="M18" s="90"/>
      <x:c r="N18" s="90"/>
      <x:c r="O18" s="90"/>
      <x:c r="P18" s="90" t="s">
        <x:v>270</x:v>
      </x:c>
      <x:c r="Q18" s="90" t="s">
        <x:v>270</x:v>
      </x:c>
      <x:c r="R18" s="90"/>
      <x:c r="S18" s="90"/>
      <x:c r="T18" s="90"/>
      <x:c r="U18" s="90"/>
      <x:c r="V18" s="90"/>
    </x:row>
    <x:row r="19">
      <x:c r="A19" s="91" t="s">
        <x:v>329</x:v>
      </x:c>
      <x:c r="B19" s="92" t="s">
        <x:v>321</x:v>
      </x:c>
      <x:c r="C19" s="92" t="s">
        <x:v>330</x:v>
      </x:c>
      <x:c r="D19" s="92" t="s">
        <x:v>292</x:v>
      </x:c>
      <x:c r="E19" s="93">
        <x:v>7.0</x:v>
      </x:c>
      <x:c r="F19" s="93">
        <x:v>7.0</x:v>
      </x:c>
      <x:c r="G19" s="92" t="s">
        <x:v>326</x:v>
      </x:c>
      <x:c r="H19" s="92" t="s">
        <x:v>294</x:v>
      </x:c>
      <x:c r="I19" s="94" t="s">
        <x:v>331</x:v>
      </x:c>
      <x:c r="J19" s="85"/>
      <x:c r="K19" s="95"/>
      <x:c r="L19" s="95"/>
      <x:c r="M19" s="95"/>
      <x:c r="N19" s="95"/>
      <x:c r="O19" s="95"/>
      <x:c r="P19" s="95"/>
      <x:c r="Q19" s="95" t="s">
        <x:v>296</x:v>
      </x:c>
      <x:c r="R19" s="95"/>
      <x:c r="S19" s="95"/>
      <x:c r="T19" s="95"/>
      <x:c r="U19" s="95"/>
      <x:c r="V19" s="95"/>
    </x:row>
    <x:row r="20">
      <x:c r="A20" s="91" t="s">
        <x:v>332</x:v>
      </x:c>
      <x:c r="B20" s="92" t="s">
        <x:v>333</x:v>
      </x:c>
      <x:c r="C20" s="92" t="s">
        <x:v>334</x:v>
      </x:c>
      <x:c r="D20" s="92" t="s">
        <x:v>335</x:v>
      </x:c>
      <x:c r="E20" s="93">
        <x:v>7.0</x:v>
      </x:c>
      <x:c r="F20" s="93">
        <x:v>9.0</x:v>
      </x:c>
      <x:c r="G20" s="92" t="s">
        <x:v>329</x:v>
      </x:c>
      <x:c r="H20" s="92" t="s">
        <x:v>268</x:v>
      </x:c>
      <x:c r="I20" s="94" t="s">
        <x:v>336</x:v>
      </x:c>
      <x:c r="J20" s="85"/>
      <x:c r="K20" s="90"/>
      <x:c r="L20" s="90"/>
      <x:c r="M20" s="90"/>
      <x:c r="N20" s="90"/>
      <x:c r="O20" s="90"/>
      <x:c r="P20" s="90"/>
      <x:c r="Q20" s="90" t="s">
        <x:v>270</x:v>
      </x:c>
      <x:c r="R20" s="90" t="s">
        <x:v>270</x:v>
      </x:c>
      <x:c r="S20" s="90" t="s">
        <x:v>270</x:v>
      </x:c>
      <x:c r="T20" s="90"/>
      <x:c r="U20" s="90"/>
      <x:c r="V20" s="90"/>
    </x:row>
    <x:row r="21" ht="15.75" customHeight="1">
      <x:c r="A21" s="91" t="s">
        <x:v>337</x:v>
      </x:c>
      <x:c r="B21" s="92" t="s">
        <x:v>333</x:v>
      </x:c>
      <x:c r="C21" s="92" t="s">
        <x:v>338</x:v>
      </x:c>
      <x:c r="D21" s="92" t="s">
        <x:v>339</x:v>
      </x:c>
      <x:c r="E21" s="93">
        <x:v>7.0</x:v>
      </x:c>
      <x:c r="F21" s="93">
        <x:v>9.0</x:v>
      </x:c>
      <x:c r="G21" s="92" t="s">
        <x:v>329</x:v>
      </x:c>
      <x:c r="H21" s="92" t="s">
        <x:v>268</x:v>
      </x:c>
      <x:c r="I21" s="94" t="s">
        <x:v>340</x:v>
      </x:c>
      <x:c r="J21" s="85"/>
      <x:c r="K21" s="90"/>
      <x:c r="L21" s="90"/>
      <x:c r="M21" s="90"/>
      <x:c r="N21" s="90"/>
      <x:c r="O21" s="90"/>
      <x:c r="P21" s="90"/>
      <x:c r="Q21" s="90" t="s">
        <x:v>270</x:v>
      </x:c>
      <x:c r="R21" s="90" t="s">
        <x:v>270</x:v>
      </x:c>
      <x:c r="S21" s="90" t="s">
        <x:v>270</x:v>
      </x:c>
      <x:c r="T21" s="90"/>
      <x:c r="U21" s="90"/>
      <x:c r="V21" s="90"/>
    </x:row>
    <x:row r="22" ht="15.75" customHeight="1">
      <x:c r="A22" s="91" t="s">
        <x:v>341</x:v>
      </x:c>
      <x:c r="B22" s="92" t="s">
        <x:v>333</x:v>
      </x:c>
      <x:c r="C22" s="92" t="s">
        <x:v>342</x:v>
      </x:c>
      <x:c r="D22" s="92" t="s">
        <x:v>343</x:v>
      </x:c>
      <x:c r="E22" s="93">
        <x:v>8.0</x:v>
      </x:c>
      <x:c r="F22" s="93">
        <x:v>10.0</x:v>
      </x:c>
      <x:c r="G22" s="92" t="s">
        <x:v>329</x:v>
      </x:c>
      <x:c r="H22" s="92" t="s">
        <x:v>268</x:v>
      </x:c>
      <x:c r="I22" s="94" t="s">
        <x:v>344</x:v>
      </x:c>
      <x:c r="J22" s="85"/>
      <x:c r="K22" s="90"/>
      <x:c r="L22" s="90"/>
      <x:c r="M22" s="90"/>
      <x:c r="N22" s="90"/>
      <x:c r="O22" s="90"/>
      <x:c r="P22" s="90"/>
      <x:c r="Q22" s="90"/>
      <x:c r="R22" s="90" t="s">
        <x:v>270</x:v>
      </x:c>
      <x:c r="S22" s="90" t="s">
        <x:v>270</x:v>
      </x:c>
      <x:c r="T22" s="90" t="s">
        <x:v>270</x:v>
      </x:c>
      <x:c r="U22" s="90"/>
      <x:c r="V22" s="90"/>
    </x:row>
    <x:row r="23" ht="15.75" customHeight="1">
      <x:c r="A23" s="91" t="s">
        <x:v>345</x:v>
      </x:c>
      <x:c r="B23" s="92" t="s">
        <x:v>333</x:v>
      </x:c>
      <x:c r="C23" s="92" t="s">
        <x:v>346</x:v>
      </x:c>
      <x:c r="D23" s="92" t="s">
        <x:v>347</x:v>
      </x:c>
      <x:c r="E23" s="93">
        <x:v>7.0</x:v>
      </x:c>
      <x:c r="F23" s="93">
        <x:v>10.0</x:v>
      </x:c>
      <x:c r="G23" s="92" t="s">
        <x:v>329</x:v>
      </x:c>
      <x:c r="H23" s="92" t="s">
        <x:v>268</x:v>
      </x:c>
      <x:c r="I23" s="94" t="s">
        <x:v>348</x:v>
      </x:c>
      <x:c r="J23" s="85"/>
      <x:c r="K23" s="90"/>
      <x:c r="L23" s="90"/>
      <x:c r="M23" s="90"/>
      <x:c r="N23" s="90"/>
      <x:c r="O23" s="90"/>
      <x:c r="P23" s="90"/>
      <x:c r="Q23" s="90" t="s">
        <x:v>270</x:v>
      </x:c>
      <x:c r="R23" s="90" t="s">
        <x:v>270</x:v>
      </x:c>
      <x:c r="S23" s="90" t="s">
        <x:v>270</x:v>
      </x:c>
      <x:c r="T23" s="90" t="s">
        <x:v>270</x:v>
      </x:c>
      <x:c r="U23" s="90"/>
      <x:c r="V23" s="90"/>
    </x:row>
    <x:row r="24" ht="15.75" customHeight="1">
      <x:c r="A24" s="91" t="s">
        <x:v>349</x:v>
      </x:c>
      <x:c r="B24" s="92" t="s">
        <x:v>350</x:v>
      </x:c>
      <x:c r="C24" s="92" t="s">
        <x:v>351</x:v>
      </x:c>
      <x:c r="D24" s="92" t="s">
        <x:v>323</x:v>
      </x:c>
      <x:c r="E24" s="93">
        <x:v>9.0</x:v>
      </x:c>
      <x:c r="F24" s="93">
        <x:v>10.0</x:v>
      </x:c>
      <x:c r="G24" s="92" t="s">
        <x:v>352</x:v>
      </x:c>
      <x:c r="H24" s="92" t="s">
        <x:v>268</x:v>
      </x:c>
      <x:c r="I24" s="94" t="s">
        <x:v>353</x:v>
      </x:c>
      <x:c r="J24" s="85"/>
      <x:c r="K24" s="90"/>
      <x:c r="L24" s="90"/>
      <x:c r="M24" s="90"/>
      <x:c r="N24" s="90"/>
      <x:c r="O24" s="90"/>
      <x:c r="P24" s="90"/>
      <x:c r="Q24" s="90"/>
      <x:c r="R24" s="90"/>
      <x:c r="S24" s="90" t="s">
        <x:v>270</x:v>
      </x:c>
      <x:c r="T24" s="90" t="s">
        <x:v>270</x:v>
      </x:c>
      <x:c r="U24" s="90"/>
      <x:c r="V24" s="90"/>
    </x:row>
    <x:row r="25" ht="15.75" customHeight="1">
      <x:c r="A25" s="91" t="s">
        <x:v>354</x:v>
      </x:c>
      <x:c r="B25" s="92" t="s">
        <x:v>355</x:v>
      </x:c>
      <x:c r="C25" s="92" t="s">
        <x:v>356</x:v>
      </x:c>
      <x:c r="D25" s="92" t="s">
        <x:v>292</x:v>
      </x:c>
      <x:c r="E25" s="93">
        <x:v>10.0</x:v>
      </x:c>
      <x:c r="F25" s="93">
        <x:v>10.0</x:v>
      </x:c>
      <x:c r="G25" s="92" t="s">
        <x:v>349</x:v>
      </x:c>
      <x:c r="H25" s="92" t="s">
        <x:v>294</x:v>
      </x:c>
      <x:c r="I25" s="94" t="s">
        <x:v>357</x:v>
      </x:c>
      <x:c r="J25" s="8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 t="s">
        <x:v>296</x:v>
      </x:c>
      <x:c r="U25" s="95"/>
      <x:c r="V25" s="95"/>
    </x:row>
    <x:row r="26" ht="15.75" customHeight="1">
      <x:c r="A26" s="91" t="s">
        <x:v>358</x:v>
      </x:c>
      <x:c r="B26" s="92" t="s">
        <x:v>355</x:v>
      </x:c>
      <x:c r="C26" s="92" t="s">
        <x:v>359</x:v>
      </x:c>
      <x:c r="D26" s="92" t="s">
        <x:v>360</x:v>
      </x:c>
      <x:c r="E26" s="93">
        <x:v>10.0</x:v>
      </x:c>
      <x:c r="F26" s="93">
        <x:v>11.0</x:v>
      </x:c>
      <x:c r="G26" s="92" t="s">
        <x:v>354</x:v>
      </x:c>
      <x:c r="H26" s="92" t="s">
        <x:v>268</x:v>
      </x:c>
      <x:c r="I26" s="94" t="s">
        <x:v>361</x:v>
      </x:c>
      <x:c r="J26" s="85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 t="s">
        <x:v>270</x:v>
      </x:c>
      <x:c r="U26" s="90" t="s">
        <x:v>270</x:v>
      </x:c>
      <x:c r="V26" s="90"/>
    </x:row>
    <x:row r="27" ht="15.75" customHeight="1">
      <x:c r="A27" s="91" t="s">
        <x:v>362</x:v>
      </x:c>
      <x:c r="B27" s="92" t="s">
        <x:v>363</x:v>
      </x:c>
      <x:c r="C27" s="92" t="s">
        <x:v>364</x:v>
      </x:c>
      <x:c r="D27" s="92" t="s">
        <x:v>365</x:v>
      </x:c>
      <x:c r="E27" s="93">
        <x:v>10.0</x:v>
      </x:c>
      <x:c r="F27" s="93">
        <x:v>12.0</x:v>
      </x:c>
      <x:c r="G27" s="92" t="s">
        <x:v>354</x:v>
      </x:c>
      <x:c r="H27" s="92" t="s">
        <x:v>268</x:v>
      </x:c>
      <x:c r="I27" s="94" t="s">
        <x:v>366</x:v>
      </x:c>
      <x:c r="J27" s="85"/>
      <x:c r="K27" s="90"/>
      <x:c r="L27" s="90"/>
      <x:c r="M27" s="90"/>
      <x:c r="N27" s="90"/>
      <x:c r="O27" s="90"/>
      <x:c r="P27" s="90"/>
      <x:c r="Q27" s="90"/>
      <x:c r="R27" s="90"/>
      <x:c r="S27" s="90"/>
      <x:c r="T27" s="90" t="s">
        <x:v>270</x:v>
      </x:c>
      <x:c r="U27" s="90" t="s">
        <x:v>270</x:v>
      </x:c>
      <x:c r="V27" s="90" t="s">
        <x:v>270</x:v>
      </x:c>
    </x:row>
    <x:row r="28" ht="15.75" customHeight="1">
      <x:c r="A28" s="91" t="s">
        <x:v>367</x:v>
      </x:c>
      <x:c r="B28" s="92" t="s">
        <x:v>368</x:v>
      </x:c>
      <x:c r="C28" s="92" t="s">
        <x:v>369</x:v>
      </x:c>
      <x:c r="D28" s="92" t="s">
        <x:v>274</x:v>
      </x:c>
      <x:c r="E28" s="93">
        <x:v>10.0</x:v>
      </x:c>
      <x:c r="F28" s="93">
        <x:v>12.0</x:v>
      </x:c>
      <x:c r="G28" s="92" t="s">
        <x:v>354</x:v>
      </x:c>
      <x:c r="H28" s="92" t="s">
        <x:v>268</x:v>
      </x:c>
      <x:c r="I28" s="94" t="s">
        <x:v>370</x:v>
      </x:c>
      <x:c r="J28" s="85"/>
      <x:c r="K28" s="90"/>
      <x:c r="L28" s="90"/>
      <x:c r="M28" s="90"/>
      <x:c r="N28" s="90"/>
      <x:c r="O28" s="90"/>
      <x:c r="P28" s="90"/>
      <x:c r="Q28" s="90"/>
      <x:c r="R28" s="90"/>
      <x:c r="S28" s="90"/>
      <x:c r="T28" s="90" t="s">
        <x:v>270</x:v>
      </x:c>
      <x:c r="U28" s="90" t="s">
        <x:v>270</x:v>
      </x:c>
      <x:c r="V28" s="90" t="s">
        <x:v>270</x:v>
      </x:c>
    </x:row>
    <x:row r="29" ht="15.75" customHeight="1">
      <x:c r="A29" s="91" t="s">
        <x:v>371</x:v>
      </x:c>
      <x:c r="B29" s="92" t="s">
        <x:v>372</x:v>
      </x:c>
      <x:c r="C29" s="92" t="s">
        <x:v>373</x:v>
      </x:c>
      <x:c r="D29" s="92" t="s">
        <x:v>374</x:v>
      </x:c>
      <x:c r="E29" s="93">
        <x:v>9.0</x:v>
      </x:c>
      <x:c r="F29" s="93">
        <x:v>12.0</x:v>
      </x:c>
      <x:c r="G29" s="92" t="s">
        <x:v>271</x:v>
      </x:c>
      <x:c r="H29" s="92" t="s">
        <x:v>268</x:v>
      </x:c>
      <x:c r="I29" s="94" t="s">
        <x:v>375</x:v>
      </x:c>
      <x:c r="J29" s="85"/>
      <x:c r="K29" s="90"/>
      <x:c r="L29" s="90"/>
      <x:c r="M29" s="90"/>
      <x:c r="N29" s="90"/>
      <x:c r="O29" s="90"/>
      <x:c r="P29" s="90"/>
      <x:c r="Q29" s="90"/>
      <x:c r="R29" s="90"/>
      <x:c r="S29" s="90" t="s">
        <x:v>270</x:v>
      </x:c>
      <x:c r="T29" s="90" t="s">
        <x:v>270</x:v>
      </x:c>
      <x:c r="U29" s="90" t="s">
        <x:v>270</x:v>
      </x:c>
      <x:c r="V29" s="90" t="s">
        <x:v>270</x:v>
      </x:c>
    </x:row>
    <x:row r="30" ht="15.75" customHeight="1">
      <x:c r="A30" s="96" t="s">
        <x:v>376</x:v>
      </x:c>
      <x:c r="B30" s="97" t="s">
        <x:v>355</x:v>
      </x:c>
      <x:c r="C30" s="97" t="s">
        <x:v>377</x:v>
      </x:c>
      <x:c r="D30" s="97" t="s">
        <x:v>378</x:v>
      </x:c>
      <x:c r="E30" s="98">
        <x:v>12.0</x:v>
      </x:c>
      <x:c r="F30" s="98">
        <x:v>12.0</x:v>
      </x:c>
      <x:c r="G30" s="97" t="s">
        <x:v>379</x:v>
      </x:c>
      <x:c r="H30" s="97" t="s">
        <x:v>294</x:v>
      </x:c>
      <x:c r="I30" s="99" t="s">
        <x:v>380</x:v>
      </x:c>
      <x:c r="J30" s="8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 t="s">
        <x:v>296</x:v>
      </x:c>
    </x:row>
    <x:row r="31" ht="15.75" customHeight="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</x:row>
    <x:row r="32" ht="15.75" customHeight="1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</x:row>
    <x:row r="33" ht="15.75" customHeight="1">
      <x:c r="A33" s="100" t="s">
        <x:v>381</x:v>
      </x:c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2"/>
    </x:row>
    <x:row r="34" ht="42" customHeight="1">
      <x:c r="A34" s="103" t="s">
        <x:v>382</x:v>
      </x:c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</x:row>
    <x:row r="35" ht="15.75" customHeight="1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</x:row>
    <x:row r="36" ht="15.75" customHeight="1">
      <x:c r="A36" s="4" t="s">
        <x:v>383</x:v>
      </x:c>
      <x:c r="B36" s="4" t="s">
        <x:v>384</x:v>
      </x:c>
      <x:c r="C36" s="4" t="s">
        <x:v>385</x:v>
      </x:c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</x:row>
    <x:row r="37" ht="15.75" customHeight="1">
      <x:c r="A37" s="85" t="s">
        <x:v>386</x:v>
      </x:c>
      <x:c r="B37" s="103" t="s">
        <x:v>387</x:v>
      </x:c>
      <x:c r="C37" s="103" t="s">
        <x:v>388</x:v>
      </x:c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</x:row>
    <x:row r="38" ht="15.75" customHeight="1">
      <x:c r="A38" s="85" t="s">
        <x:v>389</x:v>
      </x:c>
      <x:c r="B38" s="103" t="s">
        <x:v>390</x:v>
      </x:c>
      <x:c r="C38" s="103" t="s">
        <x:v>391</x:v>
      </x:c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</x:row>
    <x:row r="39" ht="15.75" customHeight="1">
      <x:c r="A39" s="85" t="s">
        <x:v>392</x:v>
      </x:c>
      <x:c r="B39" s="103" t="s">
        <x:v>393</x:v>
      </x:c>
      <x:c r="C39" s="103" t="s">
        <x:v>394</x:v>
      </x:c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</x:row>
    <x:row r="40" ht="15.75" customHeight="1">
      <x:c r="A40" s="85" t="s">
        <x:v>395</x:v>
      </x:c>
      <x:c r="B40" s="103" t="s">
        <x:v>396</x:v>
      </x:c>
      <x:c r="C40" s="103" t="s">
        <x:v>397</x:v>
      </x:c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</x:row>
    <x:row r="41" ht="15.75" customHeight="1">
      <x:c r="A41" s="85" t="s">
        <x:v>398</x:v>
      </x:c>
      <x:c r="B41" s="103" t="s">
        <x:v>399</x:v>
      </x:c>
      <x:c r="C41" s="103" t="s">
        <x:v>400</x:v>
      </x:c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</x:row>
    <x:row r="42" ht="15.75" customHeight="1">
      <x:c r="A42" s="85" t="s">
        <x:v>401</x:v>
      </x:c>
      <x:c r="B42" s="103" t="s">
        <x:v>402</x:v>
      </x:c>
      <x:c r="C42" s="103" t="s">
        <x:v>403</x:v>
      </x:c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</x:row>
    <x:row r="43" ht="15.75" customHeight="1">
      <x:c r="A43" s="85" t="s">
        <x:v>404</x:v>
      </x:c>
      <x:c r="B43" s="103" t="s">
        <x:v>405</x:v>
      </x:c>
      <x:c r="C43" s="103" t="s">
        <x:v>406</x:v>
      </x:c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</x:row>
    <x:row r="44" ht="15.75" customHeight="1">
      <x:c r="A44" s="85" t="s">
        <x:v>372</x:v>
      </x:c>
      <x:c r="B44" s="103" t="s">
        <x:v>407</x:v>
      </x:c>
      <x:c r="C44" s="103" t="s">
        <x:v>408</x:v>
      </x:c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</x:row>
    <x:row r="45" ht="15.75" customHeight="1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</x:row>
    <x:row r="46" ht="15.75" customHeight="1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</x:row>
    <x:row r="47" ht="15.75" customHeight="1">
      <x:c r="A47" s="100" t="s">
        <x:v>409</x:v>
      </x:c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2"/>
    </x:row>
    <x:row r="48" ht="15.75" customHeight="1">
      <x:c r="A48" s="4" t="s">
        <x:v>410</x:v>
      </x:c>
      <x:c r="B48" s="4" t="s">
        <x:v>411</x:v>
      </x:c>
      <x:c r="C48" s="4" t="s">
        <x:v>412</x:v>
      </x:c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</x:row>
    <x:row r="49" ht="15.75" customHeight="1">
      <x:c r="A49" s="85" t="s">
        <x:v>15</x:v>
      </x:c>
      <x:c r="B49" s="103" t="s">
        <x:v>413</x:v>
      </x:c>
      <x:c r="C49" s="103" t="s">
        <x:v>414</x:v>
      </x:c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</x:row>
    <x:row r="50" ht="15.75" customHeight="1">
      <x:c r="A50" s="85" t="s">
        <x:v>16</x:v>
      </x:c>
      <x:c r="B50" s="103" t="s">
        <x:v>415</x:v>
      </x:c>
      <x:c r="C50" s="103" t="s">
        <x:v>416</x:v>
      </x:c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</x:row>
    <x:row r="51" ht="15.75" customHeight="1">
      <x:c r="A51" s="85" t="s">
        <x:v>17</x:v>
      </x:c>
      <x:c r="B51" s="103" t="s">
        <x:v>417</x:v>
      </x:c>
      <x:c r="C51" s="103" t="s">
        <x:v>418</x:v>
      </x:c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</x:row>
    <x:row r="52" ht="15.75" customHeight="1"/>
    <x:row r="53" ht="15.75" customHeight="1"/>
    <x:row r="54" ht="15.75" customHeight="1">
      <x:c r="A54" s="37" t="s">
        <x:v>419</x:v>
      </x:c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9"/>
    </x:row>
    <x:row r="55" ht="15.75" customHeight="1">
      <x:c r="A55" s="104" t="s">
        <x:v>420</x:v>
      </x:c>
    </x:row>
    <x:row r="56" ht="15.75" customHeight="1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  <x:c r="V56" s="105"/>
    </x:row>
    <x:row r="57" ht="15.75" customHeight="1">
      <x:c r="A57" s="37" t="s">
        <x:v>421</x:v>
      </x:c>
      <x:c r="B57" s="38"/>
      <x:c r="C57" s="38"/>
      <x:c r="D57" s="38"/>
      <x:c r="E57" s="38"/>
      <x:c r="F57" s="38"/>
      <x:c r="G57" s="38"/>
      <x:c r="H57" s="39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  <x:c r="V57" s="105"/>
    </x:row>
    <x:row r="58" ht="15.75" customHeight="1">
      <x:c r="A58" s="106" t="s">
        <x:v>422</x:v>
      </x:c>
      <x:c r="B58" s="106" t="s">
        <x:v>423</x:v>
      </x:c>
      <x:c r="C58" s="106" t="s">
        <x:v>424</x:v>
      </x:c>
      <x:c r="D58" s="106" t="s">
        <x:v>425</x:v>
      </x:c>
      <x:c r="E58" s="107" t="s">
        <x:v>426</x:v>
      </x:c>
      <x:c r="F58" s="108"/>
      <x:c r="G58" s="106" t="s">
        <x:v>427</x:v>
      </x:c>
      <x:c r="H58" s="106" t="s">
        <x:v>428</x:v>
      </x:c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  <x:c r="V58" s="105"/>
    </x:row>
    <x:row r="59" ht="15.75" customHeight="1">
      <x:c r="A59" s="104" t="s">
        <x:v>429</x:v>
      </x:c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  <x:c r="V59" s="105"/>
    </x:row>
    <x:row r="60" ht="15.75" customHeight="1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  <x:c r="V60" s="105"/>
    </x:row>
    <x:row r="61" ht="15.75" customHeight="1">
      <x:c r="A61" s="37" t="s">
        <x:v>430</x:v>
      </x:c>
      <x:c r="B61" s="38"/>
      <x:c r="C61" s="38"/>
      <x:c r="D61" s="38"/>
      <x:c r="E61" s="39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  <x:c r="V61" s="105"/>
    </x:row>
    <x:row r="62" ht="15.75" customHeight="1">
      <x:c r="A62" s="106" t="s">
        <x:v>243</x:v>
      </x:c>
      <x:c r="B62" s="107" t="s">
        <x:v>411</x:v>
      </x:c>
      <x:c r="C62" s="108"/>
      <x:c r="D62" s="107" t="s">
        <x:v>431</x:v>
      </x:c>
      <x:c r="E62" s="109"/>
      <x:c r="F62" s="108"/>
      <x:c r="G62" s="105"/>
      <x:c r="H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  <x:c r="V62" s="105"/>
    </x:row>
    <x:row r="63" ht="30" customHeight="1">
      <x:c r="A63" s="110" t="s">
        <x:v>432</x:v>
      </x:c>
      <x:c r="B63" s="110" t="s">
        <x:v>433</x:v>
      </x:c>
      <x:c r="D63" s="110" t="s">
        <x:v>434</x:v>
      </x:c>
      <x:c r="G63" s="105"/>
      <x:c r="H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  <x:c r="V63" s="105"/>
    </x:row>
    <x:row r="64" ht="30" customHeight="1">
      <x:c r="A64" s="110" t="s">
        <x:v>435</x:v>
      </x:c>
      <x:c r="B64" s="110" t="s">
        <x:v>436</x:v>
      </x:c>
      <x:c r="D64" s="110" t="s">
        <x:v>434</x:v>
      </x:c>
      <x:c r="G64" s="105"/>
      <x:c r="H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  <x:c r="V64" s="105"/>
    </x:row>
    <x:row r="65" ht="30" customHeight="1">
      <x:c r="A65" s="110" t="s">
        <x:v>437</x:v>
      </x:c>
      <x:c r="B65" s="110" t="s">
        <x:v>438</x:v>
      </x:c>
      <x:c r="D65" s="110" t="s">
        <x:v>439</x:v>
      </x:c>
      <x:c r="G65" s="105"/>
      <x:c r="H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  <x:c r="V65" s="105"/>
    </x:row>
    <x:row r="66" ht="30" customHeight="1">
      <x:c r="A66" s="110" t="s">
        <x:v>440</x:v>
      </x:c>
      <x:c r="B66" s="110" t="s">
        <x:v>441</x:v>
      </x:c>
      <x:c r="D66" s="110" t="s">
        <x:v>434</x:v>
      </x:c>
      <x:c r="G66" s="105"/>
      <x:c r="H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  <x:c r="V66" s="105"/>
    </x:row>
    <x:row r="67" ht="30" customHeight="1">
      <x:c r="A67" s="110" t="s">
        <x:v>442</x:v>
      </x:c>
      <x:c r="B67" s="110" t="s">
        <x:v>443</x:v>
      </x:c>
      <x:c r="D67" s="110" t="s">
        <x:v>439</x:v>
      </x:c>
      <x:c r="G67" s="105"/>
      <x:c r="H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  <x:c r="V67" s="105"/>
    </x:row>
    <x:row r="68" ht="30" customHeight="1">
      <x:c r="A68" s="110" t="s">
        <x:v>444</x:v>
      </x:c>
      <x:c r="B68" s="110" t="s">
        <x:v>445</x:v>
      </x:c>
      <x:c r="D68" s="110" t="s">
        <x:v>446</x:v>
      </x:c>
      <x:c r="G68" s="105"/>
      <x:c r="H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  <x:c r="V68" s="105"/>
    </x:row>
    <x:row r="69" ht="30" customHeight="1">
      <x:c r="A69" s="111" t="s">
        <x:v>447</x:v>
      </x:c>
      <x:c r="B69" s="111" t="s">
        <x:v>448</x:v>
      </x:c>
      <x:c r="C69" s="112"/>
      <x:c r="D69" s="111" t="s">
        <x:v>449</x:v>
      </x:c>
      <x:c r="E69" s="112"/>
      <x:c r="F69" s="112"/>
      <x:c r="G69" s="105"/>
      <x:c r="H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  <x:c r="V69" s="105"/>
    </x:row>
    <x:row r="70" ht="15.75" customHeight="1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  <x:c r="V70" s="105"/>
    </x:row>
    <x:row r="71" ht="15.75" customHeight="1">
      <x:c r="A71" s="37" t="s">
        <x:v>450</x:v>
      </x:c>
      <x:c r="B71" s="38"/>
      <x:c r="C71" s="38"/>
      <x:c r="D71" s="38"/>
      <x:c r="E71" s="38"/>
      <x:c r="F71" s="38"/>
      <x:c r="G71" s="38"/>
      <x:c r="H71" s="38"/>
      <x:c r="I71" s="39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  <x:c r="V71" s="105"/>
    </x:row>
    <x:row r="72" ht="15.75" customHeight="1">
      <x:c r="A72" s="106" t="s">
        <x:v>451</x:v>
      </x:c>
      <x:c r="B72" s="106" t="s">
        <x:v>452</x:v>
      </x:c>
      <x:c r="C72" s="106" t="s">
        <x:v>453</x:v>
      </x:c>
      <x:c r="D72" s="106" t="s">
        <x:v>454</x:v>
      </x:c>
      <x:c r="E72" s="107" t="s">
        <x:v>455</x:v>
      </x:c>
      <x:c r="F72" s="108"/>
      <x:c r="G72" s="106" t="s">
        <x:v>456</x:v>
      </x:c>
      <x:c r="H72" s="106" t="s">
        <x:v>457</x:v>
      </x:c>
      <x:c r="I72" s="106" t="s">
        <x:v>250</x:v>
      </x:c>
      <x:c r="J72" s="105"/>
    </x:row>
    <x:row r="73" ht="27.75" customHeight="1">
      <x:c r="A73" s="110" t="s">
        <x:v>15</x:v>
      </x:c>
      <x:c r="B73" s="110" t="s">
        <x:v>458</x:v>
      </x:c>
      <x:c r="C73" s="110" t="n">
        <x:f>ROUND('Plan comercial'!C$7*1/4,0)</x:f>
        <x:v>6</x:v>
      </x:c>
      <x:c r="D73" s="110" t="n">
        <x:f>ROUND('Plan comercial'!C$24/4,0)</x:f>
        <x:v>75</x:v>
      </x:c>
      <x:c r="E73" s="110" t="n">
        <x:f>ROUNDUP(('Flujo de caja'!$P$132/(1-'Flujo de caja'!$C$90))/4,0)</x:f>
        <x:v>66</x:v>
      </x:c>
      <x:c r="G73" s="113" t="n">
        <x:f>'Flujo de caja'!$C$101</x:f>
        <x:v>0.95</x:v>
      </x:c>
      <x:c r="H73" s="110" t="n">
        <x:f>ROUND('Flujo de caja'!$P$60*'Flujo de caja'!$C$94/100*3,0)</x:f>
        <x:v>163</x:v>
      </x:c>
      <x:c r="I73" s="110" t="s">
        <x:v>459</x:v>
      </x:c>
      <x:c r="J73" s="105"/>
    </x:row>
    <x:row r="74" ht="27.75" customHeight="1">
      <x:c r="A74" s="110" t="s">
        <x:v>15</x:v>
      </x:c>
      <x:c r="B74" s="110" t="s">
        <x:v>460</x:v>
      </x:c>
      <x:c r="C74" s="110" t="n">
        <x:f>ROUND('Plan comercial'!C$7*2/4,0)</x:f>
        <x:v>13</x:v>
      </x:c>
      <x:c r="D74" s="110" t="n">
        <x:f>ROUND('Plan comercial'!C$24/4,0)</x:f>
        <x:v>75</x:v>
      </x:c>
      <x:c r="E74" s="110" t="n">
        <x:f>ROUNDUP(('Flujo de caja'!$P$132/(1-'Flujo de caja'!$C$90))/4,0)</x:f>
        <x:v>66</x:v>
      </x:c>
      <x:c r="G74" s="113" t="n">
        <x:f>'Flujo de caja'!$C$101</x:f>
        <x:v>0.95</x:v>
      </x:c>
      <x:c r="H74" s="110" t="n">
        <x:f>ROUND('Flujo de caja'!$P$60*'Flujo de caja'!$C$94/100*3,0)</x:f>
        <x:v>163</x:v>
      </x:c>
      <x:c r="I74" s="110" t="s">
        <x:v>459</x:v>
      </x:c>
      <x:c r="J74" s="105"/>
    </x:row>
    <x:row r="75" ht="27.75" customHeight="1">
      <x:c r="A75" s="110" t="s">
        <x:v>15</x:v>
      </x:c>
      <x:c r="B75" s="110" t="s">
        <x:v>461</x:v>
      </x:c>
      <x:c r="C75" s="110" t="n">
        <x:f>ROUND('Plan comercial'!C$7*3/4,0)</x:f>
        <x:v>19</x:v>
      </x:c>
      <x:c r="D75" s="110" t="n">
        <x:f>ROUND('Plan comercial'!C$24/4,0)</x:f>
        <x:v>75</x:v>
      </x:c>
      <x:c r="E75" s="110" t="n">
        <x:f>ROUNDUP(('Flujo de caja'!$P$132/(1-'Flujo de caja'!$C$90))/4,0)</x:f>
        <x:v>66</x:v>
      </x:c>
      <x:c r="G75" s="113" t="n">
        <x:f>'Flujo de caja'!$C$101</x:f>
        <x:v>0.95</x:v>
      </x:c>
      <x:c r="H75" s="110" t="n">
        <x:f>ROUND('Flujo de caja'!$P$60*'Flujo de caja'!$C$94/100*3,0)</x:f>
        <x:v>163</x:v>
      </x:c>
      <x:c r="I75" s="110" t="s">
        <x:v>459</x:v>
      </x:c>
      <x:c r="J75" s="105"/>
    </x:row>
    <x:row r="76" ht="27.75" customHeight="1">
      <x:c r="A76" s="110" t="s">
        <x:v>15</x:v>
      </x:c>
      <x:c r="B76" s="110" t="s">
        <x:v>462</x:v>
      </x:c>
      <x:c r="C76" s="110" t="n">
        <x:f>ROUND('Plan comercial'!C$7*4/4,0)</x:f>
        <x:v>25</x:v>
      </x:c>
      <x:c r="D76" s="114" t="n">
        <x:f>'Plan comercial'!C$24-SUM(D73:D75)</x:f>
        <x:v>75</x:v>
      </x:c>
      <x:c r="E76" s="110" t="n">
        <x:f>ROUNDUP('Flujo de caja'!$P$132/(1-'Flujo de caja'!$C$90),0)-SUM(E73:E75)</x:f>
        <x:v>66</x:v>
      </x:c>
      <x:c r="G76" s="113" t="n">
        <x:f>'Flujo de caja'!$C$101</x:f>
        <x:v>0.95</x:v>
      </x:c>
      <x:c r="H76" s="110" t="n">
        <x:f>ROUND('Flujo de caja'!$P$60*'Flujo de caja'!$C$94/100*3,0)</x:f>
        <x:v>163</x:v>
      </x:c>
      <x:c r="I76" s="110" t="s">
        <x:v>459</x:v>
      </x:c>
      <x:c r="J76" s="105"/>
    </x:row>
    <x:row r="77" ht="27.75" customHeight="1">
      <x:c r="A77" s="110" t="s">
        <x:v>16</x:v>
      </x:c>
      <x:c r="B77" s="110" t="s">
        <x:v>458</x:v>
      </x:c>
      <x:c r="C77" s="110" t="n">
        <x:f>ROUND('Plan comercial'!D$7*1/4,0)</x:f>
        <x:v>13</x:v>
      </x:c>
      <x:c r="D77" s="110" t="n">
        <x:f>ROUND('Plan comercial'!D$24/4,0)</x:f>
        <x:v>200</x:v>
      </x:c>
      <x:c r="E77" s="110" t="n">
        <x:f>ROUNDUP(('Flujo de caja'!$Q$132/(1-'Flujo de caja'!$C$90))/4,0)</x:f>
        <x:v>241</x:v>
      </x:c>
      <x:c r="G77" s="113" t="n">
        <x:f>'Flujo de caja'!$C$101</x:f>
        <x:v>0.95</x:v>
      </x:c>
      <x:c r="H77" s="110" t="n">
        <x:f>ROUND('Flujo de caja'!$Q$60*'Flujo de caja'!$C$94/100*3,0)</x:f>
        <x:v>636</x:v>
      </x:c>
      <x:c r="I77" s="110" t="s">
        <x:v>459</x:v>
      </x:c>
      <x:c r="J77" s="105"/>
    </x:row>
    <x:row r="78" ht="27.75" customHeight="1">
      <x:c r="A78" s="110" t="s">
        <x:v>16</x:v>
      </x:c>
      <x:c r="B78" s="110" t="s">
        <x:v>460</x:v>
      </x:c>
      <x:c r="C78" s="110" t="n">
        <x:f>ROUND('Plan comercial'!D$7*2/4,0)</x:f>
        <x:v>25</x:v>
      </x:c>
      <x:c r="D78" s="110" t="n">
        <x:f>ROUND('Plan comercial'!D$24/4,0)</x:f>
        <x:v>200</x:v>
      </x:c>
      <x:c r="E78" s="110" t="n">
        <x:f>ROUNDUP(('Flujo de caja'!$Q$132/(1-'Flujo de caja'!$C$90))/4,0)</x:f>
        <x:v>241</x:v>
      </x:c>
      <x:c r="G78" s="113" t="n">
        <x:f>'Flujo de caja'!$C$101</x:f>
        <x:v>0.95</x:v>
      </x:c>
      <x:c r="H78" s="110" t="n">
        <x:f>ROUND('Flujo de caja'!$Q$60*'Flujo de caja'!$C$94/100*3,0)</x:f>
        <x:v>636</x:v>
      </x:c>
      <x:c r="I78" s="110" t="s">
        <x:v>459</x:v>
      </x:c>
      <x:c r="J78" s="105"/>
    </x:row>
    <x:row r="79" ht="27.75" customHeight="1">
      <x:c r="A79" s="110" t="s">
        <x:v>16</x:v>
      </x:c>
      <x:c r="B79" s="110" t="s">
        <x:v>461</x:v>
      </x:c>
      <x:c r="C79" s="110" t="n">
        <x:f>ROUND('Plan comercial'!D$7*3/4,0)</x:f>
        <x:v>38</x:v>
      </x:c>
      <x:c r="D79" s="110" t="n">
        <x:f>ROUND('Plan comercial'!D$24/4,0)</x:f>
        <x:v>200</x:v>
      </x:c>
      <x:c r="E79" s="110" t="n">
        <x:f>ROUNDUP(('Flujo de caja'!$Q$132/(1-'Flujo de caja'!$C$90))/4,0)</x:f>
        <x:v>241</x:v>
      </x:c>
      <x:c r="G79" s="113" t="n">
        <x:f>'Flujo de caja'!$C$101</x:f>
        <x:v>0.95</x:v>
      </x:c>
      <x:c r="H79" s="110" t="n">
        <x:f>ROUND('Flujo de caja'!$Q$60*'Flujo de caja'!$C$94/100*3,0)</x:f>
        <x:v>636</x:v>
      </x:c>
      <x:c r="I79" s="110" t="s">
        <x:v>459</x:v>
      </x:c>
      <x:c r="J79" s="105"/>
    </x:row>
    <x:row r="80" ht="27.75" customHeight="1">
      <x:c r="A80" s="110" t="s">
        <x:v>16</x:v>
      </x:c>
      <x:c r="B80" s="110" t="s">
        <x:v>462</x:v>
      </x:c>
      <x:c r="C80" s="110" t="n">
        <x:f>ROUND('Plan comercial'!D$7*4/4,0)</x:f>
        <x:v>50</x:v>
      </x:c>
      <x:c r="D80" s="114" t="n">
        <x:f>'Plan comercial'!D$24-SUM(D77:D79)</x:f>
        <x:v>200</x:v>
      </x:c>
      <x:c r="E80" s="110" t="n">
        <x:f>ROUNDUP('Flujo de caja'!$Q$132/(1-'Flujo de caja'!$C$90),0)-SUM(E77:E79)</x:f>
        <x:v>239</x:v>
      </x:c>
      <x:c r="G80" s="113" t="n">
        <x:f>'Flujo de caja'!$C$101</x:f>
        <x:v>0.95</x:v>
      </x:c>
      <x:c r="H80" s="110" t="n">
        <x:f>ROUND('Flujo de caja'!$Q$60*'Flujo de caja'!$C$94/100*3,0)</x:f>
        <x:v>636</x:v>
      </x:c>
      <x:c r="I80" s="110" t="s">
        <x:v>459</x:v>
      </x:c>
      <x:c r="J80" s="105"/>
    </x:row>
    <x:row r="81" ht="27.75" customHeight="1">
      <x:c r="A81" s="110" t="s">
        <x:v>17</x:v>
      </x:c>
      <x:c r="B81" s="110" t="s">
        <x:v>458</x:v>
      </x:c>
      <x:c r="C81" s="110" t="n">
        <x:f>ROUND('Plan comercial'!E$7*1/4,0)</x:f>
        <x:v>20</x:v>
      </x:c>
      <x:c r="D81" s="110" t="n">
        <x:f>ROUND('Plan comercial'!E$24/4,0)</x:f>
        <x:v>420</x:v>
      </x:c>
      <x:c r="E81" s="110" t="n">
        <x:f>ROUNDUP(('Flujo de caja'!$R$132/(1-'Flujo de caja'!$C$90))/4,0)</x:f>
        <x:v>498</x:v>
      </x:c>
      <x:c r="G81" s="113" t="n">
        <x:f>'Flujo de caja'!$C$101</x:f>
        <x:v>0.95</x:v>
      </x:c>
      <x:c r="H81" s="110" t="n">
        <x:f>ROUND('Flujo de caja'!$R$60*'Flujo de caja'!$C$94/100*3,0)</x:f>
        <x:v>1558</x:v>
      </x:c>
      <x:c r="I81" s="110" t="s">
        <x:v>459</x:v>
      </x:c>
      <x:c r="J81" s="105"/>
    </x:row>
    <x:row r="82" ht="27.75" customHeight="1">
      <x:c r="A82" s="110" t="s">
        <x:v>17</x:v>
      </x:c>
      <x:c r="B82" s="110" t="s">
        <x:v>460</x:v>
      </x:c>
      <x:c r="C82" s="110" t="n">
        <x:f>ROUND('Plan comercial'!E$7*2/4,0)</x:f>
        <x:v>40</x:v>
      </x:c>
      <x:c r="D82" s="110" t="n">
        <x:f>ROUND('Plan comercial'!E$24/4,0)</x:f>
        <x:v>420</x:v>
      </x:c>
      <x:c r="E82" s="110" t="n">
        <x:f>ROUNDUP(('Flujo de caja'!$R$132/(1-'Flujo de caja'!$C$90))/4,0)</x:f>
        <x:v>498</x:v>
      </x:c>
      <x:c r="G82" s="113" t="n">
        <x:f>'Flujo de caja'!$C$101</x:f>
        <x:v>0.95</x:v>
      </x:c>
      <x:c r="H82" s="110" t="n">
        <x:f>ROUND('Flujo de caja'!$R$60*'Flujo de caja'!$C$94/100*3,0)</x:f>
        <x:v>1558</x:v>
      </x:c>
      <x:c r="I82" s="110" t="s">
        <x:v>459</x:v>
      </x:c>
      <x:c r="J82" s="105"/>
    </x:row>
    <x:row r="83" ht="27.75" customHeight="1">
      <x:c r="A83" s="110" t="s">
        <x:v>17</x:v>
      </x:c>
      <x:c r="B83" s="110" t="s">
        <x:v>461</x:v>
      </x:c>
      <x:c r="C83" s="110" t="n">
        <x:f>ROUND('Plan comercial'!E$7*3/4,0)</x:f>
        <x:v>60</x:v>
      </x:c>
      <x:c r="D83" s="110" t="n">
        <x:f>ROUND('Plan comercial'!E$24/4,0)</x:f>
        <x:v>420</x:v>
      </x:c>
      <x:c r="E83" s="110" t="n">
        <x:f>ROUNDUP(('Flujo de caja'!$R$132/(1-'Flujo de caja'!$C$90))/4,0)</x:f>
        <x:v>498</x:v>
      </x:c>
      <x:c r="G83" s="113" t="n">
        <x:f>'Flujo de caja'!$C$101</x:f>
        <x:v>0.95</x:v>
      </x:c>
      <x:c r="H83" s="110" t="n">
        <x:f>ROUND('Flujo de caja'!$R$60*'Flujo de caja'!$C$94/100*3,0)</x:f>
        <x:v>1558</x:v>
      </x:c>
      <x:c r="I83" s="110" t="s">
        <x:v>459</x:v>
      </x:c>
      <x:c r="J83" s="105"/>
    </x:row>
    <x:row r="84" ht="27.75" customHeight="1">
      <x:c r="A84" s="111" t="s">
        <x:v>17</x:v>
      </x:c>
      <x:c r="B84" s="111" t="s">
        <x:v>462</x:v>
      </x:c>
      <x:c r="C84" s="111" t="n">
        <x:f>ROUND('Plan comercial'!E$7*4/4,0)</x:f>
        <x:v>80</x:v>
      </x:c>
      <x:c r="D84" s="115" t="n">
        <x:f>'Plan comercial'!E$24-SUM(D81:D83)</x:f>
        <x:v>420</x:v>
      </x:c>
      <x:c r="E84" s="111" t="n">
        <x:f>ROUNDUP('Flujo de caja'!$R$132/(1-'Flujo de caja'!$C$90),0)-SUM(E81:E83)</x:f>
        <x:v>498</x:v>
      </x:c>
      <x:c r="F84" s="112"/>
      <x:c r="G84" s="116" t="n">
        <x:f>'Flujo de caja'!$C$101</x:f>
        <x:v>0.95</x:v>
      </x:c>
      <x:c r="H84" s="111" t="n">
        <x:f>ROUND('Flujo de caja'!$R$60*'Flujo de caja'!$C$94/100*3,0)</x:f>
        <x:v>1558</x:v>
      </x:c>
      <x:c r="I84" s="111" t="s">
        <x:v>459</x:v>
      </x:c>
      <x:c r="J84" s="105"/>
    </x:row>
    <x:row r="85" ht="15.75" customHeight="1">
      <x:c r="A85" s="105"/>
      <x:c r="B85" s="105"/>
      <x:c r="C85" s="105"/>
      <x:c r="D85" s="105"/>
      <x:c r="E85" s="105"/>
      <x:c r="F85" s="105"/>
      <x:c r="G85" s="105"/>
      <x:c r="H85" s="105"/>
      <x:c r="I85" s="105"/>
      <x:c r="J85" s="105"/>
      <x:c r="K85" s="105"/>
      <x:c r="L85" s="105"/>
      <x:c r="M85" s="105"/>
      <x:c r="N85" s="105"/>
      <x:c r="O85" s="105"/>
      <x:c r="P85" s="105"/>
      <x:c r="Q85" s="105"/>
      <x:c r="R85" s="105"/>
      <x:c r="S85" s="105"/>
      <x:c r="T85" s="105"/>
      <x:c r="U85" s="105"/>
      <x:c r="V85" s="105"/>
    </x:row>
    <x:row r="86" ht="15.75" customHeight="1">
      <x:c r="A86" s="104" t="s">
        <x:v>463</x:v>
      </x:c>
    </x:row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D69:F69"/>
    <x:mergeCell ref="E72:F72"/>
    <x:mergeCell ref="J72:V72"/>
    <x:mergeCell ref="E73:F73"/>
    <x:mergeCell ref="J73:V73"/>
    <x:mergeCell ref="E74:F74"/>
    <x:mergeCell ref="E75:F75"/>
    <x:mergeCell ref="E76:F76"/>
    <x:mergeCell ref="J76:V76"/>
    <x:mergeCell ref="E77:F77"/>
    <x:mergeCell ref="J77:V77"/>
    <x:mergeCell ref="E78:F78"/>
    <x:mergeCell ref="J78:V78"/>
    <x:mergeCell ref="J79:V79"/>
    <x:mergeCell ref="A34:I34"/>
    <x:mergeCell ref="A55:V55"/>
    <x:mergeCell ref="E58:F58"/>
    <x:mergeCell ref="A59:I59"/>
    <x:mergeCell ref="B62:C62"/>
    <x:mergeCell ref="D62:F62"/>
    <x:mergeCell ref="H62:I62"/>
    <x:mergeCell ref="H64:I64"/>
    <x:mergeCell ref="H65:I65"/>
    <x:mergeCell ref="H66:I66"/>
    <x:mergeCell ref="H67:I67"/>
    <x:mergeCell ref="H68:I68"/>
    <x:mergeCell ref="H69:I69"/>
    <x:mergeCell ref="B63:C63"/>
    <x:mergeCell ref="D63:F63"/>
    <x:mergeCell ref="H63:I63"/>
    <x:mergeCell ref="B64:C64"/>
    <x:mergeCell ref="D64:F64"/>
    <x:mergeCell ref="B65:C65"/>
    <x:mergeCell ref="D65:F65"/>
    <x:mergeCell ref="B66:C66"/>
    <x:mergeCell ref="D66:F66"/>
    <x:mergeCell ref="B67:C67"/>
    <x:mergeCell ref="D67:F67"/>
    <x:mergeCell ref="B68:C68"/>
    <x:mergeCell ref="D68:F68"/>
    <x:mergeCell ref="B69:C69"/>
    <x:mergeCell ref="J74:V74"/>
    <x:mergeCell ref="J75:V75"/>
    <x:mergeCell ref="E79:F79"/>
    <x:mergeCell ref="E80:F80"/>
    <x:mergeCell ref="E81:F81"/>
    <x:mergeCell ref="E82:F82"/>
    <x:mergeCell ref="E83:F83"/>
    <x:mergeCell ref="E84:F84"/>
    <x:mergeCell ref="J80:V80"/>
    <x:mergeCell ref="J81:V81"/>
    <x:mergeCell ref="J82:V82"/>
    <x:mergeCell ref="J83:V83"/>
    <x:mergeCell ref="J84:V84"/>
    <x:mergeCell ref="A86:V8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ColWidth="12.630000114440918" defaultRowHeight="15"/>
  <x:cols>
    <x:col min="1" max="1" width="48" customWidth="1"/>
    <x:col min="2" max="2" width="18" customWidth="1"/>
    <x:col min="3" max="3" width="14" customWidth="1"/>
    <x:col min="4" max="4" width="18" customWidth="1"/>
    <x:col min="5" max="5" width="14" customWidth="1"/>
    <x:col min="6" max="26" width="8.630000114440918" customWidth="1"/>
  </x:cols>
  <x:sheetData>
    <x:row r="1">
      <x:c r="A1" s="84" t="s">
        <x:v>464</x:v>
      </x:c>
      <x:c r="B1" s="117"/>
      <x:c r="C1" s="117"/>
      <x:c r="D1" s="117"/>
      <x:c r="E1" s="117"/>
    </x:row>
    <x:row r="2">
      <x:c r="A2" s="117" t="s">
        <x:v>465</x:v>
      </x:c>
      <x:c r="B2" s="118">
        <x:v>2.0</x:v>
      </x:c>
      <x:c r="C2" s="117"/>
      <x:c r="D2" s="117" t="s">
        <x:v>466</x:v>
      </x:c>
      <x:c r="E2" s="119" t="str">
        <x:f>CHOOSE($B$2,"Conservador","Base","Expansivo")</x:f>
        <x:v>Base</x:v>
      </x:c>
    </x:row>
    <x:row r="3">
      <x:c r="A3" s="117"/>
      <x:c r="B3" s="117"/>
      <x:c r="C3" s="117"/>
      <x:c r="D3" s="117"/>
      <x:c r="E3" s="117"/>
    </x:row>
    <x:row r="4">
      <x:c r="A4" s="120" t="s">
        <x:v>467</x:v>
      </x:c>
      <x:c r="B4" s="121"/>
      <x:c r="C4" s="121"/>
      <x:c r="D4" s="121"/>
      <x:c r="E4" s="122"/>
    </x:row>
    <x:row r="5">
      <x:c r="A5" s="4" t="s">
        <x:v>468</x:v>
      </x:c>
      <x:c r="B5" s="4" t="s">
        <x:v>469</x:v>
      </x:c>
      <x:c r="C5" s="4" t="s">
        <x:v>15</x:v>
      </x:c>
      <x:c r="D5" s="4" t="s">
        <x:v>16</x:v>
      </x:c>
      <x:c r="E5" s="4" t="s">
        <x:v>17</x:v>
      </x:c>
    </x:row>
    <x:row r="6">
      <x:c r="A6" s="120" t="s">
        <x:v>470</x:v>
      </x:c>
      <x:c r="B6" s="121"/>
      <x:c r="C6" s="121"/>
      <x:c r="D6" s="121"/>
      <x:c r="E6" s="122"/>
    </x:row>
    <x:row r="7">
      <x:c r="A7" s="123" t="s">
        <x:v>471</x:v>
      </x:c>
      <x:c r="B7" s="123"/>
      <x:c r="C7" s="123" t="n">
        <x:f t="shared" ref="C7:E7" si="1">CHOOSE($B$2,C8,C9,C10)</x:f>
        <x:v>25</x:v>
      </x:c>
      <x:c r="D7" s="123">
        <x:f t="shared" si="1"/>
        <x:v>50</x:v>
      </x:c>
      <x:c r="E7" s="123">
        <x:f t="shared" si="1"/>
        <x:v>80</x:v>
      </x:c>
    </x:row>
    <x:row r="8">
      <x:c r="A8" s="117"/>
      <x:c r="B8" s="117" t="s">
        <x:v>472</x:v>
      </x:c>
      <x:c r="C8" s="117">
        <x:v>12.0</x:v>
      </x:c>
      <x:c r="D8" s="117">
        <x:v>25.0</x:v>
      </x:c>
      <x:c r="E8" s="117">
        <x:v>40.0</x:v>
      </x:c>
    </x:row>
    <x:row r="9">
      <x:c r="A9" s="117"/>
      <x:c r="B9" s="117" t="s">
        <x:v>473</x:v>
      </x:c>
      <x:c r="C9" s="117">
        <x:v>25.0</x:v>
      </x:c>
      <x:c r="D9" s="117">
        <x:v>50.0</x:v>
      </x:c>
      <x:c r="E9" s="117">
        <x:v>80.0</x:v>
      </x:c>
    </x:row>
    <x:row r="10">
      <x:c r="A10" s="117"/>
      <x:c r="B10" s="117" t="s">
        <x:v>474</x:v>
      </x:c>
      <x:c r="C10" s="117">
        <x:v>40.0</x:v>
      </x:c>
      <x:c r="D10" s="117">
        <x:v>90.0</x:v>
      </x:c>
      <x:c r="E10" s="117">
        <x:v>150.0</x:v>
      </x:c>
    </x:row>
    <x:row r="11">
      <x:c r="A11" s="117"/>
      <x:c r="B11" s="117"/>
      <x:c r="C11" s="117"/>
      <x:c r="D11" s="117"/>
      <x:c r="E11" s="117"/>
    </x:row>
    <x:row r="12">
      <x:c r="A12" s="120" t="s">
        <x:v>475</x:v>
      </x:c>
      <x:c r="B12" s="121"/>
      <x:c r="C12" s="121"/>
      <x:c r="D12" s="121"/>
      <x:c r="E12" s="122"/>
    </x:row>
    <x:row r="13">
      <x:c r="A13" s="123" t="s">
        <x:v>471</x:v>
      </x:c>
      <x:c r="B13" s="123"/>
      <x:c r="C13" s="123" t="n">
        <x:f t="shared" ref="C13:E13" si="2">CHOOSE($B$2,C14,C15,C16)</x:f>
        <x:v>40</x:v>
      </x:c>
      <x:c r="D13" s="123">
        <x:f t="shared" si="2"/>
        <x:v>50</x:v>
      </x:c>
      <x:c r="E13" s="123">
        <x:f t="shared" si="2"/>
        <x:v>60</x:v>
      </x:c>
    </x:row>
    <x:row r="14">
      <x:c r="A14" s="117"/>
      <x:c r="B14" s="117" t="s">
        <x:v>472</x:v>
      </x:c>
      <x:c r="C14" s="117">
        <x:v>30.0</x:v>
      </x:c>
      <x:c r="D14" s="117">
        <x:v>35.0</x:v>
      </x:c>
      <x:c r="E14" s="117">
        <x:v>40.0</x:v>
      </x:c>
    </x:row>
    <x:row r="15">
      <x:c r="A15" s="117"/>
      <x:c r="B15" s="117" t="s">
        <x:v>473</x:v>
      </x:c>
      <x:c r="C15" s="117">
        <x:v>40.0</x:v>
      </x:c>
      <x:c r="D15" s="117">
        <x:v>50.0</x:v>
      </x:c>
      <x:c r="E15" s="117">
        <x:v>60.0</x:v>
      </x:c>
    </x:row>
    <x:row r="16">
      <x:c r="A16" s="117"/>
      <x:c r="B16" s="117" t="s">
        <x:v>474</x:v>
      </x:c>
      <x:c r="C16" s="117">
        <x:v>50.0</x:v>
      </x:c>
      <x:c r="D16" s="117">
        <x:v>65.0</x:v>
      </x:c>
      <x:c r="E16" s="117">
        <x:v>80.0</x:v>
      </x:c>
    </x:row>
    <x:row r="17">
      <x:c r="A17" s="117"/>
      <x:c r="B17" s="117"/>
      <x:c r="C17" s="117"/>
      <x:c r="D17" s="117"/>
      <x:c r="E17" s="117"/>
    </x:row>
    <x:row r="18">
      <x:c r="A18" s="120" t="s">
        <x:v>476</x:v>
      </x:c>
      <x:c r="B18" s="121"/>
      <x:c r="C18" s="121"/>
      <x:c r="D18" s="121"/>
      <x:c r="E18" s="122"/>
    </x:row>
    <x:row r="19">
      <x:c r="A19" s="123" t="s">
        <x:v>471</x:v>
      </x:c>
      <x:c r="B19" s="123"/>
      <x:c r="C19" s="124" t="n">
        <x:f t="shared" ref="C19:E19" si="3">CHOOSE($B$2,C20,C21,C22)</x:f>
        <x:v>0.3</x:v>
      </x:c>
      <x:c r="D19" s="124">
        <x:f t="shared" si="3"/>
        <x:v>0.32</x:v>
      </x:c>
      <x:c r="E19" s="124">
        <x:f t="shared" si="3"/>
        <x:v>0.35</x:v>
      </x:c>
    </x:row>
    <x:row r="20">
      <x:c r="A20" s="117"/>
      <x:c r="B20" s="117" t="s">
        <x:v>472</x:v>
      </x:c>
      <x:c r="C20" s="125">
        <x:v>0.2</x:v>
      </x:c>
      <x:c r="D20" s="125">
        <x:v>0.22</x:v>
      </x:c>
      <x:c r="E20" s="125">
        <x:v>0.25</x:v>
      </x:c>
    </x:row>
    <x:row r="21" ht="15.75" customHeight="1">
      <x:c r="A21" s="117"/>
      <x:c r="B21" s="117" t="s">
        <x:v>473</x:v>
      </x:c>
      <x:c r="C21" s="125">
        <x:v>0.3</x:v>
      </x:c>
      <x:c r="D21" s="125">
        <x:v>0.32</x:v>
      </x:c>
      <x:c r="E21" s="125">
        <x:v>0.35</x:v>
      </x:c>
    </x:row>
    <x:row r="22" ht="15.75" customHeight="1">
      <x:c r="A22" s="117"/>
      <x:c r="B22" s="117" t="s">
        <x:v>474</x:v>
      </x:c>
      <x:c r="C22" s="125">
        <x:v>0.4</x:v>
      </x:c>
      <x:c r="D22" s="125">
        <x:v>0.45</x:v>
      </x:c>
      <x:c r="E22" s="125">
        <x:v>0.5</x:v>
      </x:c>
    </x:row>
    <x:row r="23" ht="15.75" customHeight="1">
      <x:c r="A23" s="117"/>
      <x:c r="B23" s="117"/>
      <x:c r="C23" s="117"/>
      <x:c r="D23" s="117"/>
      <x:c r="E23" s="117"/>
    </x:row>
    <x:row r="24" ht="15.75" customHeight="1">
      <x:c r="A24" s="120" t="s">
        <x:v>477</x:v>
      </x:c>
      <x:c r="B24" s="121"/>
      <x:c r="C24" s="126" t="n">
        <x:f t="shared" ref="C24:E24" si="4">ROUND(C7*C13*C19,0)</x:f>
        <x:v>300</x:v>
      </x:c>
      <x:c r="D24" s="126">
        <x:f t="shared" si="4"/>
        <x:v>800</x:v>
      </x:c>
      <x:c r="E24" s="127">
        <x:f t="shared" si="4"/>
        <x:v>1680</x:v>
      </x:c>
    </x:row>
    <x:row r="25" ht="15.75" customHeight="1">
      <x:c r="A25" s="117" t="s">
        <x:v>478</x:v>
      </x:c>
      <x:c r="B25" s="117">
        <x:v>4000000.0</x:v>
      </x:c>
      <x:c r="C25" s="117"/>
      <x:c r="D25" s="117"/>
      <x:c r="E25" s="117"/>
    </x:row>
    <x:row r="26" ht="15.75" customHeight="1">
      <x:c r="A26" s="117" t="s">
        <x:v>479</x:v>
      </x:c>
      <x:c r="B26" s="117"/>
      <x:c r="C26" s="128" t="n">
        <x:f t="shared" ref="C26:E26" si="5">C24/$B$25</x:f>
        <x:v>0.000075</x:v>
      </x:c>
      <x:c r="D26" s="128">
        <x:f t="shared" si="5"/>
        <x:v>0.0002</x:v>
      </x:c>
      <x:c r="E26" s="128">
        <x:f t="shared" si="5"/>
        <x:v>0.00042</x:v>
      </x:c>
    </x:row>
    <x:row r="27" ht="15.75" customHeight="1">
      <x:c r="A27" s="120" t="s">
        <x:v>215</x:v>
      </x:c>
      <x:c r="B27" s="121"/>
      <x:c r="C27" s="121"/>
      <x:c r="D27" s="121"/>
      <x:c r="E27" s="122"/>
    </x:row>
    <x:row r="28" ht="15.75" customHeight="1">
      <x:c r="A28" s="123" t="s">
        <x:v>471</x:v>
      </x:c>
      <x:c r="B28" s="123"/>
      <x:c r="C28" s="123" t="n">
        <x:f t="shared" ref="C28:E28" si="6">CHOOSE($B$2,C29,C30,C31)</x:f>
        <x:v>1</x:v>
      </x:c>
      <x:c r="D28" s="123">
        <x:f t="shared" si="6"/>
        <x:v>2</x:v>
      </x:c>
      <x:c r="E28" s="123">
        <x:f t="shared" si="6"/>
        <x:v>3</x:v>
      </x:c>
    </x:row>
    <x:row r="29" ht="15.75" customHeight="1">
      <x:c r="A29" s="117"/>
      <x:c r="B29" s="117" t="s">
        <x:v>472</x:v>
      </x:c>
      <x:c r="C29" s="117">
        <x:v>1.0</x:v>
      </x:c>
      <x:c r="D29" s="117">
        <x:v>1.0</x:v>
      </x:c>
      <x:c r="E29" s="117">
        <x:v>2.0</x:v>
      </x:c>
    </x:row>
    <x:row r="30" ht="15.75" customHeight="1">
      <x:c r="A30" s="117"/>
      <x:c r="B30" s="117" t="s">
        <x:v>473</x:v>
      </x:c>
      <x:c r="C30" s="117">
        <x:v>1.0</x:v>
      </x:c>
      <x:c r="D30" s="117">
        <x:v>2.0</x:v>
      </x:c>
      <x:c r="E30" s="117">
        <x:v>3.0</x:v>
      </x:c>
    </x:row>
    <x:row r="31" ht="15.75" customHeight="1">
      <x:c r="A31" s="117"/>
      <x:c r="B31" s="117" t="s">
        <x:v>474</x:v>
      </x:c>
      <x:c r="C31" s="117">
        <x:v>2.0</x:v>
      </x:c>
      <x:c r="D31" s="117">
        <x:v>4.0</x:v>
      </x:c>
      <x:c r="E31" s="117">
        <x:v>6.0</x:v>
      </x:c>
    </x:row>
    <x:row r="32" ht="15.75" customHeight="1">
      <x:c r="A32" s="117"/>
      <x:c r="B32" s="117"/>
      <x:c r="C32" s="117"/>
      <x:c r="D32" s="117"/>
      <x:c r="E32" s="117"/>
    </x:row>
    <x:row r="33" ht="15.75" customHeight="1">
      <x:c r="A33" s="120" t="s">
        <x:v>216</x:v>
      </x:c>
      <x:c r="B33" s="121"/>
      <x:c r="C33" s="121"/>
      <x:c r="D33" s="121"/>
      <x:c r="E33" s="122"/>
    </x:row>
    <x:row r="34" ht="15.75" customHeight="1">
      <x:c r="A34" s="123" t="s">
        <x:v>471</x:v>
      </x:c>
      <x:c r="B34" s="123"/>
      <x:c r="C34" s="129" t="n">
        <x:f t="shared" ref="C34:E34" si="7">CHOOSE($B$2,C35,C36,C37)</x:f>
        <x:v>2000</x:v>
      </x:c>
      <x:c r="D34" s="129">
        <x:f t="shared" si="7"/>
        <x:v>3500</x:v>
      </x:c>
      <x:c r="E34" s="129">
        <x:f t="shared" si="7"/>
        <x:v>5000</x:v>
      </x:c>
    </x:row>
    <x:row r="35" ht="15.75" customHeight="1">
      <x:c r="A35" s="117"/>
      <x:c r="B35" s="117" t="s">
        <x:v>472</x:v>
      </x:c>
      <x:c r="C35" s="130">
        <x:v>1000.0</x:v>
      </x:c>
      <x:c r="D35" s="130">
        <x:v>1500.0</x:v>
      </x:c>
      <x:c r="E35" s="130">
        <x:v>2000.0</x:v>
      </x:c>
    </x:row>
    <x:row r="36" ht="15.75" customHeight="1">
      <x:c r="A36" s="117"/>
      <x:c r="B36" s="117" t="s">
        <x:v>473</x:v>
      </x:c>
      <x:c r="C36" s="130">
        <x:v>2000.0</x:v>
      </x:c>
      <x:c r="D36" s="130">
        <x:v>3500.0</x:v>
      </x:c>
      <x:c r="E36" s="130">
        <x:v>5000.0</x:v>
      </x:c>
    </x:row>
    <x:row r="37" ht="15.75" customHeight="1">
      <x:c r="A37" s="117"/>
      <x:c r="B37" s="117" t="s">
        <x:v>474</x:v>
      </x:c>
      <x:c r="C37" s="130">
        <x:v>4000.0</x:v>
      </x:c>
      <x:c r="D37" s="130">
        <x:v>7500.0</x:v>
      </x:c>
      <x:c r="E37" s="130">
        <x:v>12000.0</x:v>
      </x:c>
    </x:row>
    <x:row r="38" ht="15.75" customHeight="1">
      <x:c r="A38" s="117"/>
      <x:c r="B38" s="117"/>
      <x:c r="C38" s="117"/>
      <x:c r="D38" s="117"/>
      <x:c r="E38" s="117"/>
    </x:row>
    <x:row r="39" ht="15.75" customHeight="1">
      <x:c r="A39" s="120" t="s">
        <x:v>480</x:v>
      </x:c>
      <x:c r="B39" s="121"/>
      <x:c r="C39" s="121"/>
      <x:c r="D39" s="121"/>
      <x:c r="E39" s="122"/>
    </x:row>
    <x:row r="40" ht="15.75" customHeight="1">
      <x:c r="A40" s="117"/>
      <x:c r="B40" s="4" t="s">
        <x:v>469</x:v>
      </x:c>
      <x:c r="C40" s="4" t="s">
        <x:v>15</x:v>
      </x:c>
      <x:c r="D40" s="4" t="s">
        <x:v>16</x:v>
      </x:c>
      <x:c r="E40" s="4" t="s">
        <x:v>17</x:v>
      </x:c>
    </x:row>
    <x:row r="41" ht="15.75" customHeight="1">
      <x:c r="A41" s="117"/>
      <x:c r="B41" s="117" t="s">
        <x:v>472</x:v>
      </x:c>
      <x:c r="C41" s="117" t="n">
        <x:f t="shared" ref="C41:E41" si="8">ROUND(C8*C14*C20,0)</x:f>
        <x:v>72</x:v>
      </x:c>
      <x:c r="D41" s="117">
        <x:f t="shared" si="8"/>
        <x:v>193</x:v>
      </x:c>
      <x:c r="E41" s="117">
        <x:f t="shared" si="8"/>
        <x:v>400</x:v>
      </x:c>
    </x:row>
    <x:row r="42" ht="15.75" customHeight="1">
      <x:c r="A42" s="117"/>
      <x:c r="B42" s="117" t="s">
        <x:v>473</x:v>
      </x:c>
      <x:c r="C42" s="117" t="n">
        <x:f t="shared" ref="C42:E42" si="9">ROUND(C9*C15*C21,0)</x:f>
        <x:v>300</x:v>
      </x:c>
      <x:c r="D42" s="117">
        <x:f t="shared" si="9"/>
        <x:v>800</x:v>
      </x:c>
      <x:c r="E42" s="117">
        <x:f t="shared" si="9"/>
        <x:v>1680</x:v>
      </x:c>
    </x:row>
    <x:row r="43" ht="15.75" customHeight="1">
      <x:c r="A43" s="117"/>
      <x:c r="B43" s="117" t="s">
        <x:v>474</x:v>
      </x:c>
      <x:c r="C43" s="117" t="n">
        <x:f t="shared" ref="C43:E43" si="10">ROUND(C10*C16*C22,0)</x:f>
        <x:v>800</x:v>
      </x:c>
      <x:c r="D43" s="117">
        <x:f t="shared" si="10"/>
        <x:v>2633</x:v>
      </x:c>
      <x:c r="E43" s="117">
        <x:f t="shared" si="10"/>
        <x:v>6000</x:v>
      </x:c>
    </x:row>
    <x:row r="44" ht="15.75" customHeight="1">
      <x:c r="A44" s="117"/>
      <x:c r="B44" s="117"/>
      <x:c r="C44" s="117"/>
      <x:c r="D44" s="117"/>
      <x:c r="E44" s="117"/>
    </x:row>
    <x:row r="45" ht="15.75" customHeight="1">
      <x:c r="A45" s="117"/>
      <x:c r="B45" s="117"/>
      <x:c r="C45" s="117"/>
      <x:c r="D45" s="117"/>
      <x:c r="E45" s="117"/>
    </x:row>
    <x:row r="46" ht="15.75" customHeight="1">
      <x:c r="A46" s="120" t="s">
        <x:v>481</x:v>
      </x:c>
      <x:c r="B46" s="121"/>
      <x:c r="C46" s="121"/>
      <x:c r="D46" s="121"/>
      <x:c r="E46" s="122"/>
    </x:row>
    <x:row r="47" ht="15.75" customHeight="1">
      <x:c r="A47" s="131" t="s">
        <x:v>482</x:v>
      </x:c>
      <x:c r="B47" s="117"/>
      <x:c r="C47" s="117"/>
      <x:c r="D47" s="117"/>
      <x:c r="E47" s="117"/>
    </x:row>
    <x:row r="48" ht="15.75" customHeight="1">
      <x:c r="A48" s="131" t="s">
        <x:v>483</x:v>
      </x:c>
      <x:c r="B48" s="117"/>
      <x:c r="C48" s="117"/>
      <x:c r="D48" s="117"/>
      <x:c r="E48" s="117"/>
    </x:row>
    <x:row r="49" ht="15.75" customHeight="1">
      <x:c r="A49" s="131" t="s">
        <x:v>484</x:v>
      </x:c>
      <x:c r="B49" s="117"/>
      <x:c r="C49" s="117"/>
      <x:c r="D49" s="117"/>
      <x:c r="E49" s="117"/>
    </x:row>
    <x:row r="50" ht="15.75" customHeight="1"/>
    <x:row r="51" ht="15.75" customHeight="1"/>
    <x:row r="52" ht="15.75" customHeight="1">
      <x:c r="A52" s="37" t="s">
        <x:v>485</x:v>
      </x:c>
      <x:c r="B52" s="38"/>
      <x:c r="C52" s="38"/>
      <x:c r="D52" s="38"/>
      <x:c r="E52" s="39"/>
    </x:row>
    <x:row r="53" ht="15.75" customHeight="1">
      <x:c r="A53" s="106" t="s">
        <x:v>468</x:v>
      </x:c>
      <x:c r="B53" s="106" t="s">
        <x:v>486</x:v>
      </x:c>
      <x:c r="C53" s="106" t="s">
        <x:v>15</x:v>
      </x:c>
      <x:c r="D53" s="106" t="s">
        <x:v>16</x:v>
      </x:c>
      <x:c r="E53" s="106" t="s">
        <x:v>17</x:v>
      </x:c>
    </x:row>
    <x:row r="54" ht="15.75" customHeight="1">
      <x:c r="A54" s="132" t="s">
        <x:v>487</x:v>
      </x:c>
      <x:c r="B54" s="132"/>
      <x:c r="C54" s="132" t="n">
        <x:f t="shared" ref="C54:E54" si="11">ROUND(C7*C56/(C56+C57),0)</x:f>
        <x:v>18</x:v>
      </x:c>
      <x:c r="D54" s="132">
        <x:f t="shared" si="11"/>
        <x:v>35</x:v>
      </x:c>
      <x:c r="E54" s="132">
        <x:f t="shared" si="11"/>
        <x:v>56</x:v>
      </x:c>
    </x:row>
    <x:row r="55" ht="15.75" customHeight="1">
      <x:c r="A55" s="132" t="s">
        <x:v>488</x:v>
      </x:c>
      <x:c r="B55" s="132"/>
      <x:c r="C55" s="132" t="n">
        <x:f t="shared" ref="C55:E55" si="12">C7-C54</x:f>
        <x:v>7</x:v>
      </x:c>
      <x:c r="D55" s="132">
        <x:f t="shared" si="12"/>
        <x:v>15</x:v>
      </x:c>
      <x:c r="E55" s="132">
        <x:f t="shared" si="12"/>
        <x:v>24</x:v>
      </x:c>
    </x:row>
    <x:row r="56" ht="15.75" customHeight="1">
      <x:c r="A56" s="133" t="s">
        <x:v>489</x:v>
      </x:c>
      <x:c r="B56" s="133"/>
      <x:c r="C56" s="134">
        <x:v>18.0</x:v>
      </x:c>
      <x:c r="D56" s="134">
        <x:v>35.0</x:v>
      </x:c>
      <x:c r="E56" s="134">
        <x:v>56.0</x:v>
      </x:c>
    </x:row>
    <x:row r="57" ht="15.75" customHeight="1">
      <x:c r="A57" s="133" t="s">
        <x:v>490</x:v>
      </x:c>
      <x:c r="B57" s="133"/>
      <x:c r="C57" s="134">
        <x:v>7.0</x:v>
      </x:c>
      <x:c r="D57" s="134">
        <x:v>15.0</x:v>
      </x:c>
      <x:c r="E57" s="134">
        <x:v>24.0</x:v>
      </x:c>
    </x:row>
    <x:row r="58" ht="15.75" customHeight="1">
      <x:c r="A58" s="133" t="s">
        <x:v>491</x:v>
      </x:c>
      <x:c r="B58" s="133"/>
      <x:c r="C58" s="133" t="n">
        <x:f t="shared" ref="C58:E58" si="13">ROUND(C54/C59,0)</x:f>
        <x:v>90</x:v>
      </x:c>
      <x:c r="D58" s="133">
        <x:f t="shared" si="13"/>
        <x:v>175</x:v>
      </x:c>
      <x:c r="E58" s="133">
        <x:f t="shared" si="13"/>
        <x:v>280</x:v>
      </x:c>
    </x:row>
    <x:row r="59" ht="15.75" customHeight="1">
      <x:c r="A59" s="133" t="s">
        <x:v>492</x:v>
      </x:c>
      <x:c r="B59" s="133"/>
      <x:c r="C59" s="135">
        <x:v>0.2</x:v>
      </x:c>
      <x:c r="D59" s="135">
        <x:v>0.2</x:v>
      </x:c>
      <x:c r="E59" s="135">
        <x:v>0.2</x:v>
      </x:c>
    </x:row>
    <x:row r="60" ht="15.75" customHeight="1">
      <x:c r="A60" s="133" t="s">
        <x:v>493</x:v>
      </x:c>
      <x:c r="B60" s="133"/>
      <x:c r="C60" s="133" t="n">
        <x:f t="shared" ref="C60:E60" si="14">ROUND(C55/C61,0)</x:f>
        <x:v>35</x:v>
      </x:c>
      <x:c r="D60" s="133">
        <x:f t="shared" si="14"/>
        <x:v>75</x:v>
      </x:c>
      <x:c r="E60" s="133">
        <x:f t="shared" si="14"/>
        <x:v>120</x:v>
      </x:c>
    </x:row>
    <x:row r="61" ht="15.75" customHeight="1">
      <x:c r="A61" s="133" t="s">
        <x:v>494</x:v>
      </x:c>
      <x:c r="B61" s="133"/>
      <x:c r="C61" s="135">
        <x:v>0.2</x:v>
      </x:c>
      <x:c r="D61" s="135">
        <x:v>0.2</x:v>
      </x:c>
      <x:c r="E61" s="135">
        <x:v>0.2</x:v>
      </x:c>
    </x:row>
    <x:row r="62" ht="15.75" customHeight="1">
      <x:c r="A62" s="133" t="s">
        <x:v>495</x:v>
      </x:c>
      <x:c r="B62" s="133"/>
      <x:c r="C62" s="133" t="n">
        <x:f t="shared" ref="C62:E62" si="15">C55</x:f>
        <x:v>7</x:v>
      </x:c>
      <x:c r="D62" s="133">
        <x:f t="shared" si="15"/>
        <x:v>15</x:v>
      </x:c>
      <x:c r="E62" s="133">
        <x:f t="shared" si="15"/>
        <x:v>24</x:v>
      </x:c>
    </x:row>
    <x:row r="63" ht="15.75" customHeight="1">
      <x:c r="A63" s="133" t="s">
        <x:v>496</x:v>
      </x:c>
      <x:c r="B63" s="136">
        <x:v>75.0</x:v>
      </x:c>
      <x:c r="C63" s="137" t="n">
        <x:f t="shared" ref="C63:E63" si="16">C54*$B$63</x:f>
        <x:v>1350</x:v>
      </x:c>
      <x:c r="D63" s="137">
        <x:f t="shared" si="16"/>
        <x:v>2625</x:v>
      </x:c>
      <x:c r="E63" s="137">
        <x:f t="shared" si="16"/>
        <x:v>4200</x:v>
      </x:c>
    </x:row>
    <x:row r="64" ht="15.75" customHeight="1">
      <x:c r="A64" s="133" t="s">
        <x:v>497</x:v>
      </x:c>
      <x:c r="B64" s="136">
        <x:v>300.0</x:v>
      </x:c>
      <x:c r="C64" s="137" t="n">
        <x:f t="shared" ref="C64:E64" si="17">C55*$B$64</x:f>
        <x:v>2100</x:v>
      </x:c>
      <x:c r="D64" s="137">
        <x:f t="shared" si="17"/>
        <x:v>4500</x:v>
      </x:c>
      <x:c r="E64" s="137">
        <x:f t="shared" si="17"/>
        <x:v>7200</x:v>
      </x:c>
    </x:row>
    <x:row r="65" ht="15.75" customHeight="1">
      <x:c r="A65" s="138" t="s">
        <x:v>498</x:v>
      </x:c>
      <x:c r="B65" s="139"/>
      <x:c r="C65" s="139" t="n">
        <x:f t="shared" ref="C65:E65" si="18">SUM(C63:C64)</x:f>
        <x:v>3450</x:v>
      </x:c>
      <x:c r="D65" s="139">
        <x:f t="shared" si="18"/>
        <x:v>7125</x:v>
      </x:c>
      <x:c r="E65" s="139">
        <x:f t="shared" si="18"/>
        <x:v>11400</x:v>
      </x:c>
    </x:row>
    <x:row r="66" ht="15.75" customHeight="1">
      <x:c r="A66" s="105"/>
      <x:c r="B66" s="105"/>
      <x:c r="C66" s="105"/>
      <x:c r="D66" s="105"/>
      <x:c r="E66" s="105"/>
    </x:row>
    <x:row r="67" ht="15.75" customHeight="1">
      <x:c r="A67" s="37" t="s">
        <x:v>499</x:v>
      </x:c>
      <x:c r="B67" s="38"/>
      <x:c r="C67" s="38"/>
      <x:c r="D67" s="38"/>
      <x:c r="E67" s="39"/>
    </x:row>
    <x:row r="68" ht="15.75" customHeight="1">
      <x:c r="A68" s="106" t="s">
        <x:v>500</x:v>
      </x:c>
      <x:c r="B68" s="106" t="s">
        <x:v>501</x:v>
      </x:c>
      <x:c r="C68" s="106" t="s">
        <x:v>432</x:v>
      </x:c>
      <x:c r="D68" s="106" t="s">
        <x:v>435</x:v>
      </x:c>
      <x:c r="E68" s="106" t="s">
        <x:v>245</x:v>
      </x:c>
    </x:row>
    <x:row r="69" ht="53.25" customHeight="1">
      <x:c r="A69" s="110" t="s">
        <x:v>502</x:v>
      </x:c>
      <x:c r="B69" s="110" t="s">
        <x:v>503</x:v>
      </x:c>
      <x:c r="C69" s="110" t="s">
        <x:v>504</x:v>
      </x:c>
      <x:c r="D69" s="110" t="s">
        <x:v>505</x:v>
      </x:c>
      <x:c r="E69" s="110" t="s">
        <x:v>372</x:v>
      </x:c>
    </x:row>
    <x:row r="70" ht="56.25" customHeight="1">
      <x:c r="A70" s="110" t="s">
        <x:v>506</x:v>
      </x:c>
      <x:c r="B70" s="110" t="s">
        <x:v>507</x:v>
      </x:c>
      <x:c r="C70" s="110" t="s">
        <x:v>508</x:v>
      </x:c>
      <x:c r="D70" s="110" t="s">
        <x:v>509</x:v>
      </x:c>
      <x:c r="E70" s="110" t="s">
        <x:v>372</x:v>
      </x:c>
    </x:row>
    <x:row r="71" ht="48.75" customHeight="1">
      <x:c r="A71" s="110" t="s">
        <x:v>425</x:v>
      </x:c>
      <x:c r="B71" s="110" t="s">
        <x:v>510</x:v>
      </x:c>
      <x:c r="C71" s="110" t="s">
        <x:v>511</x:v>
      </x:c>
      <x:c r="D71" s="110" t="s">
        <x:v>512</x:v>
      </x:c>
      <x:c r="E71" s="110" t="s">
        <x:v>513</x:v>
      </x:c>
    </x:row>
    <x:row r="72" ht="50.25" customHeight="1">
      <x:c r="A72" s="110" t="s">
        <x:v>514</x:v>
      </x:c>
      <x:c r="B72" s="110" t="s">
        <x:v>515</x:v>
      </x:c>
      <x:c r="C72" s="110" t="s">
        <x:v>516</x:v>
      </x:c>
      <x:c r="D72" s="110" t="s">
        <x:v>517</x:v>
      </x:c>
      <x:c r="E72" s="110" t="s">
        <x:v>518</x:v>
      </x:c>
    </x:row>
    <x:row r="73" ht="48.75" customHeight="1">
      <x:c r="A73" s="110" t="s">
        <x:v>426</x:v>
      </x:c>
      <x:c r="B73" s="110" t="s">
        <x:v>519</x:v>
      </x:c>
      <x:c r="C73" s="110" t="s">
        <x:v>520</x:v>
      </x:c>
      <x:c r="D73" s="110" t="s">
        <x:v>521</x:v>
      </x:c>
      <x:c r="E73" s="110" t="s">
        <x:v>522</x:v>
      </x:c>
    </x:row>
    <x:row r="74" ht="53.25" customHeight="1">
      <x:c r="A74" s="110" t="s">
        <x:v>523</x:v>
      </x:c>
      <x:c r="B74" s="110" t="s">
        <x:v>524</x:v>
      </x:c>
      <x:c r="C74" s="110" t="s">
        <x:v>525</x:v>
      </x:c>
      <x:c r="D74" s="110" t="s">
        <x:v>526</x:v>
      </x:c>
      <x:c r="E74" s="110" t="s">
        <x:v>527</x:v>
      </x:c>
    </x:row>
    <x:row r="75" ht="54" customHeight="1">
      <x:c r="A75" s="111" t="s">
        <x:v>428</x:v>
      </x:c>
      <x:c r="B75" s="111" t="s">
        <x:v>528</x:v>
      </x:c>
      <x:c r="C75" s="111" t="s">
        <x:v>529</x:v>
      </x:c>
      <x:c r="D75" s="111" t="s">
        <x:v>529</x:v>
      </x:c>
      <x:c r="E75" s="111" t="s">
        <x:v>530</x:v>
      </x:c>
    </x:row>
    <x:row r="76" ht="15.75" customHeight="1">
      <x:c r="A76" s="105"/>
      <x:c r="B76" s="105"/>
      <x:c r="C76" s="105"/>
      <x:c r="D76" s="105"/>
      <x:c r="E76" s="105"/>
    </x:row>
    <x:row r="77" ht="15.75" customHeight="1">
      <x:c r="A77" s="37" t="s">
        <x:v>531</x:v>
      </x:c>
      <x:c r="B77" s="38"/>
      <x:c r="C77" s="38"/>
      <x:c r="D77" s="38"/>
      <x:c r="E77" s="39"/>
    </x:row>
    <x:row r="78" ht="24" customHeight="1">
      <x:c r="A78" s="140" t="s">
        <x:v>532</x:v>
      </x:c>
    </x:row>
    <x:row r="79" ht="24" customHeight="1">
      <x:c r="A79" s="140" t="s">
        <x:v>533</x:v>
      </x:c>
    </x:row>
    <x:row r="80" ht="24" customHeight="1">
      <x:c r="A80" s="140" t="s">
        <x:v>534</x:v>
      </x:c>
    </x:row>
    <x:row r="81" ht="24" customHeight="1">
      <x:c r="A81" s="140" t="s">
        <x:v>535</x:v>
      </x:c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78:E78"/>
    <x:mergeCell ref="A79:E79"/>
    <x:mergeCell ref="A80:E80"/>
    <x:mergeCell ref="A81:E81"/>
  </x:mergeCells>
  <x:dataValidations count="1">
    <x:dataValidation type="list" allowBlank="1" sqref="B2">
      <x:formula1>"1,2,3"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18" customWidth="1"/>
    <x:col min="2" max="2" width="54" customWidth="1"/>
    <x:col min="3" max="3" width="43" customWidth="1"/>
    <x:col min="4" max="4" width="30" customWidth="1"/>
    <x:col min="5" max="26" width="8.630000114440918" customWidth="1"/>
  </x:cols>
  <x:sheetData>
    <x:row r="1" ht="27.75" customHeight="1">
      <x:c r="A1" s="141" t="str">
        <x:v>ANTECEDENTE — consultar Resumen nuevo, Flujo mensual nuevo y Plan 18 meses</x:v>
      </x:c>
    </x:row>
    <x:row r="2" ht="21.75" customHeight="1">
      <x:c r="A2" s="142" t="s">
        <x:v>536</x:v>
      </x:c>
    </x:row>
    <x:row r="3">
      <x:c r="A3" s="105"/>
      <x:c r="B3" s="105"/>
      <x:c r="C3" s="105"/>
      <x:c r="D3" s="105"/>
    </x:row>
    <x:row r="4">
      <x:c r="A4" s="106" t="s">
        <x:v>537</x:v>
      </x:c>
      <x:c r="B4" s="106" t="s">
        <x:v>538</x:v>
      </x:c>
      <x:c r="C4" s="106" t="s">
        <x:v>539</x:v>
      </x:c>
      <x:c r="D4" s="106" t="s">
        <x:v>540</x:v>
      </x:c>
    </x:row>
    <x:row r="5" ht="37.5" customHeight="1">
      <x:c r="A5" s="143" t="s">
        <x:v>541</x:v>
      </x:c>
      <x:c r="B5" s="110" t="s">
        <x:v>542</x:v>
      </x:c>
      <x:c r="C5" s="110" t="s">
        <x:v>543</x:v>
      </x:c>
      <x:c r="D5" s="110" t="s">
        <x:v>544</x:v>
      </x:c>
    </x:row>
    <x:row r="6" ht="37.5" customHeight="1">
      <x:c r="A6" s="143" t="s">
        <x:v>545</x:v>
      </x:c>
      <x:c r="B6" s="110" t="s">
        <x:v>546</x:v>
      </x:c>
      <x:c r="C6" s="110" t="s">
        <x:v>547</x:v>
      </x:c>
      <x:c r="D6" s="110" t="s">
        <x:v>544</x:v>
      </x:c>
    </x:row>
    <x:row r="7" ht="37.5" customHeight="1">
      <x:c r="A7" s="143" t="s">
        <x:v>548</x:v>
      </x:c>
      <x:c r="B7" s="110" t="s">
        <x:v>549</x:v>
      </x:c>
      <x:c r="C7" s="110" t="s">
        <x:v>550</x:v>
      </x:c>
      <x:c r="D7" s="110" t="s">
        <x:v>551</x:v>
      </x:c>
    </x:row>
    <x:row r="8" ht="37.5" customHeight="1">
      <x:c r="A8" s="143" t="s">
        <x:v>552</x:v>
      </x:c>
      <x:c r="B8" s="110" t="s">
        <x:v>553</x:v>
      </x:c>
      <x:c r="C8" s="110" t="s">
        <x:v>554</x:v>
      </x:c>
      <x:c r="D8" s="110" t="s">
        <x:v>555</x:v>
      </x:c>
    </x:row>
    <x:row r="9" ht="37.5" customHeight="1">
      <x:c r="A9" s="143" t="s">
        <x:v>556</x:v>
      </x:c>
      <x:c r="B9" s="110" t="s">
        <x:v>557</x:v>
      </x:c>
      <x:c r="C9" s="110" t="s">
        <x:v>558</x:v>
      </x:c>
      <x:c r="D9" s="110" t="s">
        <x:v>559</x:v>
      </x:c>
    </x:row>
    <x:row r="10" ht="37.5" customHeight="1">
      <x:c r="A10" s="143" t="s">
        <x:v>560</x:v>
      </x:c>
      <x:c r="B10" s="110" t="s">
        <x:v>561</x:v>
      </x:c>
      <x:c r="C10" s="110" t="s">
        <x:v>562</x:v>
      </x:c>
      <x:c r="D10" s="110" t="s">
        <x:v>563</x:v>
      </x:c>
    </x:row>
    <x:row r="11" ht="37.5" customHeight="1">
      <x:c r="A11" s="143" t="s">
        <x:v>564</x:v>
      </x:c>
      <x:c r="B11" s="110" t="s">
        <x:v>565</x:v>
      </x:c>
      <x:c r="C11" s="110" t="s">
        <x:v>566</x:v>
      </x:c>
      <x:c r="D11" s="110" t="s">
        <x:v>567</x:v>
      </x:c>
    </x:row>
    <x:row r="12" ht="37.5" customHeight="1">
      <x:c r="A12" s="143" t="s">
        <x:v>568</x:v>
      </x:c>
      <x:c r="B12" s="110" t="s">
        <x:v>569</x:v>
      </x:c>
      <x:c r="C12" s="110" t="s">
        <x:v>570</x:v>
      </x:c>
      <x:c r="D12" s="110" t="s">
        <x:v>571</x:v>
      </x:c>
    </x:row>
    <x:row r="13" ht="37.5" customHeight="1">
      <x:c r="A13" s="143" t="s">
        <x:v>14</x:v>
      </x:c>
      <x:c r="B13" s="110" t="s">
        <x:v>572</x:v>
      </x:c>
      <x:c r="C13" s="110" t="s">
        <x:v>573</x:v>
      </x:c>
      <x:c r="D13" s="110" t="s">
        <x:v>574</x:v>
      </x:c>
    </x:row>
    <x:row r="14" ht="37.5" customHeight="1">
      <x:c r="A14" s="143" t="s">
        <x:v>575</x:v>
      </x:c>
      <x:c r="B14" s="110" t="s">
        <x:v>576</x:v>
      </x:c>
      <x:c r="C14" s="110" t="s">
        <x:v>577</x:v>
      </x:c>
      <x:c r="D14" s="110" t="s">
        <x:v>578</x:v>
      </x:c>
    </x:row>
    <x:row r="15" ht="37.5" customHeight="1">
      <x:c r="A15" s="144" t="s">
        <x:v>579</x:v>
      </x:c>
      <x:c r="B15" s="145" t="s">
        <x:v>580</x:v>
      </x:c>
      <x:c r="C15" s="145" t="s">
        <x:v>581</x:v>
      </x:c>
      <x:c r="D15" s="145" t="s">
        <x:v>582</x:v>
      </x:c>
    </x:row>
    <x:row r="16" ht="37.5" customHeight="1">
      <x:c r="A16" s="144" t="s">
        <x:v>583</x:v>
      </x:c>
      <x:c r="B16" s="145" t="s">
        <x:v>584</x:v>
      </x:c>
      <x:c r="C16" s="145" t="s">
        <x:v>585</x:v>
      </x:c>
      <x:c r="D16" s="145" t="s">
        <x:v>586</x:v>
      </x:c>
    </x:row>
    <x:row r="17">
      <x:c r="A17" s="146" t="s">
        <x:v>587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17:D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75" hidden="0" customWidth="1"/>
  </x:cols>
  <x:sheetData>
    <x:row r="1" ht="42" customHeight="1">
      <x:c r="A1" s="150" t="str">
        <x:v>Variable</x:v>
      </x:c>
      <x:c r="B1" s="150" t="str">
        <x:v>Valor</x:v>
      </x:c>
      <x:c r="C1" s="150" t="str">
        <x:v>Fuente o criterio</x:v>
      </x:c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42" customHeight="1">
      <x:c r="A2" s="147" t="str">
        <x:v>Lanzamiento mes</x:v>
      </x:c>
      <x:c r="B2" s="147" t="n">
        <x:v>19</x:v>
      </x:c>
      <x:c r="C2" s="147" t="str">
        <x:v>Cierre regulatorio previsto al mes 18</x:v>
      </x:c>
    </x:row>
    <x:row r="3" ht="42" customHeight="1">
      <x:c r="A3" s="147" t="str">
        <x:v>Equipo hasta mes</x:v>
      </x:c>
      <x:c r="B3" s="147" t="n">
        <x:v>18</x:v>
      </x:c>
      <x:c r="C3" s="147" t="str">
        <x:v>4 FTE</x:v>
      </x:c>
    </x:row>
    <x:row r="4" ht="42" customHeight="1">
      <x:c r="A4" s="147" t="str">
        <x:v>Nómina mensual</x:v>
      </x:c>
      <x:c r="B4" s="147" t="n">
        <x:v>11200</x:v>
      </x:c>
      <x:c r="C4" s="147" t="str">
        <x:v>Libro original</x:v>
      </x:c>
    </x:row>
    <x:row r="5" ht="42" customHeight="1">
      <x:c r="A5" s="147" t="str">
        <x:v>Infraestructura mensual</x:v>
      </x:c>
      <x:c r="B5" s="147" t="n">
        <x:v>2000</x:v>
      </x:c>
      <x:c r="C5" s="147" t="str">
        <x:v>Libro original</x:v>
      </x:c>
    </x:row>
    <x:row r="6" ht="42" customHeight="1">
      <x:c r="A6" s="147" t="str">
        <x:v>Nube y herramientas mensual</x:v>
      </x:c>
      <x:c r="B6" s="147" t="n">
        <x:v>500</x:v>
      </x:c>
      <x:c r="C6" s="147" t="str">
        <x:v>Libro original</x:v>
      </x:c>
    </x:row>
    <x:row r="7" ht="42" customHeight="1">
      <x:c r="A7" s="147" t="str">
        <x:v>Prototipos e insumos</x:v>
      </x:c>
      <x:c r="B7" s="147" t="n">
        <x:v>12000</x:v>
      </x:c>
      <x:c r="C7" s="147" t="str">
        <x:v>6000 componentes + 2000 carcasas + 4000 insumos</x:v>
      </x:c>
    </x:row>
    <x:row r="8" ht="42" customHeight="1">
      <x:c r="A8" s="147" t="str">
        <x:v>Bioquímica</x:v>
      </x:c>
      <x:c r="B8" s="147" t="n">
        <x:v>12000</x:v>
      </x:c>
      <x:c r="C8" s="147" t="str">
        <x:v>Libro original</x:v>
      </x:c>
    </x:row>
    <x:row r="9" ht="42" customHeight="1">
      <x:c r="A9" s="147" t="str">
        <x:v>Consultas</x:v>
      </x:c>
      <x:c r="B9" s="147" t="n">
        <x:v>10000</x:v>
      </x:c>
      <x:c r="C9" s="147" t="str">
        <x:v>Médicas 3000; legales 2500; regulatorias 3500; contables 1000</x:v>
      </x:c>
    </x:row>
    <x:row r="10" ht="42" customHeight="1">
      <x:c r="A10" s="147" t="str">
        <x:v>QA</x:v>
      </x:c>
      <x:c r="B10" s="147" t="n">
        <x:v>8000</x:v>
      </x:c>
      <x:c r="C10" s="147" t="str">
        <x:v>Libro original</x:v>
      </x:c>
    </x:row>
    <x:row r="11" ht="42" customHeight="1">
      <x:c r="A11" s="147" t="str">
        <x:v>Evaluación clínica</x:v>
      </x:c>
      <x:c r="B11" s="147" t="n">
        <x:v>30000</x:v>
      </x:c>
      <x:c r="C11" s="147" t="str">
        <x:v>Estimación: centro 12000; referencias 8000; datos/monitor 6000; cobertura 4000</x:v>
      </x:c>
    </x:row>
    <x:row r="12" ht="42" customHeight="1">
      <x:c r="A12" s="147" t="str">
        <x:v>Ensayos y trámites</x:v>
      </x:c>
      <x:c r="B12" s="147" t="n">
        <x:v>10000</x:v>
      </x:c>
      <x:c r="C12" s="147" t="str">
        <x:v>Estimación: IP/sudor 3000; seguridad/EMC 4000; radio/registro 3000</x:v>
      </x:c>
    </x:row>
    <x:row r="13" ht="42" customHeight="1">
      <x:c r="A13" s="147" t="str">
        <x:v>Reserva técnica</x:v>
      </x:c>
      <x:c r="B13" s="147" t="n">
        <x:v>0.1</x:v>
      </x:c>
      <x:c r="C13" s="147" t="str">
        <x:v>Sobre técnica y herramientas</x:v>
      </x:c>
    </x:row>
    <x:row r="14" ht="42" customHeight="1">
      <x:c r="A14" s="147" t="str">
        <x:v>Merma</x:v>
      </x:c>
      <x:c r="B14" s="147" t="n">
        <x:v>0.1</x:v>
      </x:c>
      <x:c r="C14" s="147" t="str">
        <x:v>Unidades brutas</x:v>
      </x:c>
    </x:row>
    <x:row r="15" ht="42" customHeight="1">
      <x:c r="A15" s="147" t="str">
        <x:v>Precio kit</x:v>
      </x:c>
      <x:c r="B15" s="147" t="n">
        <x:v>800</x:v>
      </x:c>
      <x:c r="C15" s="147" t="str">
        <x:v>Decisión del usuario: 29/10/2026; receptividad por validar</x:v>
      </x:c>
    </x:row>
    <x:row r="16" ht="42" customHeight="1">
      <x:c r="A16" s="147" t="str">
        <x:v>Precio recambio</x:v>
      </x:c>
      <x:c r="B16" s="147" t="n">
        <x:v>25</x:v>
      </x:c>
      <x:c r="C16" s="147" t="str">
        <x:v>Libro original</x:v>
      </x:c>
    </x:row>
    <x:row r="17" ht="42" customHeight="1">
      <x:c r="A17" s="147" t="str">
        <x:v>Retención mensual</x:v>
      </x:c>
      <x:c r="B17" s="147" t="n">
        <x:v>0.95</x:v>
      </x:c>
      <x:c r="C17" s="147" t="str">
        <x:v>Libro original</x:v>
      </x:c>
    </x:row>
    <x:row r="18" ht="42" customHeight="1">
      <x:c r="A18" s="147" t="str">
        <x:v>Recambios mensuales</x:v>
      </x:c>
      <x:c r="B18" s="147" t="n">
        <x:v>4</x:v>
      </x:c>
      <x:c r="C18" s="147" t="str">
        <x:v>Restar dos parches iniciales de cada alta</x:v>
      </x:c>
    </x:row>
    <x:row r="19" ht="42" customHeight="1">
      <x:c r="A19" s="147" t="str">
        <x:v>Lector material</x:v>
      </x:c>
      <x:c r="B19" s="147" t="n">
        <x:v>55.3</x:v>
      </x:c>
      <x:c r="C19" s="147" t="str">
        <x:v>Base 49.30 + USB-C 3 + sellado 2 + térmico 1; estimación</x:v>
      </x:c>
    </x:row>
    <x:row r="20" ht="42" customHeight="1">
      <x:c r="A20" s="147" t="str">
        <x:v>Lector terminación</x:v>
      </x:c>
      <x:c r="B20" s="147" t="n">
        <x:v>6.08</x:v>
      </x:c>
      <x:c r="C20" s="147" t="str">
        <x:v>Libro original</x:v>
      </x:c>
    </x:row>
    <x:row r="21" ht="42" customHeight="1">
      <x:c r="A21" s="147" t="str">
        <x:v>Pulsera material</x:v>
      </x:c>
      <x:c r="B21" s="147" t="n">
        <x:v>33.65</x:v>
      </x:c>
      <x:c r="C21" s="147" t="str">
        <x:v>Base 26.65 + USB-C/sellado/térmico 6 + LED 1; estimación</x:v>
      </x:c>
    </x:row>
    <x:row r="22" ht="42" customHeight="1">
      <x:c r="A22" s="147" t="str">
        <x:v>Pulsera terminación</x:v>
      </x:c>
      <x:c r="B22" s="147" t="n">
        <x:v>5.1</x:v>
      </x:c>
      <x:c r="C22" s="147" t="str">
        <x:v>Libro original</x:v>
      </x:c>
    </x:row>
    <x:row r="23" ht="42" customHeight="1">
      <x:c r="A23" s="147" t="str">
        <x:v>Parche material</x:v>
      </x:c>
      <x:c r="B23" s="147" t="n">
        <x:v>7.25</x:v>
      </x:c>
      <x:c r="C23" s="147" t="str">
        <x:v>Libro original</x:v>
      </x:c>
    </x:row>
    <x:row r="24" ht="42" customHeight="1">
      <x:c r="A24" s="147" t="str">
        <x:v>Parche preparación</x:v>
      </x:c>
      <x:c r="B24" s="147" t="n">
        <x:v>4.08</x:v>
      </x:c>
      <x:c r="C24" s="147" t="str">
        <x:v>Libro original</x:v>
      </x:c>
    </x:row>
    <x:row r="25" ht="42" customHeight="1">
      <x:c r="A25" s="147" t="str">
        <x:v>Caja y accesorios</x:v>
      </x:c>
      <x:c r="B25" s="147" t="n">
        <x:v>15.4</x:v>
      </x:c>
      <x:c r="C25" s="147" t="str">
        <x:v>Caja 1.80 + fuente 10 + cables 3 + guía .60; estimación</x:v>
      </x:c>
    </x:row>
    <x:row r="26" ht="42" customHeight="1">
      <x:c r="A26" s="147" t="str">
        <x:v>Flete</x:v>
      </x:c>
      <x:c r="B26" s="147" t="n">
        <x:v>16</x:v>
      </x:c>
      <x:c r="C26" s="147" t="str">
        <x:v>Estimación</x:v>
      </x:c>
    </x:row>
    <x:row r="27" ht="42" customHeight="1">
      <x:c r="A27" s="147" t="str">
        <x:v>Seguro</x:v>
      </x:c>
      <x:c r="B27" s="147" t="n">
        <x:v>1.5</x:v>
      </x:c>
      <x:c r="C27" s="147" t="str">
        <x:v>Estimación</x:v>
      </x:c>
    </x:row>
    <x:row r="28" ht="42" customHeight="1">
      <x:c r="A28" s="147" t="str">
        <x:v>Importación CIF</x:v>
      </x:c>
      <x:c r="B28" s="147" t="n">
        <x:v>0.45</x:v>
      </x:c>
      <x:c r="C28" s="147" t="str">
        <x:v>Previsión académica simplificada</x:v>
      </x:c>
    </x:row>
    <x:row r="29" ht="42" customHeight="1">
      <x:c r="A29" s="147" t="str">
        <x:v>Despacho/traslado/recepción</x:v>
      </x:c>
      <x:c r="B29" s="147" t="n">
        <x:v>11</x:v>
      </x:c>
      <x:c r="C29" s="147" t="str">
        <x:v>6+3+2 del libro original</x:v>
      </x:c>
    </x:row>
    <x:row r="30" ht="42" customHeight="1">
      <x:c r="A30" s="147" t="str">
        <x:v>Almacenamiento lote</x:v>
      </x:c>
      <x:c r="B30" s="147" t="n">
        <x:v>300</x:v>
      </x:c>
      <x:c r="C30" s="147" t="str">
        <x:v>Libro original</x:v>
      </x:c>
    </x:row>
    <x:row r="31" ht="42" customHeight="1">
      <x:c r="A31" s="147" t="str">
        <x:v>Logística recambio</x:v>
      </x:c>
      <x:c r="B31" s="147" t="n">
        <x:v>3</x:v>
      </x:c>
      <x:c r="C31" s="147" t="str">
        <x:v>Libro original</x:v>
      </x:c>
    </x:row>
    <x:row r="32" ht="42" customHeight="1">
      <x:c r="A32" s="147" t="str">
        <x:v>Comisión ventas</x:v>
      </x:c>
      <x:c r="B32" s="147" t="n">
        <x:v>0.08</x:v>
      </x:c>
      <x:c r="C32" s="147" t="str">
        <x:v>Libro original</x:v>
      </x:c>
    </x:row>
    <x:row r="33" ht="42" customHeight="1">
      <x:c r="A33" s="147" t="str">
        <x:v>Descuento anual</x:v>
      </x:c>
      <x:c r="B33" s="147" t="n">
        <x:v>0.2</x:v>
      </x:c>
      <x:c r="C33" s="147" t="str">
        <x:v>Libro original</x:v>
      </x:c>
    </x:row>
    <x:row r="34" ht="42" customHeight="1">
      <x:c r="A34" s="147" t="str">
        <x:v>Ventas año comercial 1</x:v>
      </x:c>
      <x:c r="B34" s="147" t="n">
        <x:f>'Plan comercial'!C24</x:f>
        <x:v>300</x:v>
      </x:c>
      <x:c r="C34" s="147" t="str">
        <x:v>Libro original</x:v>
      </x:c>
    </x:row>
    <x:row r="35" ht="42" customHeight="1">
      <x:c r="A35" s="147" t="str">
        <x:v>Ventas año comercial 2</x:v>
      </x:c>
      <x:c r="B35" s="147" t="n">
        <x:f>'Plan comercial'!D24</x:f>
        <x:v>800</x:v>
      </x:c>
      <x:c r="C35" s="147" t="str">
        <x:v>Libro original</x:v>
      </x:c>
    </x:row>
    <x:row r="36" ht="42" customHeight="1">
      <x:c r="A36" s="147" t="str">
        <x:v>Ventas año comercial 3</x:v>
      </x:c>
      <x:c r="B36" s="147" t="n">
        <x:f>'Plan comercial'!E24</x:f>
        <x:v>1680</x:v>
      </x:c>
      <x:c r="C36" s="147" t="str">
        <x:v>Libro original</x:v>
      </x:c>
    </x:row>
    <x:row r="37" ht="42" customHeight="1">
      <x:c r="A37" s="147" t="str">
        <x:v>Demos año comercial 1</x:v>
      </x:c>
      <x:c r="B37" s="147" t="n">
        <x:f>'Plan comercial'!C62</x:f>
        <x:v>7</x:v>
      </x:c>
      <x:c r="C37" s="147" t="str">
        <x:v>Libro original</x:v>
      </x:c>
    </x:row>
    <x:row r="38" ht="42" customHeight="1">
      <x:c r="A38" s="147" t="str">
        <x:v>Demos año comercial 2</x:v>
      </x:c>
      <x:c r="B38" s="147" t="n">
        <x:f>'Plan comercial'!D62</x:f>
        <x:v>15</x:v>
      </x:c>
      <x:c r="C38" s="147" t="str">
        <x:v>Libro original</x:v>
      </x:c>
    </x:row>
    <x:row r="39" ht="42" customHeight="1">
      <x:c r="A39" s="147" t="str">
        <x:v>Demos año comercial 3</x:v>
      </x:c>
      <x:c r="B39" s="147" t="n">
        <x:f>'Plan comercial'!E62</x:f>
        <x:v>24</x:v>
      </x:c>
      <x:c r="C39" s="147" t="str">
        <x:v>Libro original</x:v>
      </x:c>
    </x:row>
    <x:row r="40" ht="42" customHeight="1">
      <x:c r="A40" s="147" t="str">
        <x:v>Onboarding año comercial 1</x:v>
      </x:c>
      <x:c r="B40" s="147" t="n">
        <x:f>'Plan comercial'!C65</x:f>
        <x:v>3450</x:v>
      </x:c>
      <x:c r="C40" s="147" t="str">
        <x:v>Libro original</x:v>
      </x:c>
    </x:row>
    <x:row r="41" ht="42" customHeight="1">
      <x:c r="A41" s="147" t="str">
        <x:v>Onboarding año comercial 2</x:v>
      </x:c>
      <x:c r="B41" s="147" t="n">
        <x:f>'Plan comercial'!D65</x:f>
        <x:v>7125</x:v>
      </x:c>
      <x:c r="C41" s="147" t="str">
        <x:v>Libro original</x:v>
      </x:c>
    </x:row>
    <x:row r="42" ht="42" customHeight="1">
      <x:c r="A42" s="147" t="str">
        <x:v>Onboarding año comercial 3</x:v>
      </x:c>
      <x:c r="B42" s="147" t="n">
        <x:f>'Plan comercial'!E65</x:f>
        <x:v>11400</x:v>
      </x:c>
      <x:c r="C42" s="147" t="str">
        <x:v>Libro original</x:v>
      </x:c>
    </x:row>
    <x:row r="43" ht="42" customHeight="1">
      <x:c r="A43" s="147" t="str">
        <x:v>Soporte h/100 clientes/mes</x:v>
      </x:c>
      <x:c r="B43" s="147" t="n">
        <x:v>40</x:v>
      </x:c>
      <x:c r="C43" s="147" t="str">
        <x:v>Libro original</x:v>
      </x:c>
    </x:row>
    <x:row r="44" ht="42" customHeight="1">
      <x:c r="A44" s="147" t="str">
        <x:v>Tarifa soporte</x:v>
      </x:c>
      <x:c r="B44" s="147" t="n">
        <x:v>14.5833333333</x:v>
      </x:c>
      <x:c r="C44" s="147" t="str">
        <x:v>Libro original</x:v>
      </x:c>
    </x:row>
    <x:row r="45" ht="42" customHeight="1">
      <x:c r="A45" s="147" t="str">
        <x:v>Comercial mensual año 1</x:v>
      </x:c>
      <x:c r="B45" s="147" t="n">
        <x:v>2500</x:v>
      </x:c>
      <x:c r="C45" s="147" t="str">
        <x:v>Libro original</x:v>
      </x:c>
    </x:row>
    <x:row r="46" ht="42" customHeight="1">
      <x:c r="A46" s="147" t="str">
        <x:v>Comercial mensual año 2</x:v>
      </x:c>
      <x:c r="B46" s="147" t="n">
        <x:v>5000</x:v>
      </x:c>
      <x:c r="C46" s="147" t="str">
        <x:v>Libro original</x:v>
      </x:c>
    </x:row>
    <x:row r="47" ht="42" customHeight="1">
      <x:c r="A47" s="147" t="str">
        <x:v>Comercial mensual año 3</x:v>
      </x:c>
      <x:c r="B47" s="147" t="n">
        <x:v>7500</x:v>
      </x:c>
      <x:c r="C47" s="147" t="str">
        <x:v>Libro original</x:v>
      </x:c>
    </x:row>
    <x:row r="48" ht="42" customHeight="1">
      <x:c r="A48" s="147" t="str">
        <x:v>Difusión mensual año 1</x:v>
      </x:c>
      <x:c r="B48" s="147" t="n">
        <x:v>2000</x:v>
      </x:c>
      <x:c r="C48" s="147" t="str">
        <x:v>Libro original</x:v>
      </x:c>
    </x:row>
    <x:row r="49" ht="42" customHeight="1">
      <x:c r="A49" s="147" t="str">
        <x:v>Difusión mensual año 2</x:v>
      </x:c>
      <x:c r="B49" s="147" t="n">
        <x:v>3500</x:v>
      </x:c>
      <x:c r="C49" s="147" t="str">
        <x:v>Libro original</x:v>
      </x:c>
    </x:row>
    <x:row r="50" ht="42" customHeight="1">
      <x:c r="A50" s="147" t="str">
        <x:v>Difusión mensual año 3</x:v>
      </x:c>
      <x:c r="B50" s="147" t="n">
        <x:v>5000</x:v>
      </x:c>
      <x:c r="C50" s="147" t="str">
        <x:v>Libro original</x:v>
      </x:c>
    </x:row>
    <x:row r="51" ht="42" customHeight="1">
      <x:c r="A51" s="147" t="str">
        <x:v>Lote inicial comercial</x:v>
      </x:c>
      <x:c r="B51" s="147" t="n">
        <x:v>100</x:v>
      </x:c>
      <x:c r="C51" s="147" t="str">
        <x:v>Disponible antes del lanzamiento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</x:cols>
  <x:sheetData>
    <x:row r="1" ht="42" customHeight="1">
      <x:c r="A1" s="150" t="str">
        <x:v>Mes</x:v>
      </x:c>
      <x:c r="B1" s="150" t="str">
        <x:v>Año</x:v>
      </x:c>
      <x:c r="C1" s="150" t="str">
        <x:v>Kits venta</x:v>
      </x:c>
      <x:c r="D1" s="150" t="str">
        <x:v>Clientes</x:v>
      </x:c>
      <x:c r="E1" s="150" t="str">
        <x:v>Recambios</x:v>
      </x:c>
      <x:c r="F1" s="150" t="str">
        <x:v>Demos</x:v>
      </x:c>
      <x:c r="G1" s="150" t="str">
        <x:v>Producción neta</x:v>
      </x:c>
      <x:c r="H1" s="150" t="str">
        <x:v>Producción bruta</x:v>
      </x:c>
      <x:c r="I1" s="150" t="str">
        <x:v>Stock final</x:v>
      </x:c>
      <x:c r="J1" s="150" t="str">
        <x:v>Ingresos</x:v>
      </x:c>
      <x:c r="K1" s="150" t="str">
        <x:v>Fabricación kit</x:v>
      </x:c>
      <x:c r="L1" s="150" t="str">
        <x:v>Importación</x:v>
      </x:c>
      <x:c r="M1" s="150" t="str">
        <x:v>Costo recambios</x:v>
      </x:c>
      <x:c r="N1" s="150" t="str">
        <x:v>Nómina</x:v>
      </x:c>
      <x:c r="O1" s="150" t="str">
        <x:v>Infraestructura/nube</x:v>
      </x:c>
      <x:c r="P1" s="150" t="str">
        <x:v>Técnica/clínica</x:v>
      </x:c>
      <x:c r="Q1" s="150" t="str">
        <x:v>Reserva</x:v>
      </x:c>
      <x:c r="R1" s="150" t="str">
        <x:v>Comercial/soporte</x:v>
      </x:c>
      <x:c r="S1" s="150" t="str">
        <x:v>Egresos</x:v>
      </x:c>
      <x:c r="T1" s="150" t="str">
        <x:v>Flujo sin capital</x:v>
      </x:c>
      <x:c r="U1" s="150" t="str">
        <x:v>Acumulado</x:v>
      </x:c>
      <x:c r="V1" s="150" t="str">
        <x:v>Descontado</x:v>
      </x:c>
    </x:row>
    <x:row r="2" ht="42" customHeight="1">
      <x:c r="A2" s="147" t="n">
        <x:f>1</x:f>
        <x:v>1</x:v>
      </x:c>
      <x:c r="B2" s="147" t="n">
        <x:f>ROUNDUP(A2/12,0)</x:f>
        <x:v>1</x:v>
      </x:c>
      <x:c r="C2" s="152" t="n">
        <x:f>IF(A2&gt;='Supuestos nuevos'!$B$2,CHOOSE(MIN(3,1+INT((A2-'Supuestos nuevos'!$B$2)/12)),'Supuestos nuevos'!$B$34,'Supuestos nuevos'!$B$35,'Supuestos nuevos'!$B$36)/12,0)</x:f>
        <x:v>0</x:v>
      </x:c>
      <x:c r="D2" s="152" t="n">
        <x:f>0+C2</x:f>
        <x:v>0</x:v>
      </x:c>
      <x:c r="E2" s="152" t="n">
        <x:f>MAX(0,D2*'Supuestos nuevos'!$B$18-2*C2)</x:f>
        <x:v>0</x:v>
      </x:c>
      <x:c r="F2" s="152" t="n">
        <x:f>IF(A2&gt;='Supuestos nuevos'!$B$2,CHOOSE(MIN(3,1+INT((A2-'Supuestos nuevos'!$B$2)/12)),'Supuestos nuevos'!$B$37,'Supuestos nuevos'!$B$38,'Supuestos nuevos'!$B$39)/12,0)</x:f>
        <x:v>0</x:v>
      </x:c>
      <x:c r="G2" s="152" t="n">
        <x:f>IF(A2='Supuestos nuevos'!$B$2-1,'Supuestos nuevos'!$B$51,IF(A2&gt;='Supuestos nuevos'!$B$2,ROUNDUP(MAX(0,C2+F2-0),0),0))</x:f>
        <x:v>0</x:v>
      </x:c>
      <x:c r="H2" s="152" t="n">
        <x:f>ROUNDUP(G2/(1-'Supuestos nuevos'!$B$14),0)</x:f>
        <x:v>0</x:v>
      </x:c>
      <x:c r="I2" s="152" t="n">
        <x:f>0+G2-C2-F2</x:f>
        <x:v>0</x:v>
      </x:c>
      <x:c r="J2" s="152" t="n">
        <x:f>C2*'Supuestos nuevos'!$B$15+E2*'Supuestos nuevos'!$B$16</x:f>
        <x:v>0</x:v>
      </x:c>
      <x:c r="K2" s="152" t="n">
        <x:f>H2*(2*('Supuestos nuevos'!$B$19+'Supuestos nuevos'!$B$20)+'Supuestos nuevos'!$B$21+'Supuestos nuevos'!$B$22+2*('Supuestos nuevos'!$B$23+'Supuestos nuevos'!$B$24)+'Supuestos nuevos'!$B$25)</x:f>
        <x:v>0</x:v>
      </x:c>
      <x:c r="L2" s="152" t="n">
        <x:f>H2*(((2*('Supuestos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nuevos'!$B$29)+IF(A2='Supuestos nuevos'!$B$2-1,'Supuestos nuevos'!$B$30,0)</x:f>
        <x:v>0</x:v>
      </x:c>
      <x:c r="M2" s="152" t="n">
        <x:f>E2*(('Supuestos nuevos'!$B$23+'Supuestos nuevos'!$B$24)/(1-'Supuestos nuevos'!$B$14)+'Supuestos nuevos'!$B$31)</x:f>
        <x:v>0</x:v>
      </x:c>
      <x:c r="N2" s="152" t="n">
        <x:f>IF(A2&lt;='Supuestos nuevos'!$B$3,'Supuestos nuevos'!$B$4,0)</x:f>
        <x:v>11200</x:v>
      </x:c>
      <x:c r="O2" s="152" t="n">
        <x:f>'Supuestos nuevos'!$B$5+'Supuestos nuevos'!$B$6</x:f>
        <x:v>2500</x:v>
      </x:c>
      <x:c r="P2" s="152" t="n">
        <x:f>IF(AND(A2&gt;=2,A2&lt;=12),'Supuestos nuevos'!$B$7/11,0)+IF(AND(A2&gt;=3,A2&lt;=12),SUM('Supuestos nuevos'!$B$8:$B$10)/10,0)+IF(AND(A2&gt;=7,A2&lt;='Supuestos nuevos'!$B$3),SUM('Supuestos nuevos'!$B$11:$B$12)/('Supuestos nuevos'!$B$3-6),0)</x:f>
        <x:v>0</x:v>
      </x:c>
      <x:c r="Q2" s="152" t="n">
        <x:f>(P2+'Supuestos nuevos'!$B$6)*'Supuestos nuevos'!$B$13</x:f>
        <x:v>50</x:v>
      </x:c>
      <x:c r="R2" s="152" t="n">
        <x:f>J2*'Supuestos nuevos'!$B$32+IF(A2&gt;='Supuestos nuevos'!$B$2,CHOOSE(MIN(3,1+INT((A2-'Supuestos nuevos'!$B$2)/12)),'Supuestos nuevos'!$B$45,'Supuestos nuevos'!$B$46,'Supuestos nuevos'!$B$47)+CHOOSE(MIN(3,1+INT((A2-'Supuestos nuevos'!$B$2)/12)),'Supuestos nuevos'!$B$48,'Supuestos nuevos'!$B$49,'Supuestos nuevos'!$B$50)+CHOOSE(MIN(3,1+INT((A2-'Supuestos nuevos'!$B$2)/12)),'Supuestos nuevos'!$B$40,'Supuestos nuevos'!$B$41,'Supuestos nuevos'!$B$42)/12+D2*'Supuestos nuevos'!$B$43/100*'Supuestos nuevos'!$B$44,0)</x:f>
        <x:v>0</x:v>
      </x:c>
      <x:c r="S2" s="152" t="n">
        <x:f>SUM(K2:R2)</x:f>
        <x:v>13750</x:v>
      </x:c>
      <x:c r="T2" s="152" t="n">
        <x:f>J2-S2</x:f>
        <x:v>-13750</x:v>
      </x:c>
      <x:c r="U2" s="152" t="n">
        <x:f>T2+0</x:f>
        <x:v>-13750</x:v>
      </x:c>
      <x:c r="V2" s="152" t="n">
        <x:f>T2/(1+'Supuestos nuevos'!$B$33)^(A2/12)</x:f>
        <x:v>-13542.66890983722</x:v>
      </x:c>
    </x:row>
    <x:row r="3" ht="42" customHeight="1">
      <x:c r="A3" s="147" t="n">
        <x:f>2</x:f>
        <x:v>2</x:v>
      </x:c>
      <x:c r="B3" s="147" t="n">
        <x:f>ROUNDUP(A3/12,0)</x:f>
        <x:v>1</x:v>
      </x:c>
      <x:c r="C3" s="152" t="n">
        <x:f>IF(A3&gt;='Supuestos nuevos'!$B$2,CHOOSE(MIN(3,1+INT((A3-'Supuestos nuevos'!$B$2)/12)),'Supuestos nuevos'!$B$34,'Supuestos nuevos'!$B$35,'Supuestos nuevos'!$B$36)/12,0)</x:f>
        <x:v>0</x:v>
      </x:c>
      <x:c r="D3" s="152" t="n">
        <x:f>D2*'Supuestos nuevos'!$B$17+C3</x:f>
        <x:v>0</x:v>
      </x:c>
      <x:c r="E3" s="152" t="n">
        <x:f>MAX(0,D3*'Supuestos nuevos'!$B$18-2*C3)</x:f>
        <x:v>0</x:v>
      </x:c>
      <x:c r="F3" s="152" t="n">
        <x:f>IF(A3&gt;='Supuestos nuevos'!$B$2,CHOOSE(MIN(3,1+INT((A3-'Supuestos nuevos'!$B$2)/12)),'Supuestos nuevos'!$B$37,'Supuestos nuevos'!$B$38,'Supuestos nuevos'!$B$39)/12,0)</x:f>
        <x:v>0</x:v>
      </x:c>
      <x:c r="G3" s="152" t="n">
        <x:f>IF(A3='Supuestos nuevos'!$B$2-1,'Supuestos nuevos'!$B$51,IF(A3&gt;='Supuestos nuevos'!$B$2,ROUNDUP(MAX(0,C3+F3-I2),0),0))</x:f>
        <x:v>0</x:v>
      </x:c>
      <x:c r="H3" s="152" t="n">
        <x:f>ROUNDUP(G3/(1-'Supuestos nuevos'!$B$14),0)</x:f>
        <x:v>0</x:v>
      </x:c>
      <x:c r="I3" s="152" t="n">
        <x:f>I2+G3-C3-F3</x:f>
        <x:v>0</x:v>
      </x:c>
      <x:c r="J3" s="152" t="n">
        <x:f>C3*'Supuestos nuevos'!$B$15+E3*'Supuestos nuevos'!$B$16</x:f>
        <x:v>0</x:v>
      </x:c>
      <x:c r="K3" s="152" t="n">
        <x:f>H3*(2*('Supuestos nuevos'!$B$19+'Supuestos nuevos'!$B$20)+'Supuestos nuevos'!$B$21+'Supuestos nuevos'!$B$22+2*('Supuestos nuevos'!$B$23+'Supuestos nuevos'!$B$24)+'Supuestos nuevos'!$B$25)</x:f>
        <x:v>0</x:v>
      </x:c>
      <x:c r="L3" s="152" t="n">
        <x:f>H3*(((2*('Supuestos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nuevos'!$B$29)+IF(A3='Supuestos nuevos'!$B$2-1,'Supuestos nuevos'!$B$30,0)</x:f>
        <x:v>0</x:v>
      </x:c>
      <x:c r="M3" s="152" t="n">
        <x:f>E3*(('Supuestos nuevos'!$B$23+'Supuestos nuevos'!$B$24)/(1-'Supuestos nuevos'!$B$14)+'Supuestos nuevos'!$B$31)</x:f>
        <x:v>0</x:v>
      </x:c>
      <x:c r="N3" s="152" t="n">
        <x:f>IF(A3&lt;='Supuestos nuevos'!$B$3,'Supuestos nuevos'!$B$4,0)</x:f>
        <x:v>11200</x:v>
      </x:c>
      <x:c r="O3" s="152" t="n">
        <x:f>'Supuestos nuevos'!$B$5+'Supuestos nuevos'!$B$6</x:f>
        <x:v>2500</x:v>
      </x:c>
      <x:c r="P3" s="152" t="n">
        <x:f>IF(AND(A3&gt;=2,A3&lt;=12),'Supuestos nuevos'!$B$7/11,0)+IF(AND(A3&gt;=3,A3&lt;=12),SUM('Supuestos nuevos'!$B$8:$B$10)/10,0)+IF(AND(A3&gt;=7,A3&lt;='Supuestos nuevos'!$B$3),SUM('Supuestos nuevos'!$B$11:$B$12)/('Supuestos nuevos'!$B$3-6),0)</x:f>
        <x:v>1090.909090909091</x:v>
      </x:c>
      <x:c r="Q3" s="152" t="n">
        <x:f>(P3+'Supuestos nuevos'!$B$6)*'Supuestos nuevos'!$B$13</x:f>
        <x:v>159.09090909090912</x:v>
      </x:c>
      <x:c r="R3" s="152" t="n">
        <x:f>J3*'Supuestos nuevos'!$B$32+IF(A3&gt;='Supuestos nuevos'!$B$2,CHOOSE(MIN(3,1+INT((A3-'Supuestos nuevos'!$B$2)/12)),'Supuestos nuevos'!$B$45,'Supuestos nuevos'!$B$46,'Supuestos nuevos'!$B$47)+CHOOSE(MIN(3,1+INT((A3-'Supuestos nuevos'!$B$2)/12)),'Supuestos nuevos'!$B$48,'Supuestos nuevos'!$B$49,'Supuestos nuevos'!$B$50)+CHOOSE(MIN(3,1+INT((A3-'Supuestos nuevos'!$B$2)/12)),'Supuestos nuevos'!$B$40,'Supuestos nuevos'!$B$41,'Supuestos nuevos'!$B$42)/12+D3*'Supuestos nuevos'!$B$43/100*'Supuestos nuevos'!$B$44,0)</x:f>
        <x:v>0</x:v>
      </x:c>
      <x:c r="S3" s="152" t="n">
        <x:f>SUM(K3:R3)</x:f>
        <x:v>14950.000000000002</x:v>
      </x:c>
      <x:c r="T3" s="152" t="n">
        <x:f>J3-S3</x:f>
        <x:v>-14950.000000000002</x:v>
      </x:c>
      <x:c r="U3" s="152" t="n">
        <x:f>T3+U2</x:f>
        <x:v>-28700</x:v>
      </x:c>
      <x:c r="V3" s="152" t="n">
        <x:f>T3/(1+'Supuestos nuevos'!$B$33)^(A3/12)</x:f>
        <x:v>-14502.548225914717</x:v>
      </x:c>
    </x:row>
    <x:row r="4" ht="42" customHeight="1">
      <x:c r="A4" s="147" t="n">
        <x:f>3</x:f>
        <x:v>3</x:v>
      </x:c>
      <x:c r="B4" s="147" t="n">
        <x:f>ROUNDUP(A4/12,0)</x:f>
        <x:v>1</x:v>
      </x:c>
      <x:c r="C4" s="152" t="n">
        <x:f>IF(A4&gt;='Supuestos nuevos'!$B$2,CHOOSE(MIN(3,1+INT((A4-'Supuestos nuevos'!$B$2)/12)),'Supuestos nuevos'!$B$34,'Supuestos nuevos'!$B$35,'Supuestos nuevos'!$B$36)/12,0)</x:f>
        <x:v>0</x:v>
      </x:c>
      <x:c r="D4" s="152" t="n">
        <x:f>D3*'Supuestos nuevos'!$B$17+C4</x:f>
        <x:v>0</x:v>
      </x:c>
      <x:c r="E4" s="152" t="n">
        <x:f>MAX(0,D4*'Supuestos nuevos'!$B$18-2*C4)</x:f>
        <x:v>0</x:v>
      </x:c>
      <x:c r="F4" s="152" t="n">
        <x:f>IF(A4&gt;='Supuestos nuevos'!$B$2,CHOOSE(MIN(3,1+INT((A4-'Supuestos nuevos'!$B$2)/12)),'Supuestos nuevos'!$B$37,'Supuestos nuevos'!$B$38,'Supuestos nuevos'!$B$39)/12,0)</x:f>
        <x:v>0</x:v>
      </x:c>
      <x:c r="G4" s="152" t="n">
        <x:f>IF(A4='Supuestos nuevos'!$B$2-1,'Supuestos nuevos'!$B$51,IF(A4&gt;='Supuestos nuevos'!$B$2,ROUNDUP(MAX(0,C4+F4-I3),0),0))</x:f>
        <x:v>0</x:v>
      </x:c>
      <x:c r="H4" s="152" t="n">
        <x:f>ROUNDUP(G4/(1-'Supuestos nuevos'!$B$14),0)</x:f>
        <x:v>0</x:v>
      </x:c>
      <x:c r="I4" s="152" t="n">
        <x:f>I3+G4-C4-F4</x:f>
        <x:v>0</x:v>
      </x:c>
      <x:c r="J4" s="152" t="n">
        <x:f>C4*'Supuestos nuevos'!$B$15+E4*'Supuestos nuevos'!$B$16</x:f>
        <x:v>0</x:v>
      </x:c>
      <x:c r="K4" s="152" t="n">
        <x:f>H4*(2*('Supuestos nuevos'!$B$19+'Supuestos nuevos'!$B$20)+'Supuestos nuevos'!$B$21+'Supuestos nuevos'!$B$22+2*('Supuestos nuevos'!$B$23+'Supuestos nuevos'!$B$24)+'Supuestos nuevos'!$B$25)</x:f>
        <x:v>0</x:v>
      </x:c>
      <x:c r="L4" s="152" t="n">
        <x:f>H4*(((2*('Supuestos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nuevos'!$B$29)+IF(A4='Supuestos nuevos'!$B$2-1,'Supuestos nuevos'!$B$30,0)</x:f>
        <x:v>0</x:v>
      </x:c>
      <x:c r="M4" s="152" t="n">
        <x:f>E4*(('Supuestos nuevos'!$B$23+'Supuestos nuevos'!$B$24)/(1-'Supuestos nuevos'!$B$14)+'Supuestos nuevos'!$B$31)</x:f>
        <x:v>0</x:v>
      </x:c>
      <x:c r="N4" s="152" t="n">
        <x:f>IF(A4&lt;='Supuestos nuevos'!$B$3,'Supuestos nuevos'!$B$4,0)</x:f>
        <x:v>11200</x:v>
      </x:c>
      <x:c r="O4" s="152" t="n">
        <x:f>'Supuestos nuevos'!$B$5+'Supuestos nuevos'!$B$6</x:f>
        <x:v>2500</x:v>
      </x:c>
      <x:c r="P4" s="152" t="n">
        <x:f>IF(AND(A4&gt;=2,A4&lt;=12),'Supuestos nuevos'!$B$7/11,0)+IF(AND(A4&gt;=3,A4&lt;=12),SUM('Supuestos nuevos'!$B$8:$B$10)/10,0)+IF(AND(A4&gt;=7,A4&lt;='Supuestos nuevos'!$B$3),SUM('Supuestos nuevos'!$B$11:$B$12)/('Supuestos nuevos'!$B$3-6),0)</x:f>
        <x:v>4090.909090909091</x:v>
      </x:c>
      <x:c r="Q4" s="152" t="n">
        <x:f>(P4+'Supuestos nuevos'!$B$6)*'Supuestos nuevos'!$B$13</x:f>
        <x:v>459.0909090909091</x:v>
      </x:c>
      <x:c r="R4" s="152" t="n">
        <x:f>J4*'Supuestos nuevos'!$B$32+IF(A4&gt;='Supuestos nuevos'!$B$2,CHOOSE(MIN(3,1+INT((A4-'Supuestos nuevos'!$B$2)/12)),'Supuestos nuevos'!$B$45,'Supuestos nuevos'!$B$46,'Supuestos nuevos'!$B$47)+CHOOSE(MIN(3,1+INT((A4-'Supuestos nuevos'!$B$2)/12)),'Supuestos nuevos'!$B$48,'Supuestos nuevos'!$B$49,'Supuestos nuevos'!$B$50)+CHOOSE(MIN(3,1+INT((A4-'Supuestos nuevos'!$B$2)/12)),'Supuestos nuevos'!$B$40,'Supuestos nuevos'!$B$41,'Supuestos nuevos'!$B$42)/12+D4*'Supuestos nuevos'!$B$43/100*'Supuestos nuevos'!$B$44,0)</x:f>
        <x:v>0</x:v>
      </x:c>
      <x:c r="S4" s="152" t="n">
        <x:f>SUM(K4:R4)</x:f>
        <x:v>18250</x:v>
      </x:c>
      <x:c r="T4" s="152" t="n">
        <x:f>J4-S4</x:f>
        <x:v>-18250</x:v>
      </x:c>
      <x:c r="U4" s="152" t="n">
        <x:f>T4+U3</x:f>
        <x:v>-46950</x:v>
      </x:c>
      <x:c r="V4" s="152" t="n">
        <x:f>T4/(1+'Supuestos nuevos'!$B$33)^(A4/12)</x:f>
        <x:v>-17436.830957729693</x:v>
      </x:c>
    </x:row>
    <x:row r="5" ht="42" customHeight="1">
      <x:c r="A5" s="147" t="n">
        <x:f>4</x:f>
        <x:v>4</x:v>
      </x:c>
      <x:c r="B5" s="147" t="n">
        <x:f>ROUNDUP(A5/12,0)</x:f>
        <x:v>1</x:v>
      </x:c>
      <x:c r="C5" s="152" t="n">
        <x:f>IF(A5&gt;='Supuestos nuevos'!$B$2,CHOOSE(MIN(3,1+INT((A5-'Supuestos nuevos'!$B$2)/12)),'Supuestos nuevos'!$B$34,'Supuestos nuevos'!$B$35,'Supuestos nuevos'!$B$36)/12,0)</x:f>
        <x:v>0</x:v>
      </x:c>
      <x:c r="D5" s="152" t="n">
        <x:f>D4*'Supuestos nuevos'!$B$17+C5</x:f>
        <x:v>0</x:v>
      </x:c>
      <x:c r="E5" s="152" t="n">
        <x:f>MAX(0,D5*'Supuestos nuevos'!$B$18-2*C5)</x:f>
        <x:v>0</x:v>
      </x:c>
      <x:c r="F5" s="152" t="n">
        <x:f>IF(A5&gt;='Supuestos nuevos'!$B$2,CHOOSE(MIN(3,1+INT((A5-'Supuestos nuevos'!$B$2)/12)),'Supuestos nuevos'!$B$37,'Supuestos nuevos'!$B$38,'Supuestos nuevos'!$B$39)/12,0)</x:f>
        <x:v>0</x:v>
      </x:c>
      <x:c r="G5" s="152" t="n">
        <x:f>IF(A5='Supuestos nuevos'!$B$2-1,'Supuestos nuevos'!$B$51,IF(A5&gt;='Supuestos nuevos'!$B$2,ROUNDUP(MAX(0,C5+F5-I4),0),0))</x:f>
        <x:v>0</x:v>
      </x:c>
      <x:c r="H5" s="152" t="n">
        <x:f>ROUNDUP(G5/(1-'Supuestos nuevos'!$B$14),0)</x:f>
        <x:v>0</x:v>
      </x:c>
      <x:c r="I5" s="152" t="n">
        <x:f>I4+G5-C5-F5</x:f>
        <x:v>0</x:v>
      </x:c>
      <x:c r="J5" s="152" t="n">
        <x:f>C5*'Supuestos nuevos'!$B$15+E5*'Supuestos nuevos'!$B$16</x:f>
        <x:v>0</x:v>
      </x:c>
      <x:c r="K5" s="152" t="n">
        <x:f>H5*(2*('Supuestos nuevos'!$B$19+'Supuestos nuevos'!$B$20)+'Supuestos nuevos'!$B$21+'Supuestos nuevos'!$B$22+2*('Supuestos nuevos'!$B$23+'Supuestos nuevos'!$B$24)+'Supuestos nuevos'!$B$25)</x:f>
        <x:v>0</x:v>
      </x:c>
      <x:c r="L5" s="152" t="n">
        <x:f>H5*(((2*('Supuestos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nuevos'!$B$29)+IF(A5='Supuestos nuevos'!$B$2-1,'Supuestos nuevos'!$B$30,0)</x:f>
        <x:v>0</x:v>
      </x:c>
      <x:c r="M5" s="152" t="n">
        <x:f>E5*(('Supuestos nuevos'!$B$23+'Supuestos nuevos'!$B$24)/(1-'Supuestos nuevos'!$B$14)+'Supuestos nuevos'!$B$31)</x:f>
        <x:v>0</x:v>
      </x:c>
      <x:c r="N5" s="152" t="n">
        <x:f>IF(A5&lt;='Supuestos nuevos'!$B$3,'Supuestos nuevos'!$B$4,0)</x:f>
        <x:v>11200</x:v>
      </x:c>
      <x:c r="O5" s="152" t="n">
        <x:f>'Supuestos nuevos'!$B$5+'Supuestos nuevos'!$B$6</x:f>
        <x:v>2500</x:v>
      </x:c>
      <x:c r="P5" s="152" t="n">
        <x:f>IF(AND(A5&gt;=2,A5&lt;=12),'Supuestos nuevos'!$B$7/11,0)+IF(AND(A5&gt;=3,A5&lt;=12),SUM('Supuestos nuevos'!$B$8:$B$10)/10,0)+IF(AND(A5&gt;=7,A5&lt;='Supuestos nuevos'!$B$3),SUM('Supuestos nuevos'!$B$11:$B$12)/('Supuestos nuevos'!$B$3-6),0)</x:f>
        <x:v>4090.909090909091</x:v>
      </x:c>
      <x:c r="Q5" s="152" t="n">
        <x:f>(P5+'Supuestos nuevos'!$B$6)*'Supuestos nuevos'!$B$13</x:f>
        <x:v>459.0909090909091</x:v>
      </x:c>
      <x:c r="R5" s="152" t="n">
        <x:f>J5*'Supuestos nuevos'!$B$32+IF(A5&gt;='Supuestos nuevos'!$B$2,CHOOSE(MIN(3,1+INT((A5-'Supuestos nuevos'!$B$2)/12)),'Supuestos nuevos'!$B$45,'Supuestos nuevos'!$B$46,'Supuestos nuevos'!$B$47)+CHOOSE(MIN(3,1+INT((A5-'Supuestos nuevos'!$B$2)/12)),'Supuestos nuevos'!$B$48,'Supuestos nuevos'!$B$49,'Supuestos nuevos'!$B$50)+CHOOSE(MIN(3,1+INT((A5-'Supuestos nuevos'!$B$2)/12)),'Supuestos nuevos'!$B$40,'Supuestos nuevos'!$B$41,'Supuestos nuevos'!$B$42)/12+D5*'Supuestos nuevos'!$B$43/100*'Supuestos nuevos'!$B$44,0)</x:f>
        <x:v>0</x:v>
      </x:c>
      <x:c r="S5" s="152" t="n">
        <x:f>SUM(K5:R5)</x:f>
        <x:v>18250</x:v>
      </x:c>
      <x:c r="T5" s="152" t="n">
        <x:f>J5-S5</x:f>
        <x:v>-18250</x:v>
      </x:c>
      <x:c r="U5" s="152" t="n">
        <x:f>T5+U4</x:f>
        <x:v>-65200</x:v>
      </x:c>
      <x:c r="V5" s="152" t="n">
        <x:f>T5/(1+'Supuestos nuevos'!$B$33)^(A5/12)</x:f>
        <x:v>-17173.90752707877</x:v>
      </x:c>
    </x:row>
    <x:row r="6" ht="42" customHeight="1">
      <x:c r="A6" s="147" t="n">
        <x:f>5</x:f>
        <x:v>5</x:v>
      </x:c>
      <x:c r="B6" s="147" t="n">
        <x:f>ROUNDUP(A6/12,0)</x:f>
        <x:v>1</x:v>
      </x:c>
      <x:c r="C6" s="152" t="n">
        <x:f>IF(A6&gt;='Supuestos nuevos'!$B$2,CHOOSE(MIN(3,1+INT((A6-'Supuestos nuevos'!$B$2)/12)),'Supuestos nuevos'!$B$34,'Supuestos nuevos'!$B$35,'Supuestos nuevos'!$B$36)/12,0)</x:f>
        <x:v>0</x:v>
      </x:c>
      <x:c r="D6" s="152" t="n">
        <x:f>D5*'Supuestos nuevos'!$B$17+C6</x:f>
        <x:v>0</x:v>
      </x:c>
      <x:c r="E6" s="152" t="n">
        <x:f>MAX(0,D6*'Supuestos nuevos'!$B$18-2*C6)</x:f>
        <x:v>0</x:v>
      </x:c>
      <x:c r="F6" s="152" t="n">
        <x:f>IF(A6&gt;='Supuestos nuevos'!$B$2,CHOOSE(MIN(3,1+INT((A6-'Supuestos nuevos'!$B$2)/12)),'Supuestos nuevos'!$B$37,'Supuestos nuevos'!$B$38,'Supuestos nuevos'!$B$39)/12,0)</x:f>
        <x:v>0</x:v>
      </x:c>
      <x:c r="G6" s="152" t="n">
        <x:f>IF(A6='Supuestos nuevos'!$B$2-1,'Supuestos nuevos'!$B$51,IF(A6&gt;='Supuestos nuevos'!$B$2,ROUNDUP(MAX(0,C6+F6-I5),0),0))</x:f>
        <x:v>0</x:v>
      </x:c>
      <x:c r="H6" s="152" t="n">
        <x:f>ROUNDUP(G6/(1-'Supuestos nuevos'!$B$14),0)</x:f>
        <x:v>0</x:v>
      </x:c>
      <x:c r="I6" s="152" t="n">
        <x:f>I5+G6-C6-F6</x:f>
        <x:v>0</x:v>
      </x:c>
      <x:c r="J6" s="152" t="n">
        <x:f>C6*'Supuestos nuevos'!$B$15+E6*'Supuestos nuevos'!$B$16</x:f>
        <x:v>0</x:v>
      </x:c>
      <x:c r="K6" s="152" t="n">
        <x:f>H6*(2*('Supuestos nuevos'!$B$19+'Supuestos nuevos'!$B$20)+'Supuestos nuevos'!$B$21+'Supuestos nuevos'!$B$22+2*('Supuestos nuevos'!$B$23+'Supuestos nuevos'!$B$24)+'Supuestos nuevos'!$B$25)</x:f>
        <x:v>0</x:v>
      </x:c>
      <x:c r="L6" s="152" t="n">
        <x:f>H6*(((2*('Supuestos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nuevos'!$B$29)+IF(A6='Supuestos nuevos'!$B$2-1,'Supuestos nuevos'!$B$30,0)</x:f>
        <x:v>0</x:v>
      </x:c>
      <x:c r="M6" s="152" t="n">
        <x:f>E6*(('Supuestos nuevos'!$B$23+'Supuestos nuevos'!$B$24)/(1-'Supuestos nuevos'!$B$14)+'Supuestos nuevos'!$B$31)</x:f>
        <x:v>0</x:v>
      </x:c>
      <x:c r="N6" s="152" t="n">
        <x:f>IF(A6&lt;='Supuestos nuevos'!$B$3,'Supuestos nuevos'!$B$4,0)</x:f>
        <x:v>11200</x:v>
      </x:c>
      <x:c r="O6" s="152" t="n">
        <x:f>'Supuestos nuevos'!$B$5+'Supuestos nuevos'!$B$6</x:f>
        <x:v>2500</x:v>
      </x:c>
      <x:c r="P6" s="152" t="n">
        <x:f>IF(AND(A6&gt;=2,A6&lt;=12),'Supuestos nuevos'!$B$7/11,0)+IF(AND(A6&gt;=3,A6&lt;=12),SUM('Supuestos nuevos'!$B$8:$B$10)/10,0)+IF(AND(A6&gt;=7,A6&lt;='Supuestos nuevos'!$B$3),SUM('Supuestos nuevos'!$B$11:$B$12)/('Supuestos nuevos'!$B$3-6),0)</x:f>
        <x:v>4090.909090909091</x:v>
      </x:c>
      <x:c r="Q6" s="152" t="n">
        <x:f>(P6+'Supuestos nuevos'!$B$6)*'Supuestos nuevos'!$B$13</x:f>
        <x:v>459.0909090909091</x:v>
      </x:c>
      <x:c r="R6" s="152" t="n">
        <x:f>J6*'Supuestos nuevos'!$B$32+IF(A6&gt;='Supuestos nuevos'!$B$2,CHOOSE(MIN(3,1+INT((A6-'Supuestos nuevos'!$B$2)/12)),'Supuestos nuevos'!$B$45,'Supuestos nuevos'!$B$46,'Supuestos nuevos'!$B$47)+CHOOSE(MIN(3,1+INT((A6-'Supuestos nuevos'!$B$2)/12)),'Supuestos nuevos'!$B$48,'Supuestos nuevos'!$B$49,'Supuestos nuevos'!$B$50)+CHOOSE(MIN(3,1+INT((A6-'Supuestos nuevos'!$B$2)/12)),'Supuestos nuevos'!$B$40,'Supuestos nuevos'!$B$41,'Supuestos nuevos'!$B$42)/12+D6*'Supuestos nuevos'!$B$43/100*'Supuestos nuevos'!$B$44,0)</x:f>
        <x:v>0</x:v>
      </x:c>
      <x:c r="S6" s="152" t="n">
        <x:f>SUM(K6:R6)</x:f>
        <x:v>18250</x:v>
      </x:c>
      <x:c r="T6" s="152" t="n">
        <x:f>J6-S6</x:f>
        <x:v>-18250</x:v>
      </x:c>
      <x:c r="U6" s="152" t="n">
        <x:f>T6+U5</x:f>
        <x:v>-83450</x:v>
      </x:c>
      <x:c r="V6" s="152" t="n">
        <x:f>T6/(1+'Supuestos nuevos'!$B$33)^(A6/12)</x:f>
        <x:v>-16914.948620173753</x:v>
      </x:c>
    </x:row>
    <x:row r="7" ht="42" customHeight="1">
      <x:c r="A7" s="147" t="n">
        <x:f>6</x:f>
        <x:v>6</x:v>
      </x:c>
      <x:c r="B7" s="147" t="n">
        <x:f>ROUNDUP(A7/12,0)</x:f>
        <x:v>1</x:v>
      </x:c>
      <x:c r="C7" s="152" t="n">
        <x:f>IF(A7&gt;='Supuestos nuevos'!$B$2,CHOOSE(MIN(3,1+INT((A7-'Supuestos nuevos'!$B$2)/12)),'Supuestos nuevos'!$B$34,'Supuestos nuevos'!$B$35,'Supuestos nuevos'!$B$36)/12,0)</x:f>
        <x:v>0</x:v>
      </x:c>
      <x:c r="D7" s="152" t="n">
        <x:f>D6*'Supuestos nuevos'!$B$17+C7</x:f>
        <x:v>0</x:v>
      </x:c>
      <x:c r="E7" s="152" t="n">
        <x:f>MAX(0,D7*'Supuestos nuevos'!$B$18-2*C7)</x:f>
        <x:v>0</x:v>
      </x:c>
      <x:c r="F7" s="152" t="n">
        <x:f>IF(A7&gt;='Supuestos nuevos'!$B$2,CHOOSE(MIN(3,1+INT((A7-'Supuestos nuevos'!$B$2)/12)),'Supuestos nuevos'!$B$37,'Supuestos nuevos'!$B$38,'Supuestos nuevos'!$B$39)/12,0)</x:f>
        <x:v>0</x:v>
      </x:c>
      <x:c r="G7" s="152" t="n">
        <x:f>IF(A7='Supuestos nuevos'!$B$2-1,'Supuestos nuevos'!$B$51,IF(A7&gt;='Supuestos nuevos'!$B$2,ROUNDUP(MAX(0,C7+F7-I6),0),0))</x:f>
        <x:v>0</x:v>
      </x:c>
      <x:c r="H7" s="152" t="n">
        <x:f>ROUNDUP(G7/(1-'Supuestos nuevos'!$B$14),0)</x:f>
        <x:v>0</x:v>
      </x:c>
      <x:c r="I7" s="152" t="n">
        <x:f>I6+G7-C7-F7</x:f>
        <x:v>0</x:v>
      </x:c>
      <x:c r="J7" s="152" t="n">
        <x:f>C7*'Supuestos nuevos'!$B$15+E7*'Supuestos nuevos'!$B$16</x:f>
        <x:v>0</x:v>
      </x:c>
      <x:c r="K7" s="152" t="n">
        <x:f>H7*(2*('Supuestos nuevos'!$B$19+'Supuestos nuevos'!$B$20)+'Supuestos nuevos'!$B$21+'Supuestos nuevos'!$B$22+2*('Supuestos nuevos'!$B$23+'Supuestos nuevos'!$B$24)+'Supuestos nuevos'!$B$25)</x:f>
        <x:v>0</x:v>
      </x:c>
      <x:c r="L7" s="152" t="n">
        <x:f>H7*(((2*('Supuestos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nuevos'!$B$29)+IF(A7='Supuestos nuevos'!$B$2-1,'Supuestos nuevos'!$B$30,0)</x:f>
        <x:v>0</x:v>
      </x:c>
      <x:c r="M7" s="152" t="n">
        <x:f>E7*(('Supuestos nuevos'!$B$23+'Supuestos nuevos'!$B$24)/(1-'Supuestos nuevos'!$B$14)+'Supuestos nuevos'!$B$31)</x:f>
        <x:v>0</x:v>
      </x:c>
      <x:c r="N7" s="152" t="n">
        <x:f>IF(A7&lt;='Supuestos nuevos'!$B$3,'Supuestos nuevos'!$B$4,0)</x:f>
        <x:v>11200</x:v>
      </x:c>
      <x:c r="O7" s="152" t="n">
        <x:f>'Supuestos nuevos'!$B$5+'Supuestos nuevos'!$B$6</x:f>
        <x:v>2500</x:v>
      </x:c>
      <x:c r="P7" s="152" t="n">
        <x:f>IF(AND(A7&gt;=2,A7&lt;=12),'Supuestos nuevos'!$B$7/11,0)+IF(AND(A7&gt;=3,A7&lt;=12),SUM('Supuestos nuevos'!$B$8:$B$10)/10,0)+IF(AND(A7&gt;=7,A7&lt;='Supuestos nuevos'!$B$3),SUM('Supuestos nuevos'!$B$11:$B$12)/('Supuestos nuevos'!$B$3-6),0)</x:f>
        <x:v>4090.909090909091</x:v>
      </x:c>
      <x:c r="Q7" s="152" t="n">
        <x:f>(P7+'Supuestos nuevos'!$B$6)*'Supuestos nuevos'!$B$13</x:f>
        <x:v>459.0909090909091</x:v>
      </x:c>
      <x:c r="R7" s="152" t="n">
        <x:f>J7*'Supuestos nuevos'!$B$32+IF(A7&gt;='Supuestos nuevos'!$B$2,CHOOSE(MIN(3,1+INT((A7-'Supuestos nuevos'!$B$2)/12)),'Supuestos nuevos'!$B$45,'Supuestos nuevos'!$B$46,'Supuestos nuevos'!$B$47)+CHOOSE(MIN(3,1+INT((A7-'Supuestos nuevos'!$B$2)/12)),'Supuestos nuevos'!$B$48,'Supuestos nuevos'!$B$49,'Supuestos nuevos'!$B$50)+CHOOSE(MIN(3,1+INT((A7-'Supuestos nuevos'!$B$2)/12)),'Supuestos nuevos'!$B$40,'Supuestos nuevos'!$B$41,'Supuestos nuevos'!$B$42)/12+D7*'Supuestos nuevos'!$B$43/100*'Supuestos nuevos'!$B$44,0)</x:f>
        <x:v>0</x:v>
      </x:c>
      <x:c r="S7" s="152" t="n">
        <x:f>SUM(K7:R7)</x:f>
        <x:v>18250</x:v>
      </x:c>
      <x:c r="T7" s="152" t="n">
        <x:f>J7-S7</x:f>
        <x:v>-18250</x:v>
      </x:c>
      <x:c r="U7" s="152" t="n">
        <x:f>T7+U6</x:f>
        <x:v>-101700</x:v>
      </x:c>
      <x:c r="V7" s="152" t="n">
        <x:f>T7/(1+'Supuestos nuevos'!$B$33)^(A7/12)</x:f>
        <x:v>-16659.894457448805</x:v>
      </x:c>
    </x:row>
    <x:row r="8" ht="42" customHeight="1">
      <x:c r="A8" s="147" t="n">
        <x:f>7</x:f>
        <x:v>7</x:v>
      </x:c>
      <x:c r="B8" s="147" t="n">
        <x:f>ROUNDUP(A8/12,0)</x:f>
        <x:v>1</x:v>
      </x:c>
      <x:c r="C8" s="152" t="n">
        <x:f>IF(A8&gt;='Supuestos nuevos'!$B$2,CHOOSE(MIN(3,1+INT((A8-'Supuestos nuevos'!$B$2)/12)),'Supuestos nuevos'!$B$34,'Supuestos nuevos'!$B$35,'Supuestos nuevos'!$B$36)/12,0)</x:f>
        <x:v>0</x:v>
      </x:c>
      <x:c r="D8" s="152" t="n">
        <x:f>D7*'Supuestos nuevos'!$B$17+C8</x:f>
        <x:v>0</x:v>
      </x:c>
      <x:c r="E8" s="152" t="n">
        <x:f>MAX(0,D8*'Supuestos nuevos'!$B$18-2*C8)</x:f>
        <x:v>0</x:v>
      </x:c>
      <x:c r="F8" s="152" t="n">
        <x:f>IF(A8&gt;='Supuestos nuevos'!$B$2,CHOOSE(MIN(3,1+INT((A8-'Supuestos nuevos'!$B$2)/12)),'Supuestos nuevos'!$B$37,'Supuestos nuevos'!$B$38,'Supuestos nuevos'!$B$39)/12,0)</x:f>
        <x:v>0</x:v>
      </x:c>
      <x:c r="G8" s="152" t="n">
        <x:f>IF(A8='Supuestos nuevos'!$B$2-1,'Supuestos nuevos'!$B$51,IF(A8&gt;='Supuestos nuevos'!$B$2,ROUNDUP(MAX(0,C8+F8-I7),0),0))</x:f>
        <x:v>0</x:v>
      </x:c>
      <x:c r="H8" s="152" t="n">
        <x:f>ROUNDUP(G8/(1-'Supuestos nuevos'!$B$14),0)</x:f>
        <x:v>0</x:v>
      </x:c>
      <x:c r="I8" s="152" t="n">
        <x:f>I7+G8-C8-F8</x:f>
        <x:v>0</x:v>
      </x:c>
      <x:c r="J8" s="152" t="n">
        <x:f>C8*'Supuestos nuevos'!$B$15+E8*'Supuestos nuevos'!$B$16</x:f>
        <x:v>0</x:v>
      </x:c>
      <x:c r="K8" s="152" t="n">
        <x:f>H8*(2*('Supuestos nuevos'!$B$19+'Supuestos nuevos'!$B$20)+'Supuestos nuevos'!$B$21+'Supuestos nuevos'!$B$22+2*('Supuestos nuevos'!$B$23+'Supuestos nuevos'!$B$24)+'Supuestos nuevos'!$B$25)</x:f>
        <x:v>0</x:v>
      </x:c>
      <x:c r="L8" s="152" t="n">
        <x:f>H8*(((2*('Supuestos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nuevos'!$B$29)+IF(A8='Supuestos nuevos'!$B$2-1,'Supuestos nuevos'!$B$30,0)</x:f>
        <x:v>0</x:v>
      </x:c>
      <x:c r="M8" s="152" t="n">
        <x:f>E8*(('Supuestos nuevos'!$B$23+'Supuestos nuevos'!$B$24)/(1-'Supuestos nuevos'!$B$14)+'Supuestos nuevos'!$B$31)</x:f>
        <x:v>0</x:v>
      </x:c>
      <x:c r="N8" s="152" t="n">
        <x:f>IF(A8&lt;='Supuestos nuevos'!$B$3,'Supuestos nuevos'!$B$4,0)</x:f>
        <x:v>11200</x:v>
      </x:c>
      <x:c r="O8" s="152" t="n">
        <x:f>'Supuestos nuevos'!$B$5+'Supuestos nuevos'!$B$6</x:f>
        <x:v>2500</x:v>
      </x:c>
      <x:c r="P8" s="152" t="n">
        <x:f>IF(AND(A8&gt;=2,A8&lt;=12),'Supuestos nuevos'!$B$7/11,0)+IF(AND(A8&gt;=3,A8&lt;=12),SUM('Supuestos nuevos'!$B$8:$B$10)/10,0)+IF(AND(A8&gt;=7,A8&lt;='Supuestos nuevos'!$B$3),SUM('Supuestos nuevos'!$B$11:$B$12)/('Supuestos nuevos'!$B$3-6),0)</x:f>
        <x:v>7424.242424242424</x:v>
      </x:c>
      <x:c r="Q8" s="152" t="n">
        <x:f>(P8+'Supuestos nuevos'!$B$6)*'Supuestos nuevos'!$B$13</x:f>
        <x:v>792.4242424242425</x:v>
      </x:c>
      <x:c r="R8" s="152" t="n">
        <x:f>J8*'Supuestos nuevos'!$B$32+IF(A8&gt;='Supuestos nuevos'!$B$2,CHOOSE(MIN(3,1+INT((A8-'Supuestos nuevos'!$B$2)/12)),'Supuestos nuevos'!$B$45,'Supuestos nuevos'!$B$46,'Supuestos nuevos'!$B$47)+CHOOSE(MIN(3,1+INT((A8-'Supuestos nuevos'!$B$2)/12)),'Supuestos nuevos'!$B$48,'Supuestos nuevos'!$B$49,'Supuestos nuevos'!$B$50)+CHOOSE(MIN(3,1+INT((A8-'Supuestos nuevos'!$B$2)/12)),'Supuestos nuevos'!$B$40,'Supuestos nuevos'!$B$41,'Supuestos nuevos'!$B$42)/12+D8*'Supuestos nuevos'!$B$43/100*'Supuestos nuevos'!$B$44,0)</x:f>
        <x:v>0</x:v>
      </x:c>
      <x:c r="S8" s="152" t="n">
        <x:f>SUM(K8:R8)</x:f>
        <x:v>21916.666666666668</x:v>
      </x:c>
      <x:c r="T8" s="152" t="n">
        <x:f>J8-S8</x:f>
        <x:v>-21916.666666666668</x:v>
      </x:c>
      <x:c r="U8" s="152" t="n">
        <x:f>T8+U7</x:f>
        <x:v>-123616.66666666667</x:v>
      </x:c>
      <x:c r="V8" s="152" t="n">
        <x:f>T8/(1+'Supuestos nuevos'!$B$33)^(A8/12)</x:f>
        <x:v>-19705.40849439473</x:v>
      </x:c>
    </x:row>
    <x:row r="9" ht="42" customHeight="1">
      <x:c r="A9" s="147" t="n">
        <x:f>8</x:f>
        <x:v>8</x:v>
      </x:c>
      <x:c r="B9" s="147" t="n">
        <x:f>ROUNDUP(A9/12,0)</x:f>
        <x:v>1</x:v>
      </x:c>
      <x:c r="C9" s="152" t="n">
        <x:f>IF(A9&gt;='Supuestos nuevos'!$B$2,CHOOSE(MIN(3,1+INT((A9-'Supuestos nuevos'!$B$2)/12)),'Supuestos nuevos'!$B$34,'Supuestos nuevos'!$B$35,'Supuestos nuevos'!$B$36)/12,0)</x:f>
        <x:v>0</x:v>
      </x:c>
      <x:c r="D9" s="152" t="n">
        <x:f>D8*'Supuestos nuevos'!$B$17+C9</x:f>
        <x:v>0</x:v>
      </x:c>
      <x:c r="E9" s="152" t="n">
        <x:f>MAX(0,D9*'Supuestos nuevos'!$B$18-2*C9)</x:f>
        <x:v>0</x:v>
      </x:c>
      <x:c r="F9" s="152" t="n">
        <x:f>IF(A9&gt;='Supuestos nuevos'!$B$2,CHOOSE(MIN(3,1+INT((A9-'Supuestos nuevos'!$B$2)/12)),'Supuestos nuevos'!$B$37,'Supuestos nuevos'!$B$38,'Supuestos nuevos'!$B$39)/12,0)</x:f>
        <x:v>0</x:v>
      </x:c>
      <x:c r="G9" s="152" t="n">
        <x:f>IF(A9='Supuestos nuevos'!$B$2-1,'Supuestos nuevos'!$B$51,IF(A9&gt;='Supuestos nuevos'!$B$2,ROUNDUP(MAX(0,C9+F9-I8),0),0))</x:f>
        <x:v>0</x:v>
      </x:c>
      <x:c r="H9" s="152" t="n">
        <x:f>ROUNDUP(G9/(1-'Supuestos nuevos'!$B$14),0)</x:f>
        <x:v>0</x:v>
      </x:c>
      <x:c r="I9" s="152" t="n">
        <x:f>I8+G9-C9-F9</x:f>
        <x:v>0</x:v>
      </x:c>
      <x:c r="J9" s="152" t="n">
        <x:f>C9*'Supuestos nuevos'!$B$15+E9*'Supuestos nuevos'!$B$16</x:f>
        <x:v>0</x:v>
      </x:c>
      <x:c r="K9" s="152" t="n">
        <x:f>H9*(2*('Supuestos nuevos'!$B$19+'Supuestos nuevos'!$B$20)+'Supuestos nuevos'!$B$21+'Supuestos nuevos'!$B$22+2*('Supuestos nuevos'!$B$23+'Supuestos nuevos'!$B$24)+'Supuestos nuevos'!$B$25)</x:f>
        <x:v>0</x:v>
      </x:c>
      <x:c r="L9" s="152" t="n">
        <x:f>H9*(((2*('Supuestos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nuevos'!$B$29)+IF(A9='Supuestos nuevos'!$B$2-1,'Supuestos nuevos'!$B$30,0)</x:f>
        <x:v>0</x:v>
      </x:c>
      <x:c r="M9" s="152" t="n">
        <x:f>E9*(('Supuestos nuevos'!$B$23+'Supuestos nuevos'!$B$24)/(1-'Supuestos nuevos'!$B$14)+'Supuestos nuevos'!$B$31)</x:f>
        <x:v>0</x:v>
      </x:c>
      <x:c r="N9" s="152" t="n">
        <x:f>IF(A9&lt;='Supuestos nuevos'!$B$3,'Supuestos nuevos'!$B$4,0)</x:f>
        <x:v>11200</x:v>
      </x:c>
      <x:c r="O9" s="152" t="n">
        <x:f>'Supuestos nuevos'!$B$5+'Supuestos nuevos'!$B$6</x:f>
        <x:v>2500</x:v>
      </x:c>
      <x:c r="P9" s="152" t="n">
        <x:f>IF(AND(A9&gt;=2,A9&lt;=12),'Supuestos nuevos'!$B$7/11,0)+IF(AND(A9&gt;=3,A9&lt;=12),SUM('Supuestos nuevos'!$B$8:$B$10)/10,0)+IF(AND(A9&gt;=7,A9&lt;='Supuestos nuevos'!$B$3),SUM('Supuestos nuevos'!$B$11:$B$12)/('Supuestos nuevos'!$B$3-6),0)</x:f>
        <x:v>7424.242424242424</x:v>
      </x:c>
      <x:c r="Q9" s="152" t="n">
        <x:f>(P9+'Supuestos nuevos'!$B$6)*'Supuestos nuevos'!$B$13</x:f>
        <x:v>792.4242424242425</x:v>
      </x:c>
      <x:c r="R9" s="152" t="n">
        <x:f>J9*'Supuestos nuevos'!$B$32+IF(A9&gt;='Supuestos nuevos'!$B$2,CHOOSE(MIN(3,1+INT((A9-'Supuestos nuevos'!$B$2)/12)),'Supuestos nuevos'!$B$45,'Supuestos nuevos'!$B$46,'Supuestos nuevos'!$B$47)+CHOOSE(MIN(3,1+INT((A9-'Supuestos nuevos'!$B$2)/12)),'Supuestos nuevos'!$B$48,'Supuestos nuevos'!$B$49,'Supuestos nuevos'!$B$50)+CHOOSE(MIN(3,1+INT((A9-'Supuestos nuevos'!$B$2)/12)),'Supuestos nuevos'!$B$40,'Supuestos nuevos'!$B$41,'Supuestos nuevos'!$B$42)/12+D9*'Supuestos nuevos'!$B$43/100*'Supuestos nuevos'!$B$44,0)</x:f>
        <x:v>0</x:v>
      </x:c>
      <x:c r="S9" s="152" t="n">
        <x:f>SUM(K9:R9)</x:f>
        <x:v>21916.666666666668</x:v>
      </x:c>
      <x:c r="T9" s="152" t="n">
        <x:f>J9-S9</x:f>
        <x:v>-21916.666666666668</x:v>
      </x:c>
      <x:c r="U9" s="152" t="n">
        <x:f>T9+U8</x:f>
        <x:v>-145533.33333333334</x:v>
      </x:c>
      <x:c r="V9" s="152" t="n">
        <x:f>T9/(1+'Supuestos nuevos'!$B$33)^(A9/12)</x:f>
        <x:v>-19408.278034376857</x:v>
      </x:c>
    </x:row>
    <x:row r="10" ht="42" customHeight="1">
      <x:c r="A10" s="147" t="n">
        <x:f>9</x:f>
        <x:v>9</x:v>
      </x:c>
      <x:c r="B10" s="147" t="n">
        <x:f>ROUNDUP(A10/12,0)</x:f>
        <x:v>1</x:v>
      </x:c>
      <x:c r="C10" s="152" t="n">
        <x:f>IF(A10&gt;='Supuestos nuevos'!$B$2,CHOOSE(MIN(3,1+INT((A10-'Supuestos nuevos'!$B$2)/12)),'Supuestos nuevos'!$B$34,'Supuestos nuevos'!$B$35,'Supuestos nuevos'!$B$36)/12,0)</x:f>
        <x:v>0</x:v>
      </x:c>
      <x:c r="D10" s="152" t="n">
        <x:f>D9*'Supuestos nuevos'!$B$17+C10</x:f>
        <x:v>0</x:v>
      </x:c>
      <x:c r="E10" s="152" t="n">
        <x:f>MAX(0,D10*'Supuestos nuevos'!$B$18-2*C10)</x:f>
        <x:v>0</x:v>
      </x:c>
      <x:c r="F10" s="152" t="n">
        <x:f>IF(A10&gt;='Supuestos nuevos'!$B$2,CHOOSE(MIN(3,1+INT((A10-'Supuestos nuevos'!$B$2)/12)),'Supuestos nuevos'!$B$37,'Supuestos nuevos'!$B$38,'Supuestos nuevos'!$B$39)/12,0)</x:f>
        <x:v>0</x:v>
      </x:c>
      <x:c r="G10" s="152" t="n">
        <x:f>IF(A10='Supuestos nuevos'!$B$2-1,'Supuestos nuevos'!$B$51,IF(A10&gt;='Supuestos nuevos'!$B$2,ROUNDUP(MAX(0,C10+F10-I9),0),0))</x:f>
        <x:v>0</x:v>
      </x:c>
      <x:c r="H10" s="152" t="n">
        <x:f>ROUNDUP(G10/(1-'Supuestos nuevos'!$B$14),0)</x:f>
        <x:v>0</x:v>
      </x:c>
      <x:c r="I10" s="152" t="n">
        <x:f>I9+G10-C10-F10</x:f>
        <x:v>0</x:v>
      </x:c>
      <x:c r="J10" s="152" t="n">
        <x:f>C10*'Supuestos nuevos'!$B$15+E10*'Supuestos nuevos'!$B$16</x:f>
        <x:v>0</x:v>
      </x:c>
      <x:c r="K10" s="152" t="n">
        <x:f>H10*(2*('Supuestos nuevos'!$B$19+'Supuestos nuevos'!$B$20)+'Supuestos nuevos'!$B$21+'Supuestos nuevos'!$B$22+2*('Supuestos nuevos'!$B$23+'Supuestos nuevos'!$B$24)+'Supuestos nuevos'!$B$25)</x:f>
        <x:v>0</x:v>
      </x:c>
      <x:c r="L10" s="152" t="n">
        <x:f>H10*(((2*('Supuestos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nuevos'!$B$29)+IF(A10='Supuestos nuevos'!$B$2-1,'Supuestos nuevos'!$B$30,0)</x:f>
        <x:v>0</x:v>
      </x:c>
      <x:c r="M10" s="152" t="n">
        <x:f>E10*(('Supuestos nuevos'!$B$23+'Supuestos nuevos'!$B$24)/(1-'Supuestos nuevos'!$B$14)+'Supuestos nuevos'!$B$31)</x:f>
        <x:v>0</x:v>
      </x:c>
      <x:c r="N10" s="152" t="n">
        <x:f>IF(A10&lt;='Supuestos nuevos'!$B$3,'Supuestos nuevos'!$B$4,0)</x:f>
        <x:v>11200</x:v>
      </x:c>
      <x:c r="O10" s="152" t="n">
        <x:f>'Supuestos nuevos'!$B$5+'Supuestos nuevos'!$B$6</x:f>
        <x:v>2500</x:v>
      </x:c>
      <x:c r="P10" s="152" t="n">
        <x:f>IF(AND(A10&gt;=2,A10&lt;=12),'Supuestos nuevos'!$B$7/11,0)+IF(AND(A10&gt;=3,A10&lt;=12),SUM('Supuestos nuevos'!$B$8:$B$10)/10,0)+IF(AND(A10&gt;=7,A10&lt;='Supuestos nuevos'!$B$3),SUM('Supuestos nuevos'!$B$11:$B$12)/('Supuestos nuevos'!$B$3-6),0)</x:f>
        <x:v>7424.242424242424</x:v>
      </x:c>
      <x:c r="Q10" s="152" t="n">
        <x:f>(P10+'Supuestos nuevos'!$B$6)*'Supuestos nuevos'!$B$13</x:f>
        <x:v>792.4242424242425</x:v>
      </x:c>
      <x:c r="R10" s="152" t="n">
        <x:f>J10*'Supuestos nuevos'!$B$32+IF(A10&gt;='Supuestos nuevos'!$B$2,CHOOSE(MIN(3,1+INT((A10-'Supuestos nuevos'!$B$2)/12)),'Supuestos nuevos'!$B$45,'Supuestos nuevos'!$B$46,'Supuestos nuevos'!$B$47)+CHOOSE(MIN(3,1+INT((A10-'Supuestos nuevos'!$B$2)/12)),'Supuestos nuevos'!$B$48,'Supuestos nuevos'!$B$49,'Supuestos nuevos'!$B$50)+CHOOSE(MIN(3,1+INT((A10-'Supuestos nuevos'!$B$2)/12)),'Supuestos nuevos'!$B$40,'Supuestos nuevos'!$B$41,'Supuestos nuevos'!$B$42)/12+D10*'Supuestos nuevos'!$B$43/100*'Supuestos nuevos'!$B$44,0)</x:f>
        <x:v>0</x:v>
      </x:c>
      <x:c r="S10" s="152" t="n">
        <x:f>SUM(K10:R10)</x:f>
        <x:v>21916.666666666668</x:v>
      </x:c>
      <x:c r="T10" s="152" t="n">
        <x:f>J10-S10</x:f>
        <x:v>-21916.666666666668</x:v>
      </x:c>
      <x:c r="U10" s="152" t="n">
        <x:f>T10+U9</x:f>
        <x:v>-167450</x:v>
      </x:c>
      <x:c r="V10" s="152" t="n">
        <x:f>T10/(1+'Supuestos nuevos'!$B$33)^(A10/12)</x:f>
        <x:v>-19115.627893064153</x:v>
      </x:c>
    </x:row>
    <x:row r="11" ht="42" customHeight="1">
      <x:c r="A11" s="147" t="n">
        <x:f>10</x:f>
        <x:v>10</x:v>
      </x:c>
      <x:c r="B11" s="147" t="n">
        <x:f>ROUNDUP(A11/12,0)</x:f>
        <x:v>1</x:v>
      </x:c>
      <x:c r="C11" s="152" t="n">
        <x:f>IF(A11&gt;='Supuestos nuevos'!$B$2,CHOOSE(MIN(3,1+INT((A11-'Supuestos nuevos'!$B$2)/12)),'Supuestos nuevos'!$B$34,'Supuestos nuevos'!$B$35,'Supuestos nuevos'!$B$36)/12,0)</x:f>
        <x:v>0</x:v>
      </x:c>
      <x:c r="D11" s="152" t="n">
        <x:f>D10*'Supuestos nuevos'!$B$17+C11</x:f>
        <x:v>0</x:v>
      </x:c>
      <x:c r="E11" s="152" t="n">
        <x:f>MAX(0,D11*'Supuestos nuevos'!$B$18-2*C11)</x:f>
        <x:v>0</x:v>
      </x:c>
      <x:c r="F11" s="152" t="n">
        <x:f>IF(A11&gt;='Supuestos nuevos'!$B$2,CHOOSE(MIN(3,1+INT((A11-'Supuestos nuevos'!$B$2)/12)),'Supuestos nuevos'!$B$37,'Supuestos nuevos'!$B$38,'Supuestos nuevos'!$B$39)/12,0)</x:f>
        <x:v>0</x:v>
      </x:c>
      <x:c r="G11" s="152" t="n">
        <x:f>IF(A11='Supuestos nuevos'!$B$2-1,'Supuestos nuevos'!$B$51,IF(A11&gt;='Supuestos nuevos'!$B$2,ROUNDUP(MAX(0,C11+F11-I10),0),0))</x:f>
        <x:v>0</x:v>
      </x:c>
      <x:c r="H11" s="152" t="n">
        <x:f>ROUNDUP(G11/(1-'Supuestos nuevos'!$B$14),0)</x:f>
        <x:v>0</x:v>
      </x:c>
      <x:c r="I11" s="152" t="n">
        <x:f>I10+G11-C11-F11</x:f>
        <x:v>0</x:v>
      </x:c>
      <x:c r="J11" s="152" t="n">
        <x:f>C11*'Supuestos nuevos'!$B$15+E11*'Supuestos nuevos'!$B$16</x:f>
        <x:v>0</x:v>
      </x:c>
      <x:c r="K11" s="152" t="n">
        <x:f>H11*(2*('Supuestos nuevos'!$B$19+'Supuestos nuevos'!$B$20)+'Supuestos nuevos'!$B$21+'Supuestos nuevos'!$B$22+2*('Supuestos nuevos'!$B$23+'Supuestos nuevos'!$B$24)+'Supuestos nuevos'!$B$25)</x:f>
        <x:v>0</x:v>
      </x:c>
      <x:c r="L11" s="152" t="n">
        <x:f>H11*(((2*('Supuestos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nuevos'!$B$29)+IF(A11='Supuestos nuevos'!$B$2-1,'Supuestos nuevos'!$B$30,0)</x:f>
        <x:v>0</x:v>
      </x:c>
      <x:c r="M11" s="152" t="n">
        <x:f>E11*(('Supuestos nuevos'!$B$23+'Supuestos nuevos'!$B$24)/(1-'Supuestos nuevos'!$B$14)+'Supuestos nuevos'!$B$31)</x:f>
        <x:v>0</x:v>
      </x:c>
      <x:c r="N11" s="152" t="n">
        <x:f>IF(A11&lt;='Supuestos nuevos'!$B$3,'Supuestos nuevos'!$B$4,0)</x:f>
        <x:v>11200</x:v>
      </x:c>
      <x:c r="O11" s="152" t="n">
        <x:f>'Supuestos nuevos'!$B$5+'Supuestos nuevos'!$B$6</x:f>
        <x:v>2500</x:v>
      </x:c>
      <x:c r="P11" s="152" t="n">
        <x:f>IF(AND(A11&gt;=2,A11&lt;=12),'Supuestos nuevos'!$B$7/11,0)+IF(AND(A11&gt;=3,A11&lt;=12),SUM('Supuestos nuevos'!$B$8:$B$10)/10,0)+IF(AND(A11&gt;=7,A11&lt;='Supuestos nuevos'!$B$3),SUM('Supuestos nuevos'!$B$11:$B$12)/('Supuestos nuevos'!$B$3-6),0)</x:f>
        <x:v>7424.242424242424</x:v>
      </x:c>
      <x:c r="Q11" s="152" t="n">
        <x:f>(P11+'Supuestos nuevos'!$B$6)*'Supuestos nuevos'!$B$13</x:f>
        <x:v>792.4242424242425</x:v>
      </x:c>
      <x:c r="R11" s="152" t="n">
        <x:f>J11*'Supuestos nuevos'!$B$32+IF(A11&gt;='Supuestos nuevos'!$B$2,CHOOSE(MIN(3,1+INT((A11-'Supuestos nuevos'!$B$2)/12)),'Supuestos nuevos'!$B$45,'Supuestos nuevos'!$B$46,'Supuestos nuevos'!$B$47)+CHOOSE(MIN(3,1+INT((A11-'Supuestos nuevos'!$B$2)/12)),'Supuestos nuevos'!$B$48,'Supuestos nuevos'!$B$49,'Supuestos nuevos'!$B$50)+CHOOSE(MIN(3,1+INT((A11-'Supuestos nuevos'!$B$2)/12)),'Supuestos nuevos'!$B$40,'Supuestos nuevos'!$B$41,'Supuestos nuevos'!$B$42)/12+D11*'Supuestos nuevos'!$B$43/100*'Supuestos nuevos'!$B$44,0)</x:f>
        <x:v>0</x:v>
      </x:c>
      <x:c r="S11" s="152" t="n">
        <x:f>SUM(K11:R11)</x:f>
        <x:v>21916.666666666668</x:v>
      </x:c>
      <x:c r="T11" s="152" t="n">
        <x:f>J11-S11</x:f>
        <x:v>-21916.666666666668</x:v>
      </x:c>
      <x:c r="U11" s="152" t="n">
        <x:f>T11+U10</x:f>
        <x:v>-189366.66666666666</x:v>
      </x:c>
      <x:c r="V11" s="152" t="n">
        <x:f>T11/(1+'Supuestos nuevos'!$B$33)^(A11/12)</x:f>
        <x:v>-18827.39051341215</x:v>
      </x:c>
    </x:row>
    <x:row r="12" ht="42" customHeight="1">
      <x:c r="A12" s="147" t="n">
        <x:f>11</x:f>
        <x:v>11</x:v>
      </x:c>
      <x:c r="B12" s="147" t="n">
        <x:f>ROUNDUP(A12/12,0)</x:f>
        <x:v>1</x:v>
      </x:c>
      <x:c r="C12" s="152" t="n">
        <x:f>IF(A12&gt;='Supuestos nuevos'!$B$2,CHOOSE(MIN(3,1+INT((A12-'Supuestos nuevos'!$B$2)/12)),'Supuestos nuevos'!$B$34,'Supuestos nuevos'!$B$35,'Supuestos nuevos'!$B$36)/12,0)</x:f>
        <x:v>0</x:v>
      </x:c>
      <x:c r="D12" s="152" t="n">
        <x:f>D11*'Supuestos nuevos'!$B$17+C12</x:f>
        <x:v>0</x:v>
      </x:c>
      <x:c r="E12" s="152" t="n">
        <x:f>MAX(0,D12*'Supuestos nuevos'!$B$18-2*C12)</x:f>
        <x:v>0</x:v>
      </x:c>
      <x:c r="F12" s="152" t="n">
        <x:f>IF(A12&gt;='Supuestos nuevos'!$B$2,CHOOSE(MIN(3,1+INT((A12-'Supuestos nuevos'!$B$2)/12)),'Supuestos nuevos'!$B$37,'Supuestos nuevos'!$B$38,'Supuestos nuevos'!$B$39)/12,0)</x:f>
        <x:v>0</x:v>
      </x:c>
      <x:c r="G12" s="152" t="n">
        <x:f>IF(A12='Supuestos nuevos'!$B$2-1,'Supuestos nuevos'!$B$51,IF(A12&gt;='Supuestos nuevos'!$B$2,ROUNDUP(MAX(0,C12+F12-I11),0),0))</x:f>
        <x:v>0</x:v>
      </x:c>
      <x:c r="H12" s="152" t="n">
        <x:f>ROUNDUP(G12/(1-'Supuestos nuevos'!$B$14),0)</x:f>
        <x:v>0</x:v>
      </x:c>
      <x:c r="I12" s="152" t="n">
        <x:f>I11+G12-C12-F12</x:f>
        <x:v>0</x:v>
      </x:c>
      <x:c r="J12" s="152" t="n">
        <x:f>C12*'Supuestos nuevos'!$B$15+E12*'Supuestos nuevos'!$B$16</x:f>
        <x:v>0</x:v>
      </x:c>
      <x:c r="K12" s="152" t="n">
        <x:f>H12*(2*('Supuestos nuevos'!$B$19+'Supuestos nuevos'!$B$20)+'Supuestos nuevos'!$B$21+'Supuestos nuevos'!$B$22+2*('Supuestos nuevos'!$B$23+'Supuestos nuevos'!$B$24)+'Supuestos nuevos'!$B$25)</x:f>
        <x:v>0</x:v>
      </x:c>
      <x:c r="L12" s="152" t="n">
        <x:f>H12*(((2*('Supuestos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nuevos'!$B$29)+IF(A12='Supuestos nuevos'!$B$2-1,'Supuestos nuevos'!$B$30,0)</x:f>
        <x:v>0</x:v>
      </x:c>
      <x:c r="M12" s="152" t="n">
        <x:f>E12*(('Supuestos nuevos'!$B$23+'Supuestos nuevos'!$B$24)/(1-'Supuestos nuevos'!$B$14)+'Supuestos nuevos'!$B$31)</x:f>
        <x:v>0</x:v>
      </x:c>
      <x:c r="N12" s="152" t="n">
        <x:f>IF(A12&lt;='Supuestos nuevos'!$B$3,'Supuestos nuevos'!$B$4,0)</x:f>
        <x:v>11200</x:v>
      </x:c>
      <x:c r="O12" s="152" t="n">
        <x:f>'Supuestos nuevos'!$B$5+'Supuestos nuevos'!$B$6</x:f>
        <x:v>2500</x:v>
      </x:c>
      <x:c r="P12" s="152" t="n">
        <x:f>IF(AND(A12&gt;=2,A12&lt;=12),'Supuestos nuevos'!$B$7/11,0)+IF(AND(A12&gt;=3,A12&lt;=12),SUM('Supuestos nuevos'!$B$8:$B$10)/10,0)+IF(AND(A12&gt;=7,A12&lt;='Supuestos nuevos'!$B$3),SUM('Supuestos nuevos'!$B$11:$B$12)/('Supuestos nuevos'!$B$3-6),0)</x:f>
        <x:v>7424.242424242424</x:v>
      </x:c>
      <x:c r="Q12" s="152" t="n">
        <x:f>(P12+'Supuestos nuevos'!$B$6)*'Supuestos nuevos'!$B$13</x:f>
        <x:v>792.4242424242425</x:v>
      </x:c>
      <x:c r="R12" s="152" t="n">
        <x:f>J12*'Supuestos nuevos'!$B$32+IF(A12&gt;='Supuestos nuevos'!$B$2,CHOOSE(MIN(3,1+INT((A12-'Supuestos nuevos'!$B$2)/12)),'Supuestos nuevos'!$B$45,'Supuestos nuevos'!$B$46,'Supuestos nuevos'!$B$47)+CHOOSE(MIN(3,1+INT((A12-'Supuestos nuevos'!$B$2)/12)),'Supuestos nuevos'!$B$48,'Supuestos nuevos'!$B$49,'Supuestos nuevos'!$B$50)+CHOOSE(MIN(3,1+INT((A12-'Supuestos nuevos'!$B$2)/12)),'Supuestos nuevos'!$B$40,'Supuestos nuevos'!$B$41,'Supuestos nuevos'!$B$42)/12+D12*'Supuestos nuevos'!$B$43/100*'Supuestos nuevos'!$B$44,0)</x:f>
        <x:v>0</x:v>
      </x:c>
      <x:c r="S12" s="152" t="n">
        <x:f>SUM(K12:R12)</x:f>
        <x:v>21916.666666666668</x:v>
      </x:c>
      <x:c r="T12" s="152" t="n">
        <x:f>J12-S12</x:f>
        <x:v>-21916.666666666668</x:v>
      </x:c>
      <x:c r="U12" s="152" t="n">
        <x:f>T12+U11</x:f>
        <x:v>-211283.3333333333</x:v>
      </x:c>
      <x:c r="V12" s="152" t="n">
        <x:f>T12/(1+'Supuestos nuevos'!$B$33)^(A12/12)</x:f>
        <x:v>-18543.499357043704</x:v>
      </x:c>
    </x:row>
    <x:row r="13" ht="42" customHeight="1">
      <x:c r="A13" s="147" t="n">
        <x:f>12</x:f>
        <x:v>12</x:v>
      </x:c>
      <x:c r="B13" s="147" t="n">
        <x:f>ROUNDUP(A13/12,0)</x:f>
        <x:v>1</x:v>
      </x:c>
      <x:c r="C13" s="152" t="n">
        <x:f>IF(A13&gt;='Supuestos nuevos'!$B$2,CHOOSE(MIN(3,1+INT((A13-'Supuestos nuevos'!$B$2)/12)),'Supuestos nuevos'!$B$34,'Supuestos nuevos'!$B$35,'Supuestos nuevos'!$B$36)/12,0)</x:f>
        <x:v>0</x:v>
      </x:c>
      <x:c r="D13" s="152" t="n">
        <x:f>D12*'Supuestos nuevos'!$B$17+C13</x:f>
        <x:v>0</x:v>
      </x:c>
      <x:c r="E13" s="152" t="n">
        <x:f>MAX(0,D13*'Supuestos nuevos'!$B$18-2*C13)</x:f>
        <x:v>0</x:v>
      </x:c>
      <x:c r="F13" s="152" t="n">
        <x:f>IF(A13&gt;='Supuestos nuevos'!$B$2,CHOOSE(MIN(3,1+INT((A13-'Supuestos nuevos'!$B$2)/12)),'Supuestos nuevos'!$B$37,'Supuestos nuevos'!$B$38,'Supuestos nuevos'!$B$39)/12,0)</x:f>
        <x:v>0</x:v>
      </x:c>
      <x:c r="G13" s="152" t="n">
        <x:f>IF(A13='Supuestos nuevos'!$B$2-1,'Supuestos nuevos'!$B$51,IF(A13&gt;='Supuestos nuevos'!$B$2,ROUNDUP(MAX(0,C13+F13-I12),0),0))</x:f>
        <x:v>0</x:v>
      </x:c>
      <x:c r="H13" s="152" t="n">
        <x:f>ROUNDUP(G13/(1-'Supuestos nuevos'!$B$14),0)</x:f>
        <x:v>0</x:v>
      </x:c>
      <x:c r="I13" s="152" t="n">
        <x:f>I12+G13-C13-F13</x:f>
        <x:v>0</x:v>
      </x:c>
      <x:c r="J13" s="152" t="n">
        <x:f>C13*'Supuestos nuevos'!$B$15+E13*'Supuestos nuevos'!$B$16</x:f>
        <x:v>0</x:v>
      </x:c>
      <x:c r="K13" s="152" t="n">
        <x:f>H13*(2*('Supuestos nuevos'!$B$19+'Supuestos nuevos'!$B$20)+'Supuestos nuevos'!$B$21+'Supuestos nuevos'!$B$22+2*('Supuestos nuevos'!$B$23+'Supuestos nuevos'!$B$24)+'Supuestos nuevos'!$B$25)</x:f>
        <x:v>0</x:v>
      </x:c>
      <x:c r="L13" s="152" t="n">
        <x:f>H13*(((2*('Supuestos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nuevos'!$B$29)+IF(A13='Supuestos nuevos'!$B$2-1,'Supuestos nuevos'!$B$30,0)</x:f>
        <x:v>0</x:v>
      </x:c>
      <x:c r="M13" s="152" t="n">
        <x:f>E13*(('Supuestos nuevos'!$B$23+'Supuestos nuevos'!$B$24)/(1-'Supuestos nuevos'!$B$14)+'Supuestos nuevos'!$B$31)</x:f>
        <x:v>0</x:v>
      </x:c>
      <x:c r="N13" s="152" t="n">
        <x:f>IF(A13&lt;='Supuestos nuevos'!$B$3,'Supuestos nuevos'!$B$4,0)</x:f>
        <x:v>11200</x:v>
      </x:c>
      <x:c r="O13" s="152" t="n">
        <x:f>'Supuestos nuevos'!$B$5+'Supuestos nuevos'!$B$6</x:f>
        <x:v>2500</x:v>
      </x:c>
      <x:c r="P13" s="152" t="n">
        <x:f>IF(AND(A13&gt;=2,A13&lt;=12),'Supuestos nuevos'!$B$7/11,0)+IF(AND(A13&gt;=3,A13&lt;=12),SUM('Supuestos nuevos'!$B$8:$B$10)/10,0)+IF(AND(A13&gt;=7,A13&lt;='Supuestos nuevos'!$B$3),SUM('Supuestos nuevos'!$B$11:$B$12)/('Supuestos nuevos'!$B$3-6),0)</x:f>
        <x:v>7424.242424242424</x:v>
      </x:c>
      <x:c r="Q13" s="152" t="n">
        <x:f>(P13+'Supuestos nuevos'!$B$6)*'Supuestos nuevos'!$B$13</x:f>
        <x:v>792.4242424242425</x:v>
      </x:c>
      <x:c r="R13" s="152" t="n">
        <x:f>J13*'Supuestos nuevos'!$B$32+IF(A13&gt;='Supuestos nuevos'!$B$2,CHOOSE(MIN(3,1+INT((A13-'Supuestos nuevos'!$B$2)/12)),'Supuestos nuevos'!$B$45,'Supuestos nuevos'!$B$46,'Supuestos nuevos'!$B$47)+CHOOSE(MIN(3,1+INT((A13-'Supuestos nuevos'!$B$2)/12)),'Supuestos nuevos'!$B$48,'Supuestos nuevos'!$B$49,'Supuestos nuevos'!$B$50)+CHOOSE(MIN(3,1+INT((A13-'Supuestos nuevos'!$B$2)/12)),'Supuestos nuevos'!$B$40,'Supuestos nuevos'!$B$41,'Supuestos nuevos'!$B$42)/12+D13*'Supuestos nuevos'!$B$43/100*'Supuestos nuevos'!$B$44,0)</x:f>
        <x:v>0</x:v>
      </x:c>
      <x:c r="S13" s="152" t="n">
        <x:f>SUM(K13:R13)</x:f>
        <x:v>21916.666666666668</x:v>
      </x:c>
      <x:c r="T13" s="152" t="n">
        <x:f>J13-S13</x:f>
        <x:v>-21916.666666666668</x:v>
      </x:c>
      <x:c r="U13" s="152" t="n">
        <x:f>T13+U12</x:f>
        <x:v>-233199.99999999997</x:v>
      </x:c>
      <x:c r="V13" s="152" t="n">
        <x:f>T13/(1+'Supuestos nuevos'!$B$33)^(A13/12)</x:f>
        <x:v>-18263.88888888889</x:v>
      </x:c>
    </x:row>
    <x:row r="14" ht="42" customHeight="1">
      <x:c r="A14" s="147" t="n">
        <x:f>13</x:f>
        <x:v>13</x:v>
      </x:c>
      <x:c r="B14" s="147" t="n">
        <x:f>ROUNDUP(A14/12,0)</x:f>
        <x:v>2</x:v>
      </x:c>
      <x:c r="C14" s="152" t="n">
        <x:f>IF(A14&gt;='Supuestos nuevos'!$B$2,CHOOSE(MIN(3,1+INT((A14-'Supuestos nuevos'!$B$2)/12)),'Supuestos nuevos'!$B$34,'Supuestos nuevos'!$B$35,'Supuestos nuevos'!$B$36)/12,0)</x:f>
        <x:v>0</x:v>
      </x:c>
      <x:c r="D14" s="152" t="n">
        <x:f>D13*'Supuestos nuevos'!$B$17+C14</x:f>
        <x:v>0</x:v>
      </x:c>
      <x:c r="E14" s="152" t="n">
        <x:f>MAX(0,D14*'Supuestos nuevos'!$B$18-2*C14)</x:f>
        <x:v>0</x:v>
      </x:c>
      <x:c r="F14" s="152" t="n">
        <x:f>IF(A14&gt;='Supuestos nuevos'!$B$2,CHOOSE(MIN(3,1+INT((A14-'Supuestos nuevos'!$B$2)/12)),'Supuestos nuevos'!$B$37,'Supuestos nuevos'!$B$38,'Supuestos nuevos'!$B$39)/12,0)</x:f>
        <x:v>0</x:v>
      </x:c>
      <x:c r="G14" s="152" t="n">
        <x:f>IF(A14='Supuestos nuevos'!$B$2-1,'Supuestos nuevos'!$B$51,IF(A14&gt;='Supuestos nuevos'!$B$2,ROUNDUP(MAX(0,C14+F14-I13),0),0))</x:f>
        <x:v>0</x:v>
      </x:c>
      <x:c r="H14" s="152" t="n">
        <x:f>ROUNDUP(G14/(1-'Supuestos nuevos'!$B$14),0)</x:f>
        <x:v>0</x:v>
      </x:c>
      <x:c r="I14" s="152" t="n">
        <x:f>I13+G14-C14-F14</x:f>
        <x:v>0</x:v>
      </x:c>
      <x:c r="J14" s="152" t="n">
        <x:f>C14*'Supuestos nuevos'!$B$15+E14*'Supuestos nuevos'!$B$16</x:f>
        <x:v>0</x:v>
      </x:c>
      <x:c r="K14" s="152" t="n">
        <x:f>H14*(2*('Supuestos nuevos'!$B$19+'Supuestos nuevos'!$B$20)+'Supuestos nuevos'!$B$21+'Supuestos nuevos'!$B$22+2*('Supuestos nuevos'!$B$23+'Supuestos nuevos'!$B$24)+'Supuestos nuevos'!$B$25)</x:f>
        <x:v>0</x:v>
      </x:c>
      <x:c r="L14" s="152" t="n">
        <x:f>H14*(((2*('Supuestos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nuevos'!$B$29)+IF(A14='Supuestos nuevos'!$B$2-1,'Supuestos nuevos'!$B$30,0)</x:f>
        <x:v>0</x:v>
      </x:c>
      <x:c r="M14" s="152" t="n">
        <x:f>E14*(('Supuestos nuevos'!$B$23+'Supuestos nuevos'!$B$24)/(1-'Supuestos nuevos'!$B$14)+'Supuestos nuevos'!$B$31)</x:f>
        <x:v>0</x:v>
      </x:c>
      <x:c r="N14" s="152" t="n">
        <x:f>IF(A14&lt;='Supuestos nuevos'!$B$3,'Supuestos nuevos'!$B$4,0)</x:f>
        <x:v>11200</x:v>
      </x:c>
      <x:c r="O14" s="152" t="n">
        <x:f>'Supuestos nuevos'!$B$5+'Supuestos nuevos'!$B$6</x:f>
        <x:v>2500</x:v>
      </x:c>
      <x:c r="P14" s="152" t="n">
        <x:f>IF(AND(A14&gt;=2,A14&lt;=12),'Supuestos nuevos'!$B$7/11,0)+IF(AND(A14&gt;=3,A14&lt;=12),SUM('Supuestos nuevos'!$B$8:$B$10)/10,0)+IF(AND(A14&gt;=7,A14&lt;='Supuestos nuevos'!$B$3),SUM('Supuestos nuevos'!$B$11:$B$12)/('Supuestos nuevos'!$B$3-6),0)</x:f>
        <x:v>3333.3333333333335</x:v>
      </x:c>
      <x:c r="Q14" s="152" t="n">
        <x:f>(P14+'Supuestos nuevos'!$B$6)*'Supuestos nuevos'!$B$13</x:f>
        <x:v>383.33333333333337</x:v>
      </x:c>
      <x:c r="R14" s="152" t="n">
        <x:f>J14*'Supuestos nuevos'!$B$32+IF(A14&gt;='Supuestos nuevos'!$B$2,CHOOSE(MIN(3,1+INT((A14-'Supuestos nuevos'!$B$2)/12)),'Supuestos nuevos'!$B$45,'Supuestos nuevos'!$B$46,'Supuestos nuevos'!$B$47)+CHOOSE(MIN(3,1+INT((A14-'Supuestos nuevos'!$B$2)/12)),'Supuestos nuevos'!$B$48,'Supuestos nuevos'!$B$49,'Supuestos nuevos'!$B$50)+CHOOSE(MIN(3,1+INT((A14-'Supuestos nuevos'!$B$2)/12)),'Supuestos nuevos'!$B$40,'Supuestos nuevos'!$B$41,'Supuestos nuevos'!$B$42)/12+D14*'Supuestos nuevos'!$B$43/100*'Supuestos nuevos'!$B$44,0)</x:f>
        <x:v>0</x:v>
      </x:c>
      <x:c r="S14" s="152" t="n">
        <x:f>SUM(K14:R14)</x:f>
        <x:v>17416.666666666664</x:v>
      </x:c>
      <x:c r="T14" s="152" t="n">
        <x:f>J14-S14</x:f>
        <x:v>-17416.666666666664</x:v>
      </x:c>
      <x:c r="U14" s="152" t="n">
        <x:f>T14+U13</x:f>
        <x:v>-250616.66666666663</x:v>
      </x:c>
      <x:c r="V14" s="152" t="n">
        <x:f>T14/(1+'Supuestos nuevos'!$B$33)^(A14/12)</x:f>
        <x:v>-14295.039404828174</x:v>
      </x:c>
    </x:row>
    <x:row r="15" ht="42" customHeight="1">
      <x:c r="A15" s="147" t="n">
        <x:f>14</x:f>
        <x:v>14</x:v>
      </x:c>
      <x:c r="B15" s="147" t="n">
        <x:f>ROUNDUP(A15/12,0)</x:f>
        <x:v>2</x:v>
      </x:c>
      <x:c r="C15" s="152" t="n">
        <x:f>IF(A15&gt;='Supuestos nuevos'!$B$2,CHOOSE(MIN(3,1+INT((A15-'Supuestos nuevos'!$B$2)/12)),'Supuestos nuevos'!$B$34,'Supuestos nuevos'!$B$35,'Supuestos nuevos'!$B$36)/12,0)</x:f>
        <x:v>0</x:v>
      </x:c>
      <x:c r="D15" s="152" t="n">
        <x:f>D14*'Supuestos nuevos'!$B$17+C15</x:f>
        <x:v>0</x:v>
      </x:c>
      <x:c r="E15" s="152" t="n">
        <x:f>MAX(0,D15*'Supuestos nuevos'!$B$18-2*C15)</x:f>
        <x:v>0</x:v>
      </x:c>
      <x:c r="F15" s="152" t="n">
        <x:f>IF(A15&gt;='Supuestos nuevos'!$B$2,CHOOSE(MIN(3,1+INT((A15-'Supuestos nuevos'!$B$2)/12)),'Supuestos nuevos'!$B$37,'Supuestos nuevos'!$B$38,'Supuestos nuevos'!$B$39)/12,0)</x:f>
        <x:v>0</x:v>
      </x:c>
      <x:c r="G15" s="152" t="n">
        <x:f>IF(A15='Supuestos nuevos'!$B$2-1,'Supuestos nuevos'!$B$51,IF(A15&gt;='Supuestos nuevos'!$B$2,ROUNDUP(MAX(0,C15+F15-I14),0),0))</x:f>
        <x:v>0</x:v>
      </x:c>
      <x:c r="H15" s="152" t="n">
        <x:f>ROUNDUP(G15/(1-'Supuestos nuevos'!$B$14),0)</x:f>
        <x:v>0</x:v>
      </x:c>
      <x:c r="I15" s="152" t="n">
        <x:f>I14+G15-C15-F15</x:f>
        <x:v>0</x:v>
      </x:c>
      <x:c r="J15" s="152" t="n">
        <x:f>C15*'Supuestos nuevos'!$B$15+E15*'Supuestos nuevos'!$B$16</x:f>
        <x:v>0</x:v>
      </x:c>
      <x:c r="K15" s="152" t="n">
        <x:f>H15*(2*('Supuestos nuevos'!$B$19+'Supuestos nuevos'!$B$20)+'Supuestos nuevos'!$B$21+'Supuestos nuevos'!$B$22+2*('Supuestos nuevos'!$B$23+'Supuestos nuevos'!$B$24)+'Supuestos nuevos'!$B$25)</x:f>
        <x:v>0</x:v>
      </x:c>
      <x:c r="L15" s="152" t="n">
        <x:f>H15*(((2*('Supuestos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nuevos'!$B$29)+IF(A15='Supuestos nuevos'!$B$2-1,'Supuestos nuevos'!$B$30,0)</x:f>
        <x:v>0</x:v>
      </x:c>
      <x:c r="M15" s="152" t="n">
        <x:f>E15*(('Supuestos nuevos'!$B$23+'Supuestos nuevos'!$B$24)/(1-'Supuestos nuevos'!$B$14)+'Supuestos nuevos'!$B$31)</x:f>
        <x:v>0</x:v>
      </x:c>
      <x:c r="N15" s="152" t="n">
        <x:f>IF(A15&lt;='Supuestos nuevos'!$B$3,'Supuestos nuevos'!$B$4,0)</x:f>
        <x:v>11200</x:v>
      </x:c>
      <x:c r="O15" s="152" t="n">
        <x:f>'Supuestos nuevos'!$B$5+'Supuestos nuevos'!$B$6</x:f>
        <x:v>2500</x:v>
      </x:c>
      <x:c r="P15" s="152" t="n">
        <x:f>IF(AND(A15&gt;=2,A15&lt;=12),'Supuestos nuevos'!$B$7/11,0)+IF(AND(A15&gt;=3,A15&lt;=12),SUM('Supuestos nuevos'!$B$8:$B$10)/10,0)+IF(AND(A15&gt;=7,A15&lt;='Supuestos nuevos'!$B$3),SUM('Supuestos nuevos'!$B$11:$B$12)/('Supuestos nuevos'!$B$3-6),0)</x:f>
        <x:v>3333.3333333333335</x:v>
      </x:c>
      <x:c r="Q15" s="152" t="n">
        <x:f>(P15+'Supuestos nuevos'!$B$6)*'Supuestos nuevos'!$B$13</x:f>
        <x:v>383.33333333333337</x:v>
      </x:c>
      <x:c r="R15" s="152" t="n">
        <x:f>J15*'Supuestos nuevos'!$B$32+IF(A15&gt;='Supuestos nuevos'!$B$2,CHOOSE(MIN(3,1+INT((A15-'Supuestos nuevos'!$B$2)/12)),'Supuestos nuevos'!$B$45,'Supuestos nuevos'!$B$46,'Supuestos nuevos'!$B$47)+CHOOSE(MIN(3,1+INT((A15-'Supuestos nuevos'!$B$2)/12)),'Supuestos nuevos'!$B$48,'Supuestos nuevos'!$B$49,'Supuestos nuevos'!$B$50)+CHOOSE(MIN(3,1+INT((A15-'Supuestos nuevos'!$B$2)/12)),'Supuestos nuevos'!$B$40,'Supuestos nuevos'!$B$41,'Supuestos nuevos'!$B$42)/12+D15*'Supuestos nuevos'!$B$43/100*'Supuestos nuevos'!$B$44,0)</x:f>
        <x:v>0</x:v>
      </x:c>
      <x:c r="S15" s="152" t="n">
        <x:f>SUM(K15:R15)</x:f>
        <x:v>17416.666666666664</x:v>
      </x:c>
      <x:c r="T15" s="152" t="n">
        <x:f>J15-S15</x:f>
        <x:v>-17416.666666666664</x:v>
      </x:c>
      <x:c r="U15" s="152" t="n">
        <x:f>T15+U14</x:f>
        <x:v>-268033.3333333333</x:v>
      </x:c>
      <x:c r="V15" s="152" t="n">
        <x:f>T15/(1+'Supuestos nuevos'!$B$33)^(A15/12)</x:f>
        <x:v>-14079.489870011963</x:v>
      </x:c>
    </x:row>
    <x:row r="16" ht="42" customHeight="1">
      <x:c r="A16" s="147" t="n">
        <x:f>15</x:f>
        <x:v>15</x:v>
      </x:c>
      <x:c r="B16" s="147" t="n">
        <x:f>ROUNDUP(A16/12,0)</x:f>
        <x:v>2</x:v>
      </x:c>
      <x:c r="C16" s="152" t="n">
        <x:f>IF(A16&gt;='Supuestos nuevos'!$B$2,CHOOSE(MIN(3,1+INT((A16-'Supuestos nuevos'!$B$2)/12)),'Supuestos nuevos'!$B$34,'Supuestos nuevos'!$B$35,'Supuestos nuevos'!$B$36)/12,0)</x:f>
        <x:v>0</x:v>
      </x:c>
      <x:c r="D16" s="152" t="n">
        <x:f>D15*'Supuestos nuevos'!$B$17+C16</x:f>
        <x:v>0</x:v>
      </x:c>
      <x:c r="E16" s="152" t="n">
        <x:f>MAX(0,D16*'Supuestos nuevos'!$B$18-2*C16)</x:f>
        <x:v>0</x:v>
      </x:c>
      <x:c r="F16" s="152" t="n">
        <x:f>IF(A16&gt;='Supuestos nuevos'!$B$2,CHOOSE(MIN(3,1+INT((A16-'Supuestos nuevos'!$B$2)/12)),'Supuestos nuevos'!$B$37,'Supuestos nuevos'!$B$38,'Supuestos nuevos'!$B$39)/12,0)</x:f>
        <x:v>0</x:v>
      </x:c>
      <x:c r="G16" s="152" t="n">
        <x:f>IF(A16='Supuestos nuevos'!$B$2-1,'Supuestos nuevos'!$B$51,IF(A16&gt;='Supuestos nuevos'!$B$2,ROUNDUP(MAX(0,C16+F16-I15),0),0))</x:f>
        <x:v>0</x:v>
      </x:c>
      <x:c r="H16" s="152" t="n">
        <x:f>ROUNDUP(G16/(1-'Supuestos nuevos'!$B$14),0)</x:f>
        <x:v>0</x:v>
      </x:c>
      <x:c r="I16" s="152" t="n">
        <x:f>I15+G16-C16-F16</x:f>
        <x:v>0</x:v>
      </x:c>
      <x:c r="J16" s="152" t="n">
        <x:f>C16*'Supuestos nuevos'!$B$15+E16*'Supuestos nuevos'!$B$16</x:f>
        <x:v>0</x:v>
      </x:c>
      <x:c r="K16" s="152" t="n">
        <x:f>H16*(2*('Supuestos nuevos'!$B$19+'Supuestos nuevos'!$B$20)+'Supuestos nuevos'!$B$21+'Supuestos nuevos'!$B$22+2*('Supuestos nuevos'!$B$23+'Supuestos nuevos'!$B$24)+'Supuestos nuevos'!$B$25)</x:f>
        <x:v>0</x:v>
      </x:c>
      <x:c r="L16" s="152" t="n">
        <x:f>H16*(((2*('Supuestos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nuevos'!$B$29)+IF(A16='Supuestos nuevos'!$B$2-1,'Supuestos nuevos'!$B$30,0)</x:f>
        <x:v>0</x:v>
      </x:c>
      <x:c r="M16" s="152" t="n">
        <x:f>E16*(('Supuestos nuevos'!$B$23+'Supuestos nuevos'!$B$24)/(1-'Supuestos nuevos'!$B$14)+'Supuestos nuevos'!$B$31)</x:f>
        <x:v>0</x:v>
      </x:c>
      <x:c r="N16" s="152" t="n">
        <x:f>IF(A16&lt;='Supuestos nuevos'!$B$3,'Supuestos nuevos'!$B$4,0)</x:f>
        <x:v>11200</x:v>
      </x:c>
      <x:c r="O16" s="152" t="n">
        <x:f>'Supuestos nuevos'!$B$5+'Supuestos nuevos'!$B$6</x:f>
        <x:v>2500</x:v>
      </x:c>
      <x:c r="P16" s="152" t="n">
        <x:f>IF(AND(A16&gt;=2,A16&lt;=12),'Supuestos nuevos'!$B$7/11,0)+IF(AND(A16&gt;=3,A16&lt;=12),SUM('Supuestos nuevos'!$B$8:$B$10)/10,0)+IF(AND(A16&gt;=7,A16&lt;='Supuestos nuevos'!$B$3),SUM('Supuestos nuevos'!$B$11:$B$12)/('Supuestos nuevos'!$B$3-6),0)</x:f>
        <x:v>3333.3333333333335</x:v>
      </x:c>
      <x:c r="Q16" s="152" t="n">
        <x:f>(P16+'Supuestos nuevos'!$B$6)*'Supuestos nuevos'!$B$13</x:f>
        <x:v>383.33333333333337</x:v>
      </x:c>
      <x:c r="R16" s="152" t="n">
        <x:f>J16*'Supuestos nuevos'!$B$32+IF(A16&gt;='Supuestos nuevos'!$B$2,CHOOSE(MIN(3,1+INT((A16-'Supuestos nuevos'!$B$2)/12)),'Supuestos nuevos'!$B$45,'Supuestos nuevos'!$B$46,'Supuestos nuevos'!$B$47)+CHOOSE(MIN(3,1+INT((A16-'Supuestos nuevos'!$B$2)/12)),'Supuestos nuevos'!$B$48,'Supuestos nuevos'!$B$49,'Supuestos nuevos'!$B$50)+CHOOSE(MIN(3,1+INT((A16-'Supuestos nuevos'!$B$2)/12)),'Supuestos nuevos'!$B$40,'Supuestos nuevos'!$B$41,'Supuestos nuevos'!$B$42)/12+D16*'Supuestos nuevos'!$B$43/100*'Supuestos nuevos'!$B$44,0)</x:f>
        <x:v>0</x:v>
      </x:c>
      <x:c r="S16" s="152" t="n">
        <x:f>SUM(K16:R16)</x:f>
        <x:v>17416.666666666664</x:v>
      </x:c>
      <x:c r="T16" s="152" t="n">
        <x:f>J16-S16</x:f>
        <x:v>-17416.666666666664</x:v>
      </x:c>
      <x:c r="U16" s="152" t="n">
        <x:f>T16+U15</x:f>
        <x:v>-285450</x:v>
      </x:c>
      <x:c r="V16" s="152" t="n">
        <x:f>T16/(1+'Supuestos nuevos'!$B$33)^(A16/12)</x:f>
        <x:v>-13867.190525743934</x:v>
      </x:c>
    </x:row>
    <x:row r="17" ht="42" customHeight="1">
      <x:c r="A17" s="147" t="n">
        <x:f>16</x:f>
        <x:v>16</x:v>
      </x:c>
      <x:c r="B17" s="147" t="n">
        <x:f>ROUNDUP(A17/12,0)</x:f>
        <x:v>2</x:v>
      </x:c>
      <x:c r="C17" s="152" t="n">
        <x:f>IF(A17&gt;='Supuestos nuevos'!$B$2,CHOOSE(MIN(3,1+INT((A17-'Supuestos nuevos'!$B$2)/12)),'Supuestos nuevos'!$B$34,'Supuestos nuevos'!$B$35,'Supuestos nuevos'!$B$36)/12,0)</x:f>
        <x:v>0</x:v>
      </x:c>
      <x:c r="D17" s="152" t="n">
        <x:f>D16*'Supuestos nuevos'!$B$17+C17</x:f>
        <x:v>0</x:v>
      </x:c>
      <x:c r="E17" s="152" t="n">
        <x:f>MAX(0,D17*'Supuestos nuevos'!$B$18-2*C17)</x:f>
        <x:v>0</x:v>
      </x:c>
      <x:c r="F17" s="152" t="n">
        <x:f>IF(A17&gt;='Supuestos nuevos'!$B$2,CHOOSE(MIN(3,1+INT((A17-'Supuestos nuevos'!$B$2)/12)),'Supuestos nuevos'!$B$37,'Supuestos nuevos'!$B$38,'Supuestos nuevos'!$B$39)/12,0)</x:f>
        <x:v>0</x:v>
      </x:c>
      <x:c r="G17" s="152" t="n">
        <x:f>IF(A17='Supuestos nuevos'!$B$2-1,'Supuestos nuevos'!$B$51,IF(A17&gt;='Supuestos nuevos'!$B$2,ROUNDUP(MAX(0,C17+F17-I16),0),0))</x:f>
        <x:v>0</x:v>
      </x:c>
      <x:c r="H17" s="152" t="n">
        <x:f>ROUNDUP(G17/(1-'Supuestos nuevos'!$B$14),0)</x:f>
        <x:v>0</x:v>
      </x:c>
      <x:c r="I17" s="152" t="n">
        <x:f>I16+G17-C17-F17</x:f>
        <x:v>0</x:v>
      </x:c>
      <x:c r="J17" s="152" t="n">
        <x:f>C17*'Supuestos nuevos'!$B$15+E17*'Supuestos nuevos'!$B$16</x:f>
        <x:v>0</x:v>
      </x:c>
      <x:c r="K17" s="152" t="n">
        <x:f>H17*(2*('Supuestos nuevos'!$B$19+'Supuestos nuevos'!$B$20)+'Supuestos nuevos'!$B$21+'Supuestos nuevos'!$B$22+2*('Supuestos nuevos'!$B$23+'Supuestos nuevos'!$B$24)+'Supuestos nuevos'!$B$25)</x:f>
        <x:v>0</x:v>
      </x:c>
      <x:c r="L17" s="152" t="n">
        <x:f>H17*(((2*('Supuestos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nuevos'!$B$29)+IF(A17='Supuestos nuevos'!$B$2-1,'Supuestos nuevos'!$B$30,0)</x:f>
        <x:v>0</x:v>
      </x:c>
      <x:c r="M17" s="152" t="n">
        <x:f>E17*(('Supuestos nuevos'!$B$23+'Supuestos nuevos'!$B$24)/(1-'Supuestos nuevos'!$B$14)+'Supuestos nuevos'!$B$31)</x:f>
        <x:v>0</x:v>
      </x:c>
      <x:c r="N17" s="152" t="n">
        <x:f>IF(A17&lt;='Supuestos nuevos'!$B$3,'Supuestos nuevos'!$B$4,0)</x:f>
        <x:v>11200</x:v>
      </x:c>
      <x:c r="O17" s="152" t="n">
        <x:f>'Supuestos nuevos'!$B$5+'Supuestos nuevos'!$B$6</x:f>
        <x:v>2500</x:v>
      </x:c>
      <x:c r="P17" s="152" t="n">
        <x:f>IF(AND(A17&gt;=2,A17&lt;=12),'Supuestos nuevos'!$B$7/11,0)+IF(AND(A17&gt;=3,A17&lt;=12),SUM('Supuestos nuevos'!$B$8:$B$10)/10,0)+IF(AND(A17&gt;=7,A17&lt;='Supuestos nuevos'!$B$3),SUM('Supuestos nuevos'!$B$11:$B$12)/('Supuestos nuevos'!$B$3-6),0)</x:f>
        <x:v>3333.3333333333335</x:v>
      </x:c>
      <x:c r="Q17" s="152" t="n">
        <x:f>(P17+'Supuestos nuevos'!$B$6)*'Supuestos nuevos'!$B$13</x:f>
        <x:v>383.33333333333337</x:v>
      </x:c>
      <x:c r="R17" s="152" t="n">
        <x:f>J17*'Supuestos nuevos'!$B$32+IF(A17&gt;='Supuestos nuevos'!$B$2,CHOOSE(MIN(3,1+INT((A17-'Supuestos nuevos'!$B$2)/12)),'Supuestos nuevos'!$B$45,'Supuestos nuevos'!$B$46,'Supuestos nuevos'!$B$47)+CHOOSE(MIN(3,1+INT((A17-'Supuestos nuevos'!$B$2)/12)),'Supuestos nuevos'!$B$48,'Supuestos nuevos'!$B$49,'Supuestos nuevos'!$B$50)+CHOOSE(MIN(3,1+INT((A17-'Supuestos nuevos'!$B$2)/12)),'Supuestos nuevos'!$B$40,'Supuestos nuevos'!$B$41,'Supuestos nuevos'!$B$42)/12+D17*'Supuestos nuevos'!$B$43/100*'Supuestos nuevos'!$B$44,0)</x:f>
        <x:v>0</x:v>
      </x:c>
      <x:c r="S17" s="152" t="n">
        <x:f>SUM(K17:R17)</x:f>
        <x:v>17416.666666666664</x:v>
      </x:c>
      <x:c r="T17" s="152" t="n">
        <x:f>J17-S17</x:f>
        <x:v>-17416.666666666664</x:v>
      </x:c>
      <x:c r="U17" s="152" t="n">
        <x:f>T17+U16</x:f>
        <x:v>-302866.6666666667</x:v>
      </x:c>
      <x:c r="V17" s="152" t="n">
        <x:f>T17/(1+'Supuestos nuevos'!$B$33)^(A17/12)</x:f>
        <x:v>-13658.09236362048</x:v>
      </x:c>
    </x:row>
    <x:row r="18" ht="42" customHeight="1">
      <x:c r="A18" s="147" t="n">
        <x:f>17</x:f>
        <x:v>17</x:v>
      </x:c>
      <x:c r="B18" s="147" t="n">
        <x:f>ROUNDUP(A18/12,0)</x:f>
        <x:v>2</x:v>
      </x:c>
      <x:c r="C18" s="152" t="n">
        <x:f>IF(A18&gt;='Supuestos nuevos'!$B$2,CHOOSE(MIN(3,1+INT((A18-'Supuestos nuevos'!$B$2)/12)),'Supuestos nuevos'!$B$34,'Supuestos nuevos'!$B$35,'Supuestos nuevos'!$B$36)/12,0)</x:f>
        <x:v>0</x:v>
      </x:c>
      <x:c r="D18" s="152" t="n">
        <x:f>D17*'Supuestos nuevos'!$B$17+C18</x:f>
        <x:v>0</x:v>
      </x:c>
      <x:c r="E18" s="152" t="n">
        <x:f>MAX(0,D18*'Supuestos nuevos'!$B$18-2*C18)</x:f>
        <x:v>0</x:v>
      </x:c>
      <x:c r="F18" s="152" t="n">
        <x:f>IF(A18&gt;='Supuestos nuevos'!$B$2,CHOOSE(MIN(3,1+INT((A18-'Supuestos nuevos'!$B$2)/12)),'Supuestos nuevos'!$B$37,'Supuestos nuevos'!$B$38,'Supuestos nuevos'!$B$39)/12,0)</x:f>
        <x:v>0</x:v>
      </x:c>
      <x:c r="G18" s="152" t="n">
        <x:f>IF(A18='Supuestos nuevos'!$B$2-1,'Supuestos nuevos'!$B$51,IF(A18&gt;='Supuestos nuevos'!$B$2,ROUNDUP(MAX(0,C18+F18-I17),0),0))</x:f>
        <x:v>0</x:v>
      </x:c>
      <x:c r="H18" s="152" t="n">
        <x:f>ROUNDUP(G18/(1-'Supuestos nuevos'!$B$14),0)</x:f>
        <x:v>0</x:v>
      </x:c>
      <x:c r="I18" s="152" t="n">
        <x:f>I17+G18-C18-F18</x:f>
        <x:v>0</x:v>
      </x:c>
      <x:c r="J18" s="152" t="n">
        <x:f>C18*'Supuestos nuevos'!$B$15+E18*'Supuestos nuevos'!$B$16</x:f>
        <x:v>0</x:v>
      </x:c>
      <x:c r="K18" s="152" t="n">
        <x:f>H18*(2*('Supuestos nuevos'!$B$19+'Supuestos nuevos'!$B$20)+'Supuestos nuevos'!$B$21+'Supuestos nuevos'!$B$22+2*('Supuestos nuevos'!$B$23+'Supuestos nuevos'!$B$24)+'Supuestos nuevos'!$B$25)</x:f>
        <x:v>0</x:v>
      </x:c>
      <x:c r="L18" s="152" t="n">
        <x:f>H18*(((2*('Supuestos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nuevos'!$B$29)+IF(A18='Supuestos nuevos'!$B$2-1,'Supuestos nuevos'!$B$30,0)</x:f>
        <x:v>0</x:v>
      </x:c>
      <x:c r="M18" s="152" t="n">
        <x:f>E18*(('Supuestos nuevos'!$B$23+'Supuestos nuevos'!$B$24)/(1-'Supuestos nuevos'!$B$14)+'Supuestos nuevos'!$B$31)</x:f>
        <x:v>0</x:v>
      </x:c>
      <x:c r="N18" s="152" t="n">
        <x:f>IF(A18&lt;='Supuestos nuevos'!$B$3,'Supuestos nuevos'!$B$4,0)</x:f>
        <x:v>11200</x:v>
      </x:c>
      <x:c r="O18" s="152" t="n">
        <x:f>'Supuestos nuevos'!$B$5+'Supuestos nuevos'!$B$6</x:f>
        <x:v>2500</x:v>
      </x:c>
      <x:c r="P18" s="152" t="n">
        <x:f>IF(AND(A18&gt;=2,A18&lt;=12),'Supuestos nuevos'!$B$7/11,0)+IF(AND(A18&gt;=3,A18&lt;=12),SUM('Supuestos nuevos'!$B$8:$B$10)/10,0)+IF(AND(A18&gt;=7,A18&lt;='Supuestos nuevos'!$B$3),SUM('Supuestos nuevos'!$B$11:$B$12)/('Supuestos nuevos'!$B$3-6),0)</x:f>
        <x:v>3333.3333333333335</x:v>
      </x:c>
      <x:c r="Q18" s="152" t="n">
        <x:f>(P18+'Supuestos nuevos'!$B$6)*'Supuestos nuevos'!$B$13</x:f>
        <x:v>383.33333333333337</x:v>
      </x:c>
      <x:c r="R18" s="152" t="n">
        <x:f>J18*'Supuestos nuevos'!$B$32+IF(A18&gt;='Supuestos nuevos'!$B$2,CHOOSE(MIN(3,1+INT((A18-'Supuestos nuevos'!$B$2)/12)),'Supuestos nuevos'!$B$45,'Supuestos nuevos'!$B$46,'Supuestos nuevos'!$B$47)+CHOOSE(MIN(3,1+INT((A18-'Supuestos nuevos'!$B$2)/12)),'Supuestos nuevos'!$B$48,'Supuestos nuevos'!$B$49,'Supuestos nuevos'!$B$50)+CHOOSE(MIN(3,1+INT((A18-'Supuestos nuevos'!$B$2)/12)),'Supuestos nuevos'!$B$40,'Supuestos nuevos'!$B$41,'Supuestos nuevos'!$B$42)/12+D18*'Supuestos nuevos'!$B$43/100*'Supuestos nuevos'!$B$44,0)</x:f>
        <x:v>0</x:v>
      </x:c>
      <x:c r="S18" s="152" t="n">
        <x:f>SUM(K18:R18)</x:f>
        <x:v>17416.666666666664</x:v>
      </x:c>
      <x:c r="T18" s="152" t="n">
        <x:f>J18-S18</x:f>
        <x:v>-17416.666666666664</x:v>
      </x:c>
      <x:c r="U18" s="152" t="n">
        <x:f>T18+U17</x:f>
        <x:v>-320283.3333333334</x:v>
      </x:c>
      <x:c r="V18" s="152" t="n">
        <x:f>T18/(1+'Supuestos nuevos'!$B$33)^(A18/12)</x:f>
        <x:v>-13452.147114217327</x:v>
      </x:c>
    </x:row>
    <x:row r="19" ht="42" customHeight="1">
      <x:c r="A19" s="147" t="n">
        <x:f>18</x:f>
        <x:v>18</x:v>
      </x:c>
      <x:c r="B19" s="147" t="n">
        <x:f>ROUNDUP(A19/12,0)</x:f>
        <x:v>2</x:v>
      </x:c>
      <x:c r="C19" s="152" t="n">
        <x:f>IF(A19&gt;='Supuestos nuevos'!$B$2,CHOOSE(MIN(3,1+INT((A19-'Supuestos nuevos'!$B$2)/12)),'Supuestos nuevos'!$B$34,'Supuestos nuevos'!$B$35,'Supuestos nuevos'!$B$36)/12,0)</x:f>
        <x:v>0</x:v>
      </x:c>
      <x:c r="D19" s="152" t="n">
        <x:f>D18*'Supuestos nuevos'!$B$17+C19</x:f>
        <x:v>0</x:v>
      </x:c>
      <x:c r="E19" s="152" t="n">
        <x:f>MAX(0,D19*'Supuestos nuevos'!$B$18-2*C19)</x:f>
        <x:v>0</x:v>
      </x:c>
      <x:c r="F19" s="152" t="n">
        <x:f>IF(A19&gt;='Supuestos nuevos'!$B$2,CHOOSE(MIN(3,1+INT((A19-'Supuestos nuevos'!$B$2)/12)),'Supuestos nuevos'!$B$37,'Supuestos nuevos'!$B$38,'Supuestos nuevos'!$B$39)/12,0)</x:f>
        <x:v>0</x:v>
      </x:c>
      <x:c r="G19" s="152" t="n">
        <x:f>IF(A19='Supuestos nuevos'!$B$2-1,'Supuestos nuevos'!$B$51,IF(A19&gt;='Supuestos nuevos'!$B$2,ROUNDUP(MAX(0,C19+F19-I18),0),0))</x:f>
        <x:v>100</x:v>
      </x:c>
      <x:c r="H19" s="152" t="n">
        <x:f>ROUNDUP(G19/(1-'Supuestos nuevos'!$B$14),0)</x:f>
        <x:v>112</x:v>
      </x:c>
      <x:c r="I19" s="152" t="n">
        <x:f>I18+G19-C19-F19</x:f>
        <x:v>100</x:v>
      </x:c>
      <x:c r="J19" s="152" t="n">
        <x:f>C19*'Supuestos nuevos'!$B$15+E19*'Supuestos nuevos'!$B$16</x:f>
        <x:v>0</x:v>
      </x:c>
      <x:c r="K19" s="152" t="n">
        <x:f>H19*(2*('Supuestos nuevos'!$B$19+'Supuestos nuevos'!$B$20)+'Supuestos nuevos'!$B$21+'Supuestos nuevos'!$B$22+2*('Supuestos nuevos'!$B$23+'Supuestos nuevos'!$B$24)+'Supuestos nuevos'!$B$25)</x:f>
        <x:v>22351.84</x:v>
      </x:c>
      <x:c r="L19" s="152" t="n">
        <x:f>H19*(((2*('Supuestos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nuevos'!$B$29)+IF(A19='Supuestos nuevos'!$B$2-1,'Supuestos nuevos'!$B$30,0)</x:f>
        <x:v>13290.264</x:v>
      </x:c>
      <x:c r="M19" s="152" t="n">
        <x:f>E19*(('Supuestos nuevos'!$B$23+'Supuestos nuevos'!$B$24)/(1-'Supuestos nuevos'!$B$14)+'Supuestos nuevos'!$B$31)</x:f>
        <x:v>0</x:v>
      </x:c>
      <x:c r="N19" s="152" t="n">
        <x:f>IF(A19&lt;='Supuestos nuevos'!$B$3,'Supuestos nuevos'!$B$4,0)</x:f>
        <x:v>11200</x:v>
      </x:c>
      <x:c r="O19" s="152" t="n">
        <x:f>'Supuestos nuevos'!$B$5+'Supuestos nuevos'!$B$6</x:f>
        <x:v>2500</x:v>
      </x:c>
      <x:c r="P19" s="152" t="n">
        <x:f>IF(AND(A19&gt;=2,A19&lt;=12),'Supuestos nuevos'!$B$7/11,0)+IF(AND(A19&gt;=3,A19&lt;=12),SUM('Supuestos nuevos'!$B$8:$B$10)/10,0)+IF(AND(A19&gt;=7,A19&lt;='Supuestos nuevos'!$B$3),SUM('Supuestos nuevos'!$B$11:$B$12)/('Supuestos nuevos'!$B$3-6),0)</x:f>
        <x:v>3333.3333333333335</x:v>
      </x:c>
      <x:c r="Q19" s="152" t="n">
        <x:f>(P19+'Supuestos nuevos'!$B$6)*'Supuestos nuevos'!$B$13</x:f>
        <x:v>383.33333333333337</x:v>
      </x:c>
      <x:c r="R19" s="152" t="n">
        <x:f>J19*'Supuestos nuevos'!$B$32+IF(A19&gt;='Supuestos nuevos'!$B$2,CHOOSE(MIN(3,1+INT((A19-'Supuestos nuevos'!$B$2)/12)),'Supuestos nuevos'!$B$45,'Supuestos nuevos'!$B$46,'Supuestos nuevos'!$B$47)+CHOOSE(MIN(3,1+INT((A19-'Supuestos nuevos'!$B$2)/12)),'Supuestos nuevos'!$B$48,'Supuestos nuevos'!$B$49,'Supuestos nuevos'!$B$50)+CHOOSE(MIN(3,1+INT((A19-'Supuestos nuevos'!$B$2)/12)),'Supuestos nuevos'!$B$40,'Supuestos nuevos'!$B$41,'Supuestos nuevos'!$B$42)/12+D19*'Supuestos nuevos'!$B$43/100*'Supuestos nuevos'!$B$44,0)</x:f>
        <x:v>0</x:v>
      </x:c>
      <x:c r="S19" s="152" t="n">
        <x:f>SUM(K19:R19)</x:f>
        <x:v>53058.77066666667</x:v>
      </x:c>
      <x:c r="T19" s="152" t="n">
        <x:f>J19-S19</x:f>
        <x:v>-53058.77066666667</x:v>
      </x:c>
      <x:c r="U19" s="152" t="n">
        <x:f>T19+U18</x:f>
        <x:v>-373342.10400000005</x:v>
      </x:c>
      <x:c r="V19" s="152" t="n">
        <x:f>T19/(1+'Supuestos nuevos'!$B$33)^(A19/12)</x:f>
        <x:v>-40363.17439948161</x:v>
      </x:c>
    </x:row>
    <x:row r="20" ht="42" customHeight="1">
      <x:c r="A20" s="147" t="n">
        <x:f>19</x:f>
        <x:v>19</x:v>
      </x:c>
      <x:c r="B20" s="147" t="n">
        <x:f>ROUNDUP(A20/12,0)</x:f>
        <x:v>2</x:v>
      </x:c>
      <x:c r="C20" s="152" t="n">
        <x:f>IF(A20&gt;='Supuestos nuevos'!$B$2,CHOOSE(MIN(3,1+INT((A20-'Supuestos nuevos'!$B$2)/12)),'Supuestos nuevos'!$B$34,'Supuestos nuevos'!$B$35,'Supuestos nuevos'!$B$36)/12,0)</x:f>
        <x:v>25</x:v>
      </x:c>
      <x:c r="D20" s="152" t="n">
        <x:f>D19*'Supuestos nuevos'!$B$17+C20</x:f>
        <x:v>25</x:v>
      </x:c>
      <x:c r="E20" s="152" t="n">
        <x:f>MAX(0,D20*'Supuestos nuevos'!$B$18-2*C20)</x:f>
        <x:v>50</x:v>
      </x:c>
      <x:c r="F20" s="152" t="n">
        <x:f>IF(A20&gt;='Supuestos nuevos'!$B$2,CHOOSE(MIN(3,1+INT((A20-'Supuestos nuevos'!$B$2)/12)),'Supuestos nuevos'!$B$37,'Supuestos nuevos'!$B$38,'Supuestos nuevos'!$B$39)/12,0)</x:f>
        <x:v>0.5833333333333334</x:v>
      </x:c>
      <x:c r="G20" s="152" t="n">
        <x:f>IF(A20='Supuestos nuevos'!$B$2-1,'Supuestos nuevos'!$B$51,IF(A20&gt;='Supuestos nuevos'!$B$2,ROUNDUP(MAX(0,C20+F20-I19),0),0))</x:f>
        <x:v>0</x:v>
      </x:c>
      <x:c r="H20" s="152" t="n">
        <x:f>ROUNDUP(G20/(1-'Supuestos nuevos'!$B$14),0)</x:f>
        <x:v>0</x:v>
      </x:c>
      <x:c r="I20" s="152" t="n">
        <x:f>I19+G20-C20-F20</x:f>
        <x:v>74.41666666666667</x:v>
      </x:c>
      <x:c r="J20" s="152" t="n">
        <x:f>C20*'Supuestos nuevos'!$B$15+E20*'Supuestos nuevos'!$B$16</x:f>
        <x:v>21250</x:v>
      </x:c>
      <x:c r="K20" s="152" t="n">
        <x:f>H20*(2*('Supuestos nuevos'!$B$19+'Supuestos nuevos'!$B$20)+'Supuestos nuevos'!$B$21+'Supuestos nuevos'!$B$22+2*('Supuestos nuevos'!$B$23+'Supuestos nuevos'!$B$24)+'Supuestos nuevos'!$B$25)</x:f>
        <x:v>0</x:v>
      </x:c>
      <x:c r="L20" s="152" t="n">
        <x:f>H20*(((2*('Supuestos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nuevos'!$B$29)+IF(A20='Supuestos nuevos'!$B$2-1,'Supuestos nuevos'!$B$30,0)</x:f>
        <x:v>0</x:v>
      </x:c>
      <x:c r="M20" s="152" t="n">
        <x:f>E20*(('Supuestos nuevos'!$B$23+'Supuestos nuevos'!$B$24)/(1-'Supuestos nuevos'!$B$14)+'Supuestos nuevos'!$B$31)</x:f>
        <x:v>779.4444444444445</x:v>
      </x:c>
      <x:c r="N20" s="152" t="n">
        <x:f>IF(A20&lt;='Supuestos nuevos'!$B$3,'Supuestos nuevos'!$B$4,0)</x:f>
        <x:v>0</x:v>
      </x:c>
      <x:c r="O20" s="152" t="n">
        <x:f>'Supuestos nuevos'!$B$5+'Supuestos nuevos'!$B$6</x:f>
        <x:v>2500</x:v>
      </x:c>
      <x:c r="P20" s="152" t="n">
        <x:f>IF(AND(A20&gt;=2,A20&lt;=12),'Supuestos nuevos'!$B$7/11,0)+IF(AND(A20&gt;=3,A20&lt;=12),SUM('Supuestos nuevos'!$B$8:$B$10)/10,0)+IF(AND(A20&gt;=7,A20&lt;='Supuestos nuevos'!$B$3),SUM('Supuestos nuevos'!$B$11:$B$12)/('Supuestos nuevos'!$B$3-6),0)</x:f>
        <x:v>0</x:v>
      </x:c>
      <x:c r="Q20" s="152" t="n">
        <x:f>(P20+'Supuestos nuevos'!$B$6)*'Supuestos nuevos'!$B$13</x:f>
        <x:v>50</x:v>
      </x:c>
      <x:c r="R20" s="152" t="n">
        <x:f>J20*'Supuestos nuevos'!$B$32+IF(A20&gt;='Supuestos nuevos'!$B$2,CHOOSE(MIN(3,1+INT((A20-'Supuestos nuevos'!$B$2)/12)),'Supuestos nuevos'!$B$45,'Supuestos nuevos'!$B$46,'Supuestos nuevos'!$B$47)+CHOOSE(MIN(3,1+INT((A20-'Supuestos nuevos'!$B$2)/12)),'Supuestos nuevos'!$B$48,'Supuestos nuevos'!$B$49,'Supuestos nuevos'!$B$50)+CHOOSE(MIN(3,1+INT((A20-'Supuestos nuevos'!$B$2)/12)),'Supuestos nuevos'!$B$40,'Supuestos nuevos'!$B$41,'Supuestos nuevos'!$B$42)/12+D20*'Supuestos nuevos'!$B$43/100*'Supuestos nuevos'!$B$44,0)</x:f>
        <x:v>6633.333333333</x:v>
      </x:c>
      <x:c r="S20" s="152" t="n">
        <x:f>SUM(K20:R20)</x:f>
        <x:v>9962.777777777444</x:v>
      </x:c>
      <x:c r="T20" s="152" t="n">
        <x:f>J20-S20</x:f>
        <x:v>11287.222222222556</x:v>
      </x:c>
      <x:c r="U20" s="152" t="n">
        <x:f>T20+U19</x:f>
        <x:v>-362054.8817777775</x:v>
      </x:c>
      <x:c r="V20" s="152" t="n">
        <x:f>T20/(1+'Supuestos nuevos'!$B$33)^(A20/12)</x:f>
        <x:v>8457.008542049633</x:v>
      </x:c>
    </x:row>
    <x:row r="21" ht="42" customHeight="1">
      <x:c r="A21" s="147" t="n">
        <x:f>20</x:f>
        <x:v>20</x:v>
      </x:c>
      <x:c r="B21" s="147" t="n">
        <x:f>ROUNDUP(A21/12,0)</x:f>
        <x:v>2</x:v>
      </x:c>
      <x:c r="C21" s="152" t="n">
        <x:f>IF(A21&gt;='Supuestos nuevos'!$B$2,CHOOSE(MIN(3,1+INT((A21-'Supuestos nuevos'!$B$2)/12)),'Supuestos nuevos'!$B$34,'Supuestos nuevos'!$B$35,'Supuestos nuevos'!$B$36)/12,0)</x:f>
        <x:v>25</x:v>
      </x:c>
      <x:c r="D21" s="152" t="n">
        <x:f>D20*'Supuestos nuevos'!$B$17+C21</x:f>
        <x:v>48.75</x:v>
      </x:c>
      <x:c r="E21" s="152" t="n">
        <x:f>MAX(0,D21*'Supuestos nuevos'!$B$18-2*C21)</x:f>
        <x:v>145</x:v>
      </x:c>
      <x:c r="F21" s="152" t="n">
        <x:f>IF(A21&gt;='Supuestos nuevos'!$B$2,CHOOSE(MIN(3,1+INT((A21-'Supuestos nuevos'!$B$2)/12)),'Supuestos nuevos'!$B$37,'Supuestos nuevos'!$B$38,'Supuestos nuevos'!$B$39)/12,0)</x:f>
        <x:v>0.5833333333333334</x:v>
      </x:c>
      <x:c r="G21" s="152" t="n">
        <x:f>IF(A21='Supuestos nuevos'!$B$2-1,'Supuestos nuevos'!$B$51,IF(A21&gt;='Supuestos nuevos'!$B$2,ROUNDUP(MAX(0,C21+F21-I20),0),0))</x:f>
        <x:v>0</x:v>
      </x:c>
      <x:c r="H21" s="152" t="n">
        <x:f>ROUNDUP(G21/(1-'Supuestos nuevos'!$B$14),0)</x:f>
        <x:v>0</x:v>
      </x:c>
      <x:c r="I21" s="152" t="n">
        <x:f>I20+G21-C21-F21</x:f>
        <x:v>48.833333333333336</x:v>
      </x:c>
      <x:c r="J21" s="152" t="n">
        <x:f>C21*'Supuestos nuevos'!$B$15+E21*'Supuestos nuevos'!$B$16</x:f>
        <x:v>23625</x:v>
      </x:c>
      <x:c r="K21" s="152" t="n">
        <x:f>H21*(2*('Supuestos nuevos'!$B$19+'Supuestos nuevos'!$B$20)+'Supuestos nuevos'!$B$21+'Supuestos nuevos'!$B$22+2*('Supuestos nuevos'!$B$23+'Supuestos nuevos'!$B$24)+'Supuestos nuevos'!$B$25)</x:f>
        <x:v>0</x:v>
      </x:c>
      <x:c r="L21" s="152" t="n">
        <x:f>H21*(((2*('Supuestos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nuevos'!$B$29)+IF(A21='Supuestos nuevos'!$B$2-1,'Supuestos nuevos'!$B$30,0)</x:f>
        <x:v>0</x:v>
      </x:c>
      <x:c r="M21" s="152" t="n">
        <x:f>E21*(('Supuestos nuevos'!$B$23+'Supuestos nuevos'!$B$24)/(1-'Supuestos nuevos'!$B$14)+'Supuestos nuevos'!$B$31)</x:f>
        <x:v>2260.3888888888887</x:v>
      </x:c>
      <x:c r="N21" s="152" t="n">
        <x:f>IF(A21&lt;='Supuestos nuevos'!$B$3,'Supuestos nuevos'!$B$4,0)</x:f>
        <x:v>0</x:v>
      </x:c>
      <x:c r="O21" s="152" t="n">
        <x:f>'Supuestos nuevos'!$B$5+'Supuestos nuevos'!$B$6</x:f>
        <x:v>2500</x:v>
      </x:c>
      <x:c r="P21" s="152" t="n">
        <x:f>IF(AND(A21&gt;=2,A21&lt;=12),'Supuestos nuevos'!$B$7/11,0)+IF(AND(A21&gt;=3,A21&lt;=12),SUM('Supuestos nuevos'!$B$8:$B$10)/10,0)+IF(AND(A21&gt;=7,A21&lt;='Supuestos nuevos'!$B$3),SUM('Supuestos nuevos'!$B$11:$B$12)/('Supuestos nuevos'!$B$3-6),0)</x:f>
        <x:v>0</x:v>
      </x:c>
      <x:c r="Q21" s="152" t="n">
        <x:f>(P21+'Supuestos nuevos'!$B$6)*'Supuestos nuevos'!$B$13</x:f>
        <x:v>50</x:v>
      </x:c>
      <x:c r="R21" s="152" t="n">
        <x:f>J21*'Supuestos nuevos'!$B$32+IF(A21&gt;='Supuestos nuevos'!$B$2,CHOOSE(MIN(3,1+INT((A21-'Supuestos nuevos'!$B$2)/12)),'Supuestos nuevos'!$B$45,'Supuestos nuevos'!$B$46,'Supuestos nuevos'!$B$47)+CHOOSE(MIN(3,1+INT((A21-'Supuestos nuevos'!$B$2)/12)),'Supuestos nuevos'!$B$48,'Supuestos nuevos'!$B$49,'Supuestos nuevos'!$B$50)+CHOOSE(MIN(3,1+INT((A21-'Supuestos nuevos'!$B$2)/12)),'Supuestos nuevos'!$B$40,'Supuestos nuevos'!$B$41,'Supuestos nuevos'!$B$42)/12+D21*'Supuestos nuevos'!$B$43/100*'Supuestos nuevos'!$B$44,0)</x:f>
        <x:v>6961.87499999935</x:v>
      </x:c>
      <x:c r="S21" s="152" t="n">
        <x:f>SUM(K21:R21)</x:f>
        <x:v>11772.26388888824</x:v>
      </x:c>
      <x:c r="T21" s="152" t="n">
        <x:f>J21-S21</x:f>
        <x:v>11852.73611111176</x:v>
      </x:c>
      <x:c r="U21" s="152" t="n">
        <x:f>T21+U20</x:f>
        <x:v>-350202.14566666575</x:v>
      </x:c>
      <x:c r="V21" s="152" t="n">
        <x:f>T21/(1+'Supuestos nuevos'!$B$33)^(A21/12)</x:f>
        <x:v>8746.813608842423</x:v>
      </x:c>
    </x:row>
    <x:row r="22" ht="42" customHeight="1">
      <x:c r="A22" s="147" t="n">
        <x:f>21</x:f>
        <x:v>21</x:v>
      </x:c>
      <x:c r="B22" s="147" t="n">
        <x:f>ROUNDUP(A22/12,0)</x:f>
        <x:v>2</x:v>
      </x:c>
      <x:c r="C22" s="152" t="n">
        <x:f>IF(A22&gt;='Supuestos nuevos'!$B$2,CHOOSE(MIN(3,1+INT((A22-'Supuestos nuevos'!$B$2)/12)),'Supuestos nuevos'!$B$34,'Supuestos nuevos'!$B$35,'Supuestos nuevos'!$B$36)/12,0)</x:f>
        <x:v>25</x:v>
      </x:c>
      <x:c r="D22" s="152" t="n">
        <x:f>D21*'Supuestos nuevos'!$B$17+C22</x:f>
        <x:v>71.3125</x:v>
      </x:c>
      <x:c r="E22" s="152" t="n">
        <x:f>MAX(0,D22*'Supuestos nuevos'!$B$18-2*C22)</x:f>
        <x:v>235.25</x:v>
      </x:c>
      <x:c r="F22" s="152" t="n">
        <x:f>IF(A22&gt;='Supuestos nuevos'!$B$2,CHOOSE(MIN(3,1+INT((A22-'Supuestos nuevos'!$B$2)/12)),'Supuestos nuevos'!$B$37,'Supuestos nuevos'!$B$38,'Supuestos nuevos'!$B$39)/12,0)</x:f>
        <x:v>0.5833333333333334</x:v>
      </x:c>
      <x:c r="G22" s="152" t="n">
        <x:f>IF(A22='Supuestos nuevos'!$B$2-1,'Supuestos nuevos'!$B$51,IF(A22&gt;='Supuestos nuevos'!$B$2,ROUNDUP(MAX(0,C22+F22-I21),0),0))</x:f>
        <x:v>0</x:v>
      </x:c>
      <x:c r="H22" s="152" t="n">
        <x:f>ROUNDUP(G22/(1-'Supuestos nuevos'!$B$14),0)</x:f>
        <x:v>0</x:v>
      </x:c>
      <x:c r="I22" s="152" t="n">
        <x:f>I21+G22-C22-F22</x:f>
        <x:v>23.250000000000004</x:v>
      </x:c>
      <x:c r="J22" s="152" t="n">
        <x:f>C22*'Supuestos nuevos'!$B$15+E22*'Supuestos nuevos'!$B$16</x:f>
        <x:v>25881.25</x:v>
      </x:c>
      <x:c r="K22" s="152" t="n">
        <x:f>H22*(2*('Supuestos nuevos'!$B$19+'Supuestos nuevos'!$B$20)+'Supuestos nuevos'!$B$21+'Supuestos nuevos'!$B$22+2*('Supuestos nuevos'!$B$23+'Supuestos nuevos'!$B$24)+'Supuestos nuevos'!$B$25)</x:f>
        <x:v>0</x:v>
      </x:c>
      <x:c r="L22" s="152" t="n">
        <x:f>H22*(((2*('Supuestos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nuevos'!$B$29)+IF(A22='Supuestos nuevos'!$B$2-1,'Supuestos nuevos'!$B$30,0)</x:f>
        <x:v>0</x:v>
      </x:c>
      <x:c r="M22" s="152" t="n">
        <x:f>E22*(('Supuestos nuevos'!$B$23+'Supuestos nuevos'!$B$24)/(1-'Supuestos nuevos'!$B$14)+'Supuestos nuevos'!$B$31)</x:f>
        <x:v>3667.286111111111</x:v>
      </x:c>
      <x:c r="N22" s="152" t="n">
        <x:f>IF(A22&lt;='Supuestos nuevos'!$B$3,'Supuestos nuevos'!$B$4,0)</x:f>
        <x:v>0</x:v>
      </x:c>
      <x:c r="O22" s="152" t="n">
        <x:f>'Supuestos nuevos'!$B$5+'Supuestos nuevos'!$B$6</x:f>
        <x:v>2500</x:v>
      </x:c>
      <x:c r="P22" s="152" t="n">
        <x:f>IF(AND(A22&gt;=2,A22&lt;=12),'Supuestos nuevos'!$B$7/11,0)+IF(AND(A22&gt;=3,A22&lt;=12),SUM('Supuestos nuevos'!$B$8:$B$10)/10,0)+IF(AND(A22&gt;=7,A22&lt;='Supuestos nuevos'!$B$3),SUM('Supuestos nuevos'!$B$11:$B$12)/('Supuestos nuevos'!$B$3-6),0)</x:f>
        <x:v>0</x:v>
      </x:c>
      <x:c r="Q22" s="152" t="n">
        <x:f>(P22+'Supuestos nuevos'!$B$6)*'Supuestos nuevos'!$B$13</x:f>
        <x:v>50</x:v>
      </x:c>
      <x:c r="R22" s="152" t="n">
        <x:f>J22*'Supuestos nuevos'!$B$32+IF(A22&gt;='Supuestos nuevos'!$B$2,CHOOSE(MIN(3,1+INT((A22-'Supuestos nuevos'!$B$2)/12)),'Supuestos nuevos'!$B$45,'Supuestos nuevos'!$B$46,'Supuestos nuevos'!$B$47)+CHOOSE(MIN(3,1+INT((A22-'Supuestos nuevos'!$B$2)/12)),'Supuestos nuevos'!$B$48,'Supuestos nuevos'!$B$49,'Supuestos nuevos'!$B$50)+CHOOSE(MIN(3,1+INT((A22-'Supuestos nuevos'!$B$2)/12)),'Supuestos nuevos'!$B$40,'Supuestos nuevos'!$B$41,'Supuestos nuevos'!$B$42)/12+D22*'Supuestos nuevos'!$B$43/100*'Supuestos nuevos'!$B$44,0)</x:f>
        <x:v>7273.989583332383</x:v>
      </x:c>
      <x:c r="S22" s="152" t="n">
        <x:f>SUM(K22:R22)</x:f>
        <x:v>13491.275694443493</x:v>
      </x:c>
      <x:c r="T22" s="152" t="n">
        <x:f>J22-S22</x:f>
        <x:v>12389.974305556507</x:v>
      </x:c>
      <x:c r="U22" s="152" t="n">
        <x:f>T22+U21</x:f>
        <x:v>-337812.17136110924</x:v>
      </x:c>
      <x:c r="V22" s="152" t="n">
        <x:f>T22/(1+'Supuestos nuevos'!$B$33)^(A22/12)</x:f>
        <x:v>9005.404503028292</x:v>
      </x:c>
    </x:row>
    <x:row r="23" ht="42" customHeight="1">
      <x:c r="A23" s="147" t="n">
        <x:f>22</x:f>
        <x:v>22</x:v>
      </x:c>
      <x:c r="B23" s="147" t="n">
        <x:f>ROUNDUP(A23/12,0)</x:f>
        <x:v>2</x:v>
      </x:c>
      <x:c r="C23" s="152" t="n">
        <x:f>IF(A23&gt;='Supuestos nuevos'!$B$2,CHOOSE(MIN(3,1+INT((A23-'Supuestos nuevos'!$B$2)/12)),'Supuestos nuevos'!$B$34,'Supuestos nuevos'!$B$35,'Supuestos nuevos'!$B$36)/12,0)</x:f>
        <x:v>25</x:v>
      </x:c>
      <x:c r="D23" s="152" t="n">
        <x:f>D22*'Supuestos nuevos'!$B$17+C23</x:f>
        <x:v>92.746875</x:v>
      </x:c>
      <x:c r="E23" s="152" t="n">
        <x:f>MAX(0,D23*'Supuestos nuevos'!$B$18-2*C23)</x:f>
        <x:v>320.9875</x:v>
      </x:c>
      <x:c r="F23" s="152" t="n">
        <x:f>IF(A23&gt;='Supuestos nuevos'!$B$2,CHOOSE(MIN(3,1+INT((A23-'Supuestos nuevos'!$B$2)/12)),'Supuestos nuevos'!$B$37,'Supuestos nuevos'!$B$38,'Supuestos nuevos'!$B$39)/12,0)</x:f>
        <x:v>0.5833333333333334</x:v>
      </x:c>
      <x:c r="G23" s="152" t="n">
        <x:f>IF(A23='Supuestos nuevos'!$B$2-1,'Supuestos nuevos'!$B$51,IF(A23&gt;='Supuestos nuevos'!$B$2,ROUNDUP(MAX(0,C23+F23-I22),0),0))</x:f>
        <x:v>3</x:v>
      </x:c>
      <x:c r="H23" s="152" t="n">
        <x:f>ROUNDUP(G23/(1-'Supuestos nuevos'!$B$14),0)</x:f>
        <x:v>4</x:v>
      </x:c>
      <x:c r="I23" s="152" t="n">
        <x:f>I22+G23-C23-F23</x:f>
        <x:v>0.6666666666666702</x:v>
      </x:c>
      <x:c r="J23" s="152" t="n">
        <x:f>C23*'Supuestos nuevos'!$B$15+E23*'Supuestos nuevos'!$B$16</x:f>
        <x:v>28024.6875</x:v>
      </x:c>
      <x:c r="K23" s="152" t="n">
        <x:f>H23*(2*('Supuestos nuevos'!$B$19+'Supuestos nuevos'!$B$20)+'Supuestos nuevos'!$B$21+'Supuestos nuevos'!$B$22+2*('Supuestos nuevos'!$B$23+'Supuestos nuevos'!$B$24)+'Supuestos nuevos'!$B$25)</x:f>
        <x:v>798.28</x:v>
      </x:c>
      <x:c r="L23" s="152" t="n">
        <x:f>H23*(((2*('Supuestos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nuevos'!$B$29)+IF(A23='Supuestos nuevos'!$B$2-1,'Supuestos nuevos'!$B$30,0)</x:f>
        <x:v>463.938</x:v>
      </x:c>
      <x:c r="M23" s="152" t="n">
        <x:f>E23*(('Supuestos nuevos'!$B$23+'Supuestos nuevos'!$B$24)/(1-'Supuestos nuevos'!$B$14)+'Supuestos nuevos'!$B$31)</x:f>
        <x:v>5003.838472222223</x:v>
      </x:c>
      <x:c r="N23" s="152" t="n">
        <x:f>IF(A23&lt;='Supuestos nuevos'!$B$3,'Supuestos nuevos'!$B$4,0)</x:f>
        <x:v>0</x:v>
      </x:c>
      <x:c r="O23" s="152" t="n">
        <x:f>'Supuestos nuevos'!$B$5+'Supuestos nuevos'!$B$6</x:f>
        <x:v>2500</x:v>
      </x:c>
      <x:c r="P23" s="152" t="n">
        <x:f>IF(AND(A23&gt;=2,A23&lt;=12),'Supuestos nuevos'!$B$7/11,0)+IF(AND(A23&gt;=3,A23&lt;=12),SUM('Supuestos nuevos'!$B$8:$B$10)/10,0)+IF(AND(A23&gt;=7,A23&lt;='Supuestos nuevos'!$B$3),SUM('Supuestos nuevos'!$B$11:$B$12)/('Supuestos nuevos'!$B$3-6),0)</x:f>
        <x:v>0</x:v>
      </x:c>
      <x:c r="Q23" s="152" t="n">
        <x:f>(P23+'Supuestos nuevos'!$B$6)*'Supuestos nuevos'!$B$13</x:f>
        <x:v>50</x:v>
      </x:c>
      <x:c r="R23" s="152" t="n">
        <x:f>J23*'Supuestos nuevos'!$B$32+IF(A23&gt;='Supuestos nuevos'!$B$2,CHOOSE(MIN(3,1+INT((A23-'Supuestos nuevos'!$B$2)/12)),'Supuestos nuevos'!$B$45,'Supuestos nuevos'!$B$46,'Supuestos nuevos'!$B$47)+CHOOSE(MIN(3,1+INT((A23-'Supuestos nuevos'!$B$2)/12)),'Supuestos nuevos'!$B$48,'Supuestos nuevos'!$B$49,'Supuestos nuevos'!$B$50)+CHOOSE(MIN(3,1+INT((A23-'Supuestos nuevos'!$B$2)/12)),'Supuestos nuevos'!$B$40,'Supuestos nuevos'!$B$41,'Supuestos nuevos'!$B$42)/12+D23*'Supuestos nuevos'!$B$43/100*'Supuestos nuevos'!$B$44,0)</x:f>
        <x:v>7570.498437498763</x:v>
      </x:c>
      <x:c r="S23" s="152" t="n">
        <x:f>SUM(K23:R23)</x:f>
        <x:v>16386.554909720988</x:v>
      </x:c>
      <x:c r="T23" s="152" t="n">
        <x:f>J23-S23</x:f>
        <x:v>11638.132590279012</x:v>
      </x:c>
      <x:c r="U23" s="152" t="n">
        <x:f>T23+U22</x:f>
        <x:v>-326174.03877083026</x:v>
      </x:c>
      <x:c r="V23" s="152" t="n">
        <x:f>T23/(1+'Supuestos nuevos'!$B$33)^(A23/12)</x:f>
        <x:v>8331.394187226306</x:v>
      </x:c>
    </x:row>
    <x:row r="24" ht="42" customHeight="1">
      <x:c r="A24" s="147" t="n">
        <x:f>23</x:f>
        <x:v>23</x:v>
      </x:c>
      <x:c r="B24" s="147" t="n">
        <x:f>ROUNDUP(A24/12,0)</x:f>
        <x:v>2</x:v>
      </x:c>
      <x:c r="C24" s="152" t="n">
        <x:f>IF(A24&gt;='Supuestos nuevos'!$B$2,CHOOSE(MIN(3,1+INT((A24-'Supuestos nuevos'!$B$2)/12)),'Supuestos nuevos'!$B$34,'Supuestos nuevos'!$B$35,'Supuestos nuevos'!$B$36)/12,0)</x:f>
        <x:v>25</x:v>
      </x:c>
      <x:c r="D24" s="152" t="n">
        <x:f>D23*'Supuestos nuevos'!$B$17+C24</x:f>
        <x:v>113.10953125</x:v>
      </x:c>
      <x:c r="E24" s="152" t="n">
        <x:f>MAX(0,D24*'Supuestos nuevos'!$B$18-2*C24)</x:f>
        <x:v>402.438125</x:v>
      </x:c>
      <x:c r="F24" s="152" t="n">
        <x:f>IF(A24&gt;='Supuestos nuevos'!$B$2,CHOOSE(MIN(3,1+INT((A24-'Supuestos nuevos'!$B$2)/12)),'Supuestos nuevos'!$B$37,'Supuestos nuevos'!$B$38,'Supuestos nuevos'!$B$39)/12,0)</x:f>
        <x:v>0.5833333333333334</x:v>
      </x:c>
      <x:c r="G24" s="152" t="n">
        <x:f>IF(A24='Supuestos nuevos'!$B$2-1,'Supuestos nuevos'!$B$51,IF(A24&gt;='Supuestos nuevos'!$B$2,ROUNDUP(MAX(0,C24+F24-I23),0),0))</x:f>
        <x:v>25</x:v>
      </x:c>
      <x:c r="H24" s="152" t="n">
        <x:f>ROUNDUP(G24/(1-'Supuestos nuevos'!$B$14),0)</x:f>
        <x:v>28</x:v>
      </x:c>
      <x:c r="I24" s="152" t="n">
        <x:f>I23+G24-C24-F24</x:f>
        <x:v>0.08333333333333803</x:v>
      </x:c>
      <x:c r="J24" s="152" t="n">
        <x:f>C24*'Supuestos nuevos'!$B$15+E24*'Supuestos nuevos'!$B$16</x:f>
        <x:v>30060.953125</x:v>
      </x:c>
      <x:c r="K24" s="152" t="n">
        <x:f>H24*(2*('Supuestos nuevos'!$B$19+'Supuestos nuevos'!$B$20)+'Supuestos nuevos'!$B$21+'Supuestos nuevos'!$B$22+2*('Supuestos nuevos'!$B$23+'Supuestos nuevos'!$B$24)+'Supuestos nuevos'!$B$25)</x:f>
        <x:v>5587.96</x:v>
      </x:c>
      <x:c r="L24" s="152" t="n">
        <x:f>H24*(((2*('Supuestos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nuevos'!$B$29)+IF(A24='Supuestos nuevos'!$B$2-1,'Supuestos nuevos'!$B$30,0)</x:f>
        <x:v>3247.566</x:v>
      </x:c>
      <x:c r="M24" s="152" t="n">
        <x:f>E24*(('Supuestos nuevos'!$B$23+'Supuestos nuevos'!$B$24)/(1-'Supuestos nuevos'!$B$14)+'Supuestos nuevos'!$B$31)</x:f>
        <x:v>6273.563215277778</x:v>
      </x:c>
      <x:c r="N24" s="152" t="n">
        <x:f>IF(A24&lt;='Supuestos nuevos'!$B$3,'Supuestos nuevos'!$B$4,0)</x:f>
        <x:v>0</x:v>
      </x:c>
      <x:c r="O24" s="152" t="n">
        <x:f>'Supuestos nuevos'!$B$5+'Supuestos nuevos'!$B$6</x:f>
        <x:v>2500</x:v>
      </x:c>
      <x:c r="P24" s="152" t="n">
        <x:f>IF(AND(A24&gt;=2,A24&lt;=12),'Supuestos nuevos'!$B$7/11,0)+IF(AND(A24&gt;=3,A24&lt;=12),SUM('Supuestos nuevos'!$B$8:$B$10)/10,0)+IF(AND(A24&gt;=7,A24&lt;='Supuestos nuevos'!$B$3),SUM('Supuestos nuevos'!$B$11:$B$12)/('Supuestos nuevos'!$B$3-6),0)</x:f>
        <x:v>0</x:v>
      </x:c>
      <x:c r="Q24" s="152" t="n">
        <x:f>(P24+'Supuestos nuevos'!$B$6)*'Supuestos nuevos'!$B$13</x:f>
        <x:v>50</x:v>
      </x:c>
      <x:c r="R24" s="152" t="n">
        <x:f>J24*'Supuestos nuevos'!$B$32+IF(A24&gt;='Supuestos nuevos'!$B$2,CHOOSE(MIN(3,1+INT((A24-'Supuestos nuevos'!$B$2)/12)),'Supuestos nuevos'!$B$45,'Supuestos nuevos'!$B$46,'Supuestos nuevos'!$B$47)+CHOOSE(MIN(3,1+INT((A24-'Supuestos nuevos'!$B$2)/12)),'Supuestos nuevos'!$B$48,'Supuestos nuevos'!$B$49,'Supuestos nuevos'!$B$50)+CHOOSE(MIN(3,1+INT((A24-'Supuestos nuevos'!$B$2)/12)),'Supuestos nuevos'!$B$40,'Supuestos nuevos'!$B$41,'Supuestos nuevos'!$B$42)/12+D24*'Supuestos nuevos'!$B$43/100*'Supuestos nuevos'!$B$44,0)</x:f>
        <x:v>7852.181848956826</x:v>
      </x:c>
      <x:c r="S24" s="152" t="n">
        <x:f>SUM(K24:R24)</x:f>
        <x:v>25511.271064234603</x:v>
      </x:c>
      <x:c r="T24" s="152" t="n">
        <x:f>J24-S24</x:f>
        <x:v>4549.682060765397</x:v>
      </x:c>
      <x:c r="U24" s="152" t="n">
        <x:f>T24+U23</x:f>
        <x:v>-321624.35671006487</x:v>
      </x:c>
      <x:c r="V24" s="152" t="n">
        <x:f>T24/(1+'Supuestos nuevos'!$B$33)^(A24/12)</x:f>
        <x:v>3207.8717250401673</x:v>
      </x:c>
    </x:row>
    <x:row r="25" ht="42" customHeight="1">
      <x:c r="A25" s="147" t="n">
        <x:f>24</x:f>
        <x:v>24</x:v>
      </x:c>
      <x:c r="B25" s="147" t="n">
        <x:f>ROUNDUP(A25/12,0)</x:f>
        <x:v>2</x:v>
      </x:c>
      <x:c r="C25" s="152" t="n">
        <x:f>IF(A25&gt;='Supuestos nuevos'!$B$2,CHOOSE(MIN(3,1+INT((A25-'Supuestos nuevos'!$B$2)/12)),'Supuestos nuevos'!$B$34,'Supuestos nuevos'!$B$35,'Supuestos nuevos'!$B$36)/12,0)</x:f>
        <x:v>25</x:v>
      </x:c>
      <x:c r="D25" s="152" t="n">
        <x:f>D24*'Supuestos nuevos'!$B$17+C25</x:f>
        <x:v>132.4540546875</x:v>
      </x:c>
      <x:c r="E25" s="152" t="n">
        <x:f>MAX(0,D25*'Supuestos nuevos'!$B$18-2*C25)</x:f>
        <x:v>479.81621874999996</x:v>
      </x:c>
      <x:c r="F25" s="152" t="n">
        <x:f>IF(A25&gt;='Supuestos nuevos'!$B$2,CHOOSE(MIN(3,1+INT((A25-'Supuestos nuevos'!$B$2)/12)),'Supuestos nuevos'!$B$37,'Supuestos nuevos'!$B$38,'Supuestos nuevos'!$B$39)/12,0)</x:f>
        <x:v>0.5833333333333334</x:v>
      </x:c>
      <x:c r="G25" s="152" t="n">
        <x:f>IF(A25='Supuestos nuevos'!$B$2-1,'Supuestos nuevos'!$B$51,IF(A25&gt;='Supuestos nuevos'!$B$2,ROUNDUP(MAX(0,C25+F25-I24),0),0))</x:f>
        <x:v>26</x:v>
      </x:c>
      <x:c r="H25" s="152" t="n">
        <x:f>ROUNDUP(G25/(1-'Supuestos nuevos'!$B$14),0)</x:f>
        <x:v>29</x:v>
      </x:c>
      <x:c r="I25" s="152" t="n">
        <x:f>I24+G25-C25-F25</x:f>
        <x:v>0.5000000000000059</x:v>
      </x:c>
      <x:c r="J25" s="152" t="n">
        <x:f>C25*'Supuestos nuevos'!$B$15+E25*'Supuestos nuevos'!$B$16</x:f>
        <x:v>31995.40546875</x:v>
      </x:c>
      <x:c r="K25" s="152" t="n">
        <x:f>H25*(2*('Supuestos nuevos'!$B$19+'Supuestos nuevos'!$B$20)+'Supuestos nuevos'!$B$21+'Supuestos nuevos'!$B$22+2*('Supuestos nuevos'!$B$23+'Supuestos nuevos'!$B$24)+'Supuestos nuevos'!$B$25)</x:f>
        <x:v>5787.53</x:v>
      </x:c>
      <x:c r="L25" s="152" t="n">
        <x:f>H25*(((2*('Supuestos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nuevos'!$B$29)+IF(A25='Supuestos nuevos'!$B$2-1,'Supuestos nuevos'!$B$30,0)</x:f>
        <x:v>3363.5505</x:v>
      </x:c>
      <x:c r="M25" s="152" t="n">
        <x:f>E25*(('Supuestos nuevos'!$B$23+'Supuestos nuevos'!$B$24)/(1-'Supuestos nuevos'!$B$14)+'Supuestos nuevos'!$B$31)</x:f>
        <x:v>7479.8017211805545</x:v>
      </x:c>
      <x:c r="N25" s="152" t="n">
        <x:f>IF(A25&lt;='Supuestos nuevos'!$B$3,'Supuestos nuevos'!$B$4,0)</x:f>
        <x:v>0</x:v>
      </x:c>
      <x:c r="O25" s="152" t="n">
        <x:f>'Supuestos nuevos'!$B$5+'Supuestos nuevos'!$B$6</x:f>
        <x:v>2500</x:v>
      </x:c>
      <x:c r="P25" s="152" t="n">
        <x:f>IF(AND(A25&gt;=2,A25&lt;=12),'Supuestos nuevos'!$B$7/11,0)+IF(AND(A25&gt;=3,A25&lt;=12),SUM('Supuestos nuevos'!$B$8:$B$10)/10,0)+IF(AND(A25&gt;=7,A25&lt;='Supuestos nuevos'!$B$3),SUM('Supuestos nuevos'!$B$11:$B$12)/('Supuestos nuevos'!$B$3-6),0)</x:f>
        <x:v>0</x:v>
      </x:c>
      <x:c r="Q25" s="152" t="n">
        <x:f>(P25+'Supuestos nuevos'!$B$6)*'Supuestos nuevos'!$B$13</x:f>
        <x:v>50</x:v>
      </x:c>
      <x:c r="R25" s="152" t="n">
        <x:f>J25*'Supuestos nuevos'!$B$32+IF(A25&gt;='Supuestos nuevos'!$B$2,CHOOSE(MIN(3,1+INT((A25-'Supuestos nuevos'!$B$2)/12)),'Supuestos nuevos'!$B$45,'Supuestos nuevos'!$B$46,'Supuestos nuevos'!$B$47)+CHOOSE(MIN(3,1+INT((A25-'Supuestos nuevos'!$B$2)/12)),'Supuestos nuevos'!$B$48,'Supuestos nuevos'!$B$49,'Supuestos nuevos'!$B$50)+CHOOSE(MIN(3,1+INT((A25-'Supuestos nuevos'!$B$2)/12)),'Supuestos nuevos'!$B$40,'Supuestos nuevos'!$B$41,'Supuestos nuevos'!$B$42)/12+D25*'Supuestos nuevos'!$B$43/100*'Supuestos nuevos'!$B$44,0)</x:f>
        <x:v>8119.781089841985</x:v>
      </x:c>
      <x:c r="S25" s="152" t="n">
        <x:f>SUM(K25:R25)</x:f>
        <x:v>27300.663311022538</x:v>
      </x:c>
      <x:c r="T25" s="152" t="n">
        <x:f>J25-S25</x:f>
        <x:v>4694.742157727462</x:v>
      </x:c>
      <x:c r="U25" s="152" t="n">
        <x:f>T25+U24</x:f>
        <x:v>-316929.6145523374</x:v>
      </x:c>
      <x:c r="V25" s="152" t="n">
        <x:f>T25/(1+'Supuestos nuevos'!$B$33)^(A25/12)</x:f>
        <x:v>3260.2376095329596</x:v>
      </x:c>
    </x:row>
    <x:row r="26" ht="42" customHeight="1">
      <x:c r="A26" s="147" t="n">
        <x:f>25</x:f>
        <x:v>25</x:v>
      </x:c>
      <x:c r="B26" s="147" t="n">
        <x:f>ROUNDUP(A26/12,0)</x:f>
        <x:v>3</x:v>
      </x:c>
      <x:c r="C26" s="152" t="n">
        <x:f>IF(A26&gt;='Supuestos nuevos'!$B$2,CHOOSE(MIN(3,1+INT((A26-'Supuestos nuevos'!$B$2)/12)),'Supuestos nuevos'!$B$34,'Supuestos nuevos'!$B$35,'Supuestos nuevos'!$B$36)/12,0)</x:f>
        <x:v>25</x:v>
      </x:c>
      <x:c r="D26" s="152" t="n">
        <x:f>D25*'Supuestos nuevos'!$B$17+C26</x:f>
        <x:v>150.83135195312497</x:v>
      </x:c>
      <x:c r="E26" s="152" t="n">
        <x:f>MAX(0,D26*'Supuestos nuevos'!$B$18-2*C26)</x:f>
        <x:v>553.3254078124999</x:v>
      </x:c>
      <x:c r="F26" s="152" t="n">
        <x:f>IF(A26&gt;='Supuestos nuevos'!$B$2,CHOOSE(MIN(3,1+INT((A26-'Supuestos nuevos'!$B$2)/12)),'Supuestos nuevos'!$B$37,'Supuestos nuevos'!$B$38,'Supuestos nuevos'!$B$39)/12,0)</x:f>
        <x:v>0.5833333333333334</x:v>
      </x:c>
      <x:c r="G26" s="152" t="n">
        <x:f>IF(A26='Supuestos nuevos'!$B$2-1,'Supuestos nuevos'!$B$51,IF(A26&gt;='Supuestos nuevos'!$B$2,ROUNDUP(MAX(0,C26+F26-I25),0),0))</x:f>
        <x:v>26</x:v>
      </x:c>
      <x:c r="H26" s="152" t="n">
        <x:f>ROUNDUP(G26/(1-'Supuestos nuevos'!$B$14),0)</x:f>
        <x:v>29</x:v>
      </x:c>
      <x:c r="I26" s="152" t="n">
        <x:f>I25+G26-C26-F26</x:f>
        <x:v>0.9166666666666737</x:v>
      </x:c>
      <x:c r="J26" s="152" t="n">
        <x:f>C26*'Supuestos nuevos'!$B$15+E26*'Supuestos nuevos'!$B$16</x:f>
        <x:v>33833.1351953125</x:v>
      </x:c>
      <x:c r="K26" s="152" t="n">
        <x:f>H26*(2*('Supuestos nuevos'!$B$19+'Supuestos nuevos'!$B$20)+'Supuestos nuevos'!$B$21+'Supuestos nuevos'!$B$22+2*('Supuestos nuevos'!$B$23+'Supuestos nuevos'!$B$24)+'Supuestos nuevos'!$B$25)</x:f>
        <x:v>5787.53</x:v>
      </x:c>
      <x:c r="L26" s="152" t="n">
        <x:f>H26*(((2*('Supuestos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nuevos'!$B$29)+IF(A26='Supuestos nuevos'!$B$2-1,'Supuestos nuevos'!$B$30,0)</x:f>
        <x:v>3363.5505</x:v>
      </x:c>
      <x:c r="M26" s="152" t="n">
        <x:f>E26*(('Supuestos nuevos'!$B$23+'Supuestos nuevos'!$B$24)/(1-'Supuestos nuevos'!$B$14)+'Supuestos nuevos'!$B$31)</x:f>
        <x:v>8625.728301788193</x:v>
      </x:c>
      <x:c r="N26" s="152" t="n">
        <x:f>IF(A26&lt;='Supuestos nuevos'!$B$3,'Supuestos nuevos'!$B$4,0)</x:f>
        <x:v>0</x:v>
      </x:c>
      <x:c r="O26" s="152" t="n">
        <x:f>'Supuestos nuevos'!$B$5+'Supuestos nuevos'!$B$6</x:f>
        <x:v>2500</x:v>
      </x:c>
      <x:c r="P26" s="152" t="n">
        <x:f>IF(AND(A26&gt;=2,A26&lt;=12),'Supuestos nuevos'!$B$7/11,0)+IF(AND(A26&gt;=3,A26&lt;=12),SUM('Supuestos nuevos'!$B$8:$B$10)/10,0)+IF(AND(A26&gt;=7,A26&lt;='Supuestos nuevos'!$B$3),SUM('Supuestos nuevos'!$B$11:$B$12)/('Supuestos nuevos'!$B$3-6),0)</x:f>
        <x:v>0</x:v>
      </x:c>
      <x:c r="Q26" s="152" t="n">
        <x:f>(P26+'Supuestos nuevos'!$B$6)*'Supuestos nuevos'!$B$13</x:f>
        <x:v>50</x:v>
      </x:c>
      <x:c r="R26" s="152" t="n">
        <x:f>J26*'Supuestos nuevos'!$B$32+IF(A26&gt;='Supuestos nuevos'!$B$2,CHOOSE(MIN(3,1+INT((A26-'Supuestos nuevos'!$B$2)/12)),'Supuestos nuevos'!$B$45,'Supuestos nuevos'!$B$46,'Supuestos nuevos'!$B$47)+CHOOSE(MIN(3,1+INT((A26-'Supuestos nuevos'!$B$2)/12)),'Supuestos nuevos'!$B$48,'Supuestos nuevos'!$B$49,'Supuestos nuevos'!$B$50)+CHOOSE(MIN(3,1+INT((A26-'Supuestos nuevos'!$B$2)/12)),'Supuestos nuevos'!$B$40,'Supuestos nuevos'!$B$41,'Supuestos nuevos'!$B$42)/12+D26*'Supuestos nuevos'!$B$43/100*'Supuestos nuevos'!$B$44,0)</x:f>
        <x:v>8374.000368682884</x:v>
      </x:c>
      <x:c r="S26" s="152" t="n">
        <x:f>SUM(K26:R26)</x:f>
        <x:v>28700.809170471075</x:v>
      </x:c>
      <x:c r="T26" s="152" t="n">
        <x:f>J26-S26</x:f>
        <x:v>5132.326024841423</x:v>
      </x:c>
      <x:c r="U26" s="152" t="n">
        <x:f>T26+U25</x:f>
        <x:v>-311797.288527496</x:v>
      </x:c>
      <x:c r="V26" s="152" t="n">
        <x:f>T26/(1+'Supuestos nuevos'!$B$33)^(A26/12)</x:f>
        <x:v>3510.3733379681003</x:v>
      </x:c>
    </x:row>
    <x:row r="27" ht="42" customHeight="1">
      <x:c r="A27" s="147" t="n">
        <x:f>26</x:f>
        <x:v>26</x:v>
      </x:c>
      <x:c r="B27" s="147" t="n">
        <x:f>ROUNDUP(A27/12,0)</x:f>
        <x:v>3</x:v>
      </x:c>
      <x:c r="C27" s="152" t="n">
        <x:f>IF(A27&gt;='Supuestos nuevos'!$B$2,CHOOSE(MIN(3,1+INT((A27-'Supuestos nuevos'!$B$2)/12)),'Supuestos nuevos'!$B$34,'Supuestos nuevos'!$B$35,'Supuestos nuevos'!$B$36)/12,0)</x:f>
        <x:v>25</x:v>
      </x:c>
      <x:c r="D27" s="152" t="n">
        <x:f>D26*'Supuestos nuevos'!$B$17+C27</x:f>
        <x:v>168.2897843554687</x:v>
      </x:c>
      <x:c r="E27" s="152" t="n">
        <x:f>MAX(0,D27*'Supuestos nuevos'!$B$18-2*C27)</x:f>
        <x:v>623.1591374218748</x:v>
      </x:c>
      <x:c r="F27" s="152" t="n">
        <x:f>IF(A27&gt;='Supuestos nuevos'!$B$2,CHOOSE(MIN(3,1+INT((A27-'Supuestos nuevos'!$B$2)/12)),'Supuestos nuevos'!$B$37,'Supuestos nuevos'!$B$38,'Supuestos nuevos'!$B$39)/12,0)</x:f>
        <x:v>0.5833333333333334</x:v>
      </x:c>
      <x:c r="G27" s="152" t="n">
        <x:f>IF(A27='Supuestos nuevos'!$B$2-1,'Supuestos nuevos'!$B$51,IF(A27&gt;='Supuestos nuevos'!$B$2,ROUNDUP(MAX(0,C27+F27-I26),0),0))</x:f>
        <x:v>25</x:v>
      </x:c>
      <x:c r="H27" s="152" t="n">
        <x:f>ROUNDUP(G27/(1-'Supuestos nuevos'!$B$14),0)</x:f>
        <x:v>28</x:v>
      </x:c>
      <x:c r="I27" s="152" t="n">
        <x:f>I26+G27-C27-F27</x:f>
        <x:v>0.3333333333333416</x:v>
      </x:c>
      <x:c r="J27" s="152" t="n">
        <x:f>C27*'Supuestos nuevos'!$B$15+E27*'Supuestos nuevos'!$B$16</x:f>
        <x:v>35578.97843554687</x:v>
      </x:c>
      <x:c r="K27" s="152" t="n">
        <x:f>H27*(2*('Supuestos nuevos'!$B$19+'Supuestos nuevos'!$B$20)+'Supuestos nuevos'!$B$21+'Supuestos nuevos'!$B$22+2*('Supuestos nuevos'!$B$23+'Supuestos nuevos'!$B$24)+'Supuestos nuevos'!$B$25)</x:f>
        <x:v>5587.96</x:v>
      </x:c>
      <x:c r="L27" s="152" t="n">
        <x:f>H27*(((2*('Supuestos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nuevos'!$B$29)+IF(A27='Supuestos nuevos'!$B$2-1,'Supuestos nuevos'!$B$30,0)</x:f>
        <x:v>3247.566</x:v>
      </x:c>
      <x:c r="M27" s="152" t="n">
        <x:f>E27*(('Supuestos nuevos'!$B$23+'Supuestos nuevos'!$B$24)/(1-'Supuestos nuevos'!$B$14)+'Supuestos nuevos'!$B$31)</x:f>
        <x:v>9714.358553365448</x:v>
      </x:c>
      <x:c r="N27" s="152" t="n">
        <x:f>IF(A27&lt;='Supuestos nuevos'!$B$3,'Supuestos nuevos'!$B$4,0)</x:f>
        <x:v>0</x:v>
      </x:c>
      <x:c r="O27" s="152" t="n">
        <x:f>'Supuestos nuevos'!$B$5+'Supuestos nuevos'!$B$6</x:f>
        <x:v>2500</x:v>
      </x:c>
      <x:c r="P27" s="152" t="n">
        <x:f>IF(AND(A27&gt;=2,A27&lt;=12),'Supuestos nuevos'!$B$7/11,0)+IF(AND(A27&gt;=3,A27&lt;=12),SUM('Supuestos nuevos'!$B$8:$B$10)/10,0)+IF(AND(A27&gt;=7,A27&lt;='Supuestos nuevos'!$B$3),SUM('Supuestos nuevos'!$B$11:$B$12)/('Supuestos nuevos'!$B$3-6),0)</x:f>
        <x:v>0</x:v>
      </x:c>
      <x:c r="Q27" s="152" t="n">
        <x:f>(P27+'Supuestos nuevos'!$B$6)*'Supuestos nuevos'!$B$13</x:f>
        <x:v>50</x:v>
      </x:c>
      <x:c r="R27" s="152" t="n">
        <x:f>J27*'Supuestos nuevos'!$B$32+IF(A27&gt;='Supuestos nuevos'!$B$2,CHOOSE(MIN(3,1+INT((A27-'Supuestos nuevos'!$B$2)/12)),'Supuestos nuevos'!$B$45,'Supuestos nuevos'!$B$46,'Supuestos nuevos'!$B$47)+CHOOSE(MIN(3,1+INT((A27-'Supuestos nuevos'!$B$2)/12)),'Supuestos nuevos'!$B$48,'Supuestos nuevos'!$B$49,'Supuestos nuevos'!$B$50)+CHOOSE(MIN(3,1+INT((A27-'Supuestos nuevos'!$B$2)/12)),'Supuestos nuevos'!$B$40,'Supuestos nuevos'!$B$41,'Supuestos nuevos'!$B$42)/12+D27*'Supuestos nuevos'!$B$43/100*'Supuestos nuevos'!$B$44,0)</x:f>
        <x:v>8615.50868358174</x:v>
      </x:c>
      <x:c r="S27" s="152" t="n">
        <x:f>SUM(K27:R27)</x:f>
        <x:v>29715.393236947188</x:v>
      </x:c>
      <x:c r="T27" s="152" t="n">
        <x:f>J27-S27</x:f>
        <x:v>5863.585198599685</x:v>
      </x:c>
      <x:c r="U27" s="152" t="n">
        <x:f>T27+U26</x:f>
        <x:v>-305933.7033288963</x:v>
      </x:c>
      <x:c r="V27" s="152" t="n">
        <x:f>T27/(1+'Supuestos nuevos'!$B$33)^(A27/12)</x:f>
        <x:v>3950.061646202697</x:v>
      </x:c>
    </x:row>
    <x:row r="28" ht="42" customHeight="1">
      <x:c r="A28" s="147" t="n">
        <x:f>27</x:f>
        <x:v>27</x:v>
      </x:c>
      <x:c r="B28" s="147" t="n">
        <x:f>ROUNDUP(A28/12,0)</x:f>
        <x:v>3</x:v>
      </x:c>
      <x:c r="C28" s="152" t="n">
        <x:f>IF(A28&gt;='Supuestos nuevos'!$B$2,CHOOSE(MIN(3,1+INT((A28-'Supuestos nuevos'!$B$2)/12)),'Supuestos nuevos'!$B$34,'Supuestos nuevos'!$B$35,'Supuestos nuevos'!$B$36)/12,0)</x:f>
        <x:v>25</x:v>
      </x:c>
      <x:c r="D28" s="152" t="n">
        <x:f>D27*'Supuestos nuevos'!$B$17+C28</x:f>
        <x:v>184.87529513769525</x:v>
      </x:c>
      <x:c r="E28" s="152" t="n">
        <x:f>MAX(0,D28*'Supuestos nuevos'!$B$18-2*C28)</x:f>
        <x:v>689.501180550781</x:v>
      </x:c>
      <x:c r="F28" s="152" t="n">
        <x:f>IF(A28&gt;='Supuestos nuevos'!$B$2,CHOOSE(MIN(3,1+INT((A28-'Supuestos nuevos'!$B$2)/12)),'Supuestos nuevos'!$B$37,'Supuestos nuevos'!$B$38,'Supuestos nuevos'!$B$39)/12,0)</x:f>
        <x:v>0.5833333333333334</x:v>
      </x:c>
      <x:c r="G28" s="152" t="n">
        <x:f>IF(A28='Supuestos nuevos'!$B$2-1,'Supuestos nuevos'!$B$51,IF(A28&gt;='Supuestos nuevos'!$B$2,ROUNDUP(MAX(0,C28+F28-I27),0),0))</x:f>
        <x:v>26</x:v>
      </x:c>
      <x:c r="H28" s="152" t="n">
        <x:f>ROUNDUP(G28/(1-'Supuestos nuevos'!$B$14),0)</x:f>
        <x:v>29</x:v>
      </x:c>
      <x:c r="I28" s="152" t="n">
        <x:f>I27+G28-C28-F28</x:f>
        <x:v>0.7500000000000094</x:v>
      </x:c>
      <x:c r="J28" s="152" t="n">
        <x:f>C28*'Supuestos nuevos'!$B$15+E28*'Supuestos nuevos'!$B$16</x:f>
        <x:v>37237.52951376952</x:v>
      </x:c>
      <x:c r="K28" s="152" t="n">
        <x:f>H28*(2*('Supuestos nuevos'!$B$19+'Supuestos nuevos'!$B$20)+'Supuestos nuevos'!$B$21+'Supuestos nuevos'!$B$22+2*('Supuestos nuevos'!$B$23+'Supuestos nuevos'!$B$24)+'Supuestos nuevos'!$B$25)</x:f>
        <x:v>5787.53</x:v>
      </x:c>
      <x:c r="L28" s="152" t="n">
        <x:f>H28*(((2*('Supuestos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nuevos'!$B$29)+IF(A28='Supuestos nuevos'!$B$2-1,'Supuestos nuevos'!$B$30,0)</x:f>
        <x:v>3363.5505</x:v>
      </x:c>
      <x:c r="M28" s="152" t="n">
        <x:f>E28*(('Supuestos nuevos'!$B$23+'Supuestos nuevos'!$B$24)/(1-'Supuestos nuevos'!$B$14)+'Supuestos nuevos'!$B$31)</x:f>
        <x:v>10748.557292363841</x:v>
      </x:c>
      <x:c r="N28" s="152" t="n">
        <x:f>IF(A28&lt;='Supuestos nuevos'!$B$3,'Supuestos nuevos'!$B$4,0)</x:f>
        <x:v>0</x:v>
      </x:c>
      <x:c r="O28" s="152" t="n">
        <x:f>'Supuestos nuevos'!$B$5+'Supuestos nuevos'!$B$6</x:f>
        <x:v>2500</x:v>
      </x:c>
      <x:c r="P28" s="152" t="n">
        <x:f>IF(AND(A28&gt;=2,A28&lt;=12),'Supuestos nuevos'!$B$7/11,0)+IF(AND(A28&gt;=3,A28&lt;=12),SUM('Supuestos nuevos'!$B$8:$B$10)/10,0)+IF(AND(A28&gt;=7,A28&lt;='Supuestos nuevos'!$B$3),SUM('Supuestos nuevos'!$B$11:$B$12)/('Supuestos nuevos'!$B$3-6),0)</x:f>
        <x:v>0</x:v>
      </x:c>
      <x:c r="Q28" s="152" t="n">
        <x:f>(P28+'Supuestos nuevos'!$B$6)*'Supuestos nuevos'!$B$13</x:f>
        <x:v>50</x:v>
      </x:c>
      <x:c r="R28" s="152" t="n">
        <x:f>J28*'Supuestos nuevos'!$B$32+IF(A28&gt;='Supuestos nuevos'!$B$2,CHOOSE(MIN(3,1+INT((A28-'Supuestos nuevos'!$B$2)/12)),'Supuestos nuevos'!$B$45,'Supuestos nuevos'!$B$46,'Supuestos nuevos'!$B$47)+CHOOSE(MIN(3,1+INT((A28-'Supuestos nuevos'!$B$2)/12)),'Supuestos nuevos'!$B$48,'Supuestos nuevos'!$B$49,'Supuestos nuevos'!$B$50)+CHOOSE(MIN(3,1+INT((A28-'Supuestos nuevos'!$B$2)/12)),'Supuestos nuevos'!$B$40,'Supuestos nuevos'!$B$41,'Supuestos nuevos'!$B$42)/12+D28*'Supuestos nuevos'!$B$43/100*'Supuestos nuevos'!$B$44,0)</x:f>
        <x:v>8844.941582735653</x:v>
      </x:c>
      <x:c r="S28" s="152" t="n">
        <x:f>SUM(K28:R28)</x:f>
        <x:v>31294.579375099496</x:v>
      </x:c>
      <x:c r="T28" s="152" t="n">
        <x:f>J28-S28</x:f>
        <x:v>5942.950138670025</x:v>
      </x:c>
      <x:c r="U28" s="152" t="n">
        <x:f>T28+U27</x:f>
        <x:v>-299990.75319022627</x:v>
      </x:c>
      <x:c r="V28" s="152" t="n">
        <x:f>T28/(1+'Supuestos nuevos'!$B$33)^(A28/12)</x:f>
        <x:v>3943.1589405709847</x:v>
      </x:c>
    </x:row>
    <x:row r="29" ht="42" customHeight="1">
      <x:c r="A29" s="147" t="n">
        <x:f>28</x:f>
        <x:v>28</x:v>
      </x:c>
      <x:c r="B29" s="147" t="n">
        <x:f>ROUNDUP(A29/12,0)</x:f>
        <x:v>3</x:v>
      </x:c>
      <x:c r="C29" s="152" t="n">
        <x:f>IF(A29&gt;='Supuestos nuevos'!$B$2,CHOOSE(MIN(3,1+INT((A29-'Supuestos nuevos'!$B$2)/12)),'Supuestos nuevos'!$B$34,'Supuestos nuevos'!$B$35,'Supuestos nuevos'!$B$36)/12,0)</x:f>
        <x:v>25</x:v>
      </x:c>
      <x:c r="D29" s="152" t="n">
        <x:f>D28*'Supuestos nuevos'!$B$17+C29</x:f>
        <x:v>200.6315303808105</x:v>
      </x:c>
      <x:c r="E29" s="152" t="n">
        <x:f>MAX(0,D29*'Supuestos nuevos'!$B$18-2*C29)</x:f>
        <x:v>752.526121523242</x:v>
      </x:c>
      <x:c r="F29" s="152" t="n">
        <x:f>IF(A29&gt;='Supuestos nuevos'!$B$2,CHOOSE(MIN(3,1+INT((A29-'Supuestos nuevos'!$B$2)/12)),'Supuestos nuevos'!$B$37,'Supuestos nuevos'!$B$38,'Supuestos nuevos'!$B$39)/12,0)</x:f>
        <x:v>0.5833333333333334</x:v>
      </x:c>
      <x:c r="G29" s="152" t="n">
        <x:f>IF(A29='Supuestos nuevos'!$B$2-1,'Supuestos nuevos'!$B$51,IF(A29&gt;='Supuestos nuevos'!$B$2,ROUNDUP(MAX(0,C29+F29-I28),0),0))</x:f>
        <x:v>25</x:v>
      </x:c>
      <x:c r="H29" s="152" t="n">
        <x:f>ROUNDUP(G29/(1-'Supuestos nuevos'!$B$14),0)</x:f>
        <x:v>28</x:v>
      </x:c>
      <x:c r="I29" s="152" t="n">
        <x:f>I28+G29-C29-F29</x:f>
        <x:v>0.1666666666666773</x:v>
      </x:c>
      <x:c r="J29" s="152" t="n">
        <x:f>C29*'Supuestos nuevos'!$B$15+E29*'Supuestos nuevos'!$B$16</x:f>
        <x:v>38813.15303808104</x:v>
      </x:c>
      <x:c r="K29" s="152" t="n">
        <x:f>H29*(2*('Supuestos nuevos'!$B$19+'Supuestos nuevos'!$B$20)+'Supuestos nuevos'!$B$21+'Supuestos nuevos'!$B$22+2*('Supuestos nuevos'!$B$23+'Supuestos nuevos'!$B$24)+'Supuestos nuevos'!$B$25)</x:f>
        <x:v>5587.96</x:v>
      </x:c>
      <x:c r="L29" s="152" t="n">
        <x:f>H29*(((2*('Supuestos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nuevos'!$B$29)+IF(A29='Supuestos nuevos'!$B$2-1,'Supuestos nuevos'!$B$30,0)</x:f>
        <x:v>3247.566</x:v>
      </x:c>
      <x:c r="M29" s="152" t="n">
        <x:f>E29*(('Supuestos nuevos'!$B$23+'Supuestos nuevos'!$B$24)/(1-'Supuestos nuevos'!$B$14)+'Supuestos nuevos'!$B$31)</x:f>
        <x:v>11731.046094412315</x:v>
      </x:c>
      <x:c r="N29" s="152" t="n">
        <x:f>IF(A29&lt;='Supuestos nuevos'!$B$3,'Supuestos nuevos'!$B$4,0)</x:f>
        <x:v>0</x:v>
      </x:c>
      <x:c r="O29" s="152" t="n">
        <x:f>'Supuestos nuevos'!$B$5+'Supuestos nuevos'!$B$6</x:f>
        <x:v>2500</x:v>
      </x:c>
      <x:c r="P29" s="152" t="n">
        <x:f>IF(AND(A29&gt;=2,A29&lt;=12),'Supuestos nuevos'!$B$7/11,0)+IF(AND(A29&gt;=3,A29&lt;=12),SUM('Supuestos nuevos'!$B$8:$B$10)/10,0)+IF(AND(A29&gt;=7,A29&lt;='Supuestos nuevos'!$B$3),SUM('Supuestos nuevos'!$B$11:$B$12)/('Supuestos nuevos'!$B$3-6),0)</x:f>
        <x:v>0</x:v>
      </x:c>
      <x:c r="Q29" s="152" t="n">
        <x:f>(P29+'Supuestos nuevos'!$B$6)*'Supuestos nuevos'!$B$13</x:f>
        <x:v>50</x:v>
      </x:c>
      <x:c r="R29" s="152" t="n">
        <x:f>J29*'Supuestos nuevos'!$B$32+IF(A29&gt;='Supuestos nuevos'!$B$2,CHOOSE(MIN(3,1+INT((A29-'Supuestos nuevos'!$B$2)/12)),'Supuestos nuevos'!$B$45,'Supuestos nuevos'!$B$46,'Supuestos nuevos'!$B$47)+CHOOSE(MIN(3,1+INT((A29-'Supuestos nuevos'!$B$2)/12)),'Supuestos nuevos'!$B$48,'Supuestos nuevos'!$B$49,'Supuestos nuevos'!$B$50)+CHOOSE(MIN(3,1+INT((A29-'Supuestos nuevos'!$B$2)/12)),'Supuestos nuevos'!$B$40,'Supuestos nuevos'!$B$41,'Supuestos nuevos'!$B$42)/12+D29*'Supuestos nuevos'!$B$43/100*'Supuestos nuevos'!$B$44,0)</x:f>
        <x:v>9062.90283693187</x:v>
      </x:c>
      <x:c r="S29" s="152" t="n">
        <x:f>SUM(K29:R29)</x:f>
        <x:v>32179.474931344186</x:v>
      </x:c>
      <x:c r="T29" s="152" t="n">
        <x:f>J29-S29</x:f>
        <x:v>6633.678106736857</x:v>
      </x:c>
      <x:c r="U29" s="152" t="n">
        <x:f>T29+U28</x:f>
        <x:v>-293357.0750834894</x:v>
      </x:c>
      <x:c r="V29" s="152" t="n">
        <x:f>T29/(1+'Supuestos nuevos'!$B$33)^(A29/12)</x:f>
        <x:v>4335.0903489157445</x:v>
      </x:c>
    </x:row>
    <x:row r="30" ht="42" customHeight="1">
      <x:c r="A30" s="147" t="n">
        <x:f>29</x:f>
        <x:v>29</x:v>
      </x:c>
      <x:c r="B30" s="147" t="n">
        <x:f>ROUNDUP(A30/12,0)</x:f>
        <x:v>3</x:v>
      </x:c>
      <x:c r="C30" s="152" t="n">
        <x:f>IF(A30&gt;='Supuestos nuevos'!$B$2,CHOOSE(MIN(3,1+INT((A30-'Supuestos nuevos'!$B$2)/12)),'Supuestos nuevos'!$B$34,'Supuestos nuevos'!$B$35,'Supuestos nuevos'!$B$36)/12,0)</x:f>
        <x:v>25</x:v>
      </x:c>
      <x:c r="D30" s="152" t="n">
        <x:f>D29*'Supuestos nuevos'!$B$17+C30</x:f>
        <x:v>215.59995386176996</x:v>
      </x:c>
      <x:c r="E30" s="152" t="n">
        <x:f>MAX(0,D30*'Supuestos nuevos'!$B$18-2*C30)</x:f>
        <x:v>812.3998154470798</x:v>
      </x:c>
      <x:c r="F30" s="152" t="n">
        <x:f>IF(A30&gt;='Supuestos nuevos'!$B$2,CHOOSE(MIN(3,1+INT((A30-'Supuestos nuevos'!$B$2)/12)),'Supuestos nuevos'!$B$37,'Supuestos nuevos'!$B$38,'Supuestos nuevos'!$B$39)/12,0)</x:f>
        <x:v>0.5833333333333334</x:v>
      </x:c>
      <x:c r="G30" s="152" t="n">
        <x:f>IF(A30='Supuestos nuevos'!$B$2-1,'Supuestos nuevos'!$B$51,IF(A30&gt;='Supuestos nuevos'!$B$2,ROUNDUP(MAX(0,C30+F30-I29),0),0))</x:f>
        <x:v>26</x:v>
      </x:c>
      <x:c r="H30" s="152" t="n">
        <x:f>ROUNDUP(G30/(1-'Supuestos nuevos'!$B$14),0)</x:f>
        <x:v>29</x:v>
      </x:c>
      <x:c r="I30" s="152" t="n">
        <x:f>I29+G30-C30-F30</x:f>
        <x:v>0.5833333333333451</x:v>
      </x:c>
      <x:c r="J30" s="152" t="n">
        <x:f>C30*'Supuestos nuevos'!$B$15+E30*'Supuestos nuevos'!$B$16</x:f>
        <x:v>40309.995386177</x:v>
      </x:c>
      <x:c r="K30" s="152" t="n">
        <x:f>H30*(2*('Supuestos nuevos'!$B$19+'Supuestos nuevos'!$B$20)+'Supuestos nuevos'!$B$21+'Supuestos nuevos'!$B$22+2*('Supuestos nuevos'!$B$23+'Supuestos nuevos'!$B$24)+'Supuestos nuevos'!$B$25)</x:f>
        <x:v>5787.53</x:v>
      </x:c>
      <x:c r="L30" s="152" t="n">
        <x:f>H30*(((2*('Supuestos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nuevos'!$B$29)+IF(A30='Supuestos nuevos'!$B$2-1,'Supuestos nuevos'!$B$30,0)</x:f>
        <x:v>3363.5505</x:v>
      </x:c>
      <x:c r="M30" s="152" t="n">
        <x:f>E30*(('Supuestos nuevos'!$B$23+'Supuestos nuevos'!$B$24)/(1-'Supuestos nuevos'!$B$14)+'Supuestos nuevos'!$B$31)</x:f>
        <x:v>12664.410456358366</x:v>
      </x:c>
      <x:c r="N30" s="152" t="n">
        <x:f>IF(A30&lt;='Supuestos nuevos'!$B$3,'Supuestos nuevos'!$B$4,0)</x:f>
        <x:v>0</x:v>
      </x:c>
      <x:c r="O30" s="152" t="n">
        <x:f>'Supuestos nuevos'!$B$5+'Supuestos nuevos'!$B$6</x:f>
        <x:v>2500</x:v>
      </x:c>
      <x:c r="P30" s="152" t="n">
        <x:f>IF(AND(A30&gt;=2,A30&lt;=12),'Supuestos nuevos'!$B$7/11,0)+IF(AND(A30&gt;=3,A30&lt;=12),SUM('Supuestos nuevos'!$B$8:$B$10)/10,0)+IF(AND(A30&gt;=7,A30&lt;='Supuestos nuevos'!$B$3),SUM('Supuestos nuevos'!$B$11:$B$12)/('Supuestos nuevos'!$B$3-6),0)</x:f>
        <x:v>0</x:v>
      </x:c>
      <x:c r="Q30" s="152" t="n">
        <x:f>(P30+'Supuestos nuevos'!$B$6)*'Supuestos nuevos'!$B$13</x:f>
        <x:v>50</x:v>
      </x:c>
      <x:c r="R30" s="152" t="n">
        <x:f>J30*'Supuestos nuevos'!$B$32+IF(A30&gt;='Supuestos nuevos'!$B$2,CHOOSE(MIN(3,1+INT((A30-'Supuestos nuevos'!$B$2)/12)),'Supuestos nuevos'!$B$45,'Supuestos nuevos'!$B$46,'Supuestos nuevos'!$B$47)+CHOOSE(MIN(3,1+INT((A30-'Supuestos nuevos'!$B$2)/12)),'Supuestos nuevos'!$B$48,'Supuestos nuevos'!$B$49,'Supuestos nuevos'!$B$50)+CHOOSE(MIN(3,1+INT((A30-'Supuestos nuevos'!$B$2)/12)),'Supuestos nuevos'!$B$40,'Supuestos nuevos'!$B$41,'Supuestos nuevos'!$B$42)/12+D30*'Supuestos nuevos'!$B$43/100*'Supuestos nuevos'!$B$44,0)</x:f>
        <x:v>9269.966028418277</x:v>
      </x:c>
      <x:c r="S30" s="152" t="n">
        <x:f>SUM(K30:R30)</x:f>
        <x:v>33635.45698477664</x:v>
      </x:c>
      <x:c r="T30" s="152" t="n">
        <x:f>J30-S30</x:f>
        <x:v>6674.5384014003575</x:v>
      </x:c>
      <x:c r="U30" s="152" t="n">
        <x:f>T30+U29</x:f>
        <x:v>-286682.53668208903</x:v>
      </x:c>
      <x:c r="V30" s="152" t="n">
        <x:f>T30/(1+'Supuestos nuevos'!$B$33)^(A30/12)</x:f>
        <x:v>4296.022607422516</x:v>
      </x:c>
    </x:row>
    <x:row r="31" ht="42" customHeight="1">
      <x:c r="A31" s="147" t="n">
        <x:f>30</x:f>
        <x:v>30</x:v>
      </x:c>
      <x:c r="B31" s="147" t="n">
        <x:f>ROUNDUP(A31/12,0)</x:f>
        <x:v>3</x:v>
      </x:c>
      <x:c r="C31" s="152" t="n">
        <x:f>IF(A31&gt;='Supuestos nuevos'!$B$2,CHOOSE(MIN(3,1+INT((A31-'Supuestos nuevos'!$B$2)/12)),'Supuestos nuevos'!$B$34,'Supuestos nuevos'!$B$35,'Supuestos nuevos'!$B$36)/12,0)</x:f>
        <x:v>25</x:v>
      </x:c>
      <x:c r="D31" s="152" t="n">
        <x:f>D30*'Supuestos nuevos'!$B$17+C31</x:f>
        <x:v>229.81995616868144</x:v>
      </x:c>
      <x:c r="E31" s="152" t="n">
        <x:f>MAX(0,D31*'Supuestos nuevos'!$B$18-2*C31)</x:f>
        <x:v>869.2798246747258</x:v>
      </x:c>
      <x:c r="F31" s="152" t="n">
        <x:f>IF(A31&gt;='Supuestos nuevos'!$B$2,CHOOSE(MIN(3,1+INT((A31-'Supuestos nuevos'!$B$2)/12)),'Supuestos nuevos'!$B$37,'Supuestos nuevos'!$B$38,'Supuestos nuevos'!$B$39)/12,0)</x:f>
        <x:v>0.5833333333333334</x:v>
      </x:c>
      <x:c r="G31" s="152" t="n">
        <x:f>IF(A31='Supuestos nuevos'!$B$2-1,'Supuestos nuevos'!$B$51,IF(A31&gt;='Supuestos nuevos'!$B$2,ROUNDUP(MAX(0,C31+F31-I30),0),0))</x:f>
        <x:v>25</x:v>
      </x:c>
      <x:c r="H31" s="152" t="n">
        <x:f>ROUNDUP(G31/(1-'Supuestos nuevos'!$B$14),0)</x:f>
        <x:v>28</x:v>
      </x:c>
      <x:c r="I31" s="152" t="n">
        <x:f>I30+G31-C31-F31</x:f>
        <x:v>1.2989609388114332e-14</x:v>
      </x:c>
      <x:c r="J31" s="152" t="n">
        <x:f>C31*'Supuestos nuevos'!$B$15+E31*'Supuestos nuevos'!$B$16</x:f>
        <x:v>41731.995616868146</x:v>
      </x:c>
      <x:c r="K31" s="152" t="n">
        <x:f>H31*(2*('Supuestos nuevos'!$B$19+'Supuestos nuevos'!$B$20)+'Supuestos nuevos'!$B$21+'Supuestos nuevos'!$B$22+2*('Supuestos nuevos'!$B$23+'Supuestos nuevos'!$B$24)+'Supuestos nuevos'!$B$25)</x:f>
        <x:v>5587.96</x:v>
      </x:c>
      <x:c r="L31" s="152" t="n">
        <x:f>H31*(((2*('Supuestos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nuevos'!$B$29)+IF(A31='Supuestos nuevos'!$B$2-1,'Supuestos nuevos'!$B$30,0)</x:f>
        <x:v>3247.566</x:v>
      </x:c>
      <x:c r="M31" s="152" t="n">
        <x:f>E31*(('Supuestos nuevos'!$B$23+'Supuestos nuevos'!$B$24)/(1-'Supuestos nuevos'!$B$14)+'Supuestos nuevos'!$B$31)</x:f>
        <x:v>13551.106600207113</x:v>
      </x:c>
      <x:c r="N31" s="152" t="n">
        <x:f>IF(A31&lt;='Supuestos nuevos'!$B$3,'Supuestos nuevos'!$B$4,0)</x:f>
        <x:v>0</x:v>
      </x:c>
      <x:c r="O31" s="152" t="n">
        <x:f>'Supuestos nuevos'!$B$5+'Supuestos nuevos'!$B$6</x:f>
        <x:v>2500</x:v>
      </x:c>
      <x:c r="P31" s="152" t="n">
        <x:f>IF(AND(A31&gt;=2,A31&lt;=12),'Supuestos nuevos'!$B$7/11,0)+IF(AND(A31&gt;=3,A31&lt;=12),SUM('Supuestos nuevos'!$B$8:$B$10)/10,0)+IF(AND(A31&gt;=7,A31&lt;='Supuestos nuevos'!$B$3),SUM('Supuestos nuevos'!$B$11:$B$12)/('Supuestos nuevos'!$B$3-6),0)</x:f>
        <x:v>0</x:v>
      </x:c>
      <x:c r="Q31" s="152" t="n">
        <x:f>(P31+'Supuestos nuevos'!$B$6)*'Supuestos nuevos'!$B$13</x:f>
        <x:v>50</x:v>
      </x:c>
      <x:c r="R31" s="152" t="n">
        <x:f>J31*'Supuestos nuevos'!$B$32+IF(A31&gt;='Supuestos nuevos'!$B$2,CHOOSE(MIN(3,1+INT((A31-'Supuestos nuevos'!$B$2)/12)),'Supuestos nuevos'!$B$45,'Supuestos nuevos'!$B$46,'Supuestos nuevos'!$B$47)+CHOOSE(MIN(3,1+INT((A31-'Supuestos nuevos'!$B$2)/12)),'Supuestos nuevos'!$B$48,'Supuestos nuevos'!$B$49,'Supuestos nuevos'!$B$50)+CHOOSE(MIN(3,1+INT((A31-'Supuestos nuevos'!$B$2)/12)),'Supuestos nuevos'!$B$40,'Supuestos nuevos'!$B$41,'Supuestos nuevos'!$B$42)/12+D31*'Supuestos nuevos'!$B$43/100*'Supuestos nuevos'!$B$44,0)</x:f>
        <x:v>9466.676060330363</x:v>
      </x:c>
      <x:c r="S31" s="152" t="n">
        <x:f>SUM(K31:R31)</x:f>
        <x:v>34403.30866053748</x:v>
      </x:c>
      <x:c r="T31" s="152" t="n">
        <x:f>J31-S31</x:f>
        <x:v>7328.686956330668</x:v>
      </x:c>
      <x:c r="U31" s="152" t="n">
        <x:f>T31+U30</x:f>
        <x:v>-279353.84972575837</x:v>
      </x:c>
      <x:c r="V31" s="152" t="n">
        <x:f>T31/(1+'Supuestos nuevos'!$B$33)^(A31/12)</x:f>
        <x:v>4645.934216291882</x:v>
      </x:c>
    </x:row>
    <x:row r="32" ht="42" customHeight="1">
      <x:c r="A32" s="147" t="n">
        <x:f>31</x:f>
        <x:v>31</x:v>
      </x:c>
      <x:c r="B32" s="147" t="n">
        <x:f>ROUNDUP(A32/12,0)</x:f>
        <x:v>3</x:v>
      </x:c>
      <x:c r="C32" s="152" t="n">
        <x:f>IF(A32&gt;='Supuestos nuevos'!$B$2,CHOOSE(MIN(3,1+INT((A32-'Supuestos nuevos'!$B$2)/12)),'Supuestos nuevos'!$B$34,'Supuestos nuevos'!$B$35,'Supuestos nuevos'!$B$36)/12,0)</x:f>
        <x:v>66.66666666666667</x:v>
      </x:c>
      <x:c r="D32" s="152" t="n">
        <x:f>D31*'Supuestos nuevos'!$B$17+C32</x:f>
        <x:v>284.995625026914</x:v>
      </x:c>
      <x:c r="E32" s="152" t="n">
        <x:f>MAX(0,D32*'Supuestos nuevos'!$B$18-2*C32)</x:f>
        <x:v>1006.6491667743227</x:v>
      </x:c>
      <x:c r="F32" s="152" t="n">
        <x:f>IF(A32&gt;='Supuestos nuevos'!$B$2,CHOOSE(MIN(3,1+INT((A32-'Supuestos nuevos'!$B$2)/12)),'Supuestos nuevos'!$B$37,'Supuestos nuevos'!$B$38,'Supuestos nuevos'!$B$39)/12,0)</x:f>
        <x:v>1.25</x:v>
      </x:c>
      <x:c r="G32" s="152" t="n">
        <x:f>IF(A32='Supuestos nuevos'!$B$2-1,'Supuestos nuevos'!$B$51,IF(A32&gt;='Supuestos nuevos'!$B$2,ROUNDUP(MAX(0,C32+F32-I31),0),0))</x:f>
        <x:v>68</x:v>
      </x:c>
      <x:c r="H32" s="152" t="n">
        <x:f>ROUNDUP(G32/(1-'Supuestos nuevos'!$B$14),0)</x:f>
        <x:v>76</x:v>
      </x:c>
      <x:c r="I32" s="152" t="n">
        <x:f>I31+G32-C32-F32</x:f>
        <x:v>0.08333333333334281</x:v>
      </x:c>
      <x:c r="J32" s="152" t="n">
        <x:f>C32*'Supuestos nuevos'!$B$15+E32*'Supuestos nuevos'!$B$16</x:f>
        <x:v>78499.5625026914</x:v>
      </x:c>
      <x:c r="K32" s="152" t="n">
        <x:f>H32*(2*('Supuestos nuevos'!$B$19+'Supuestos nuevos'!$B$20)+'Supuestos nuevos'!$B$21+'Supuestos nuevos'!$B$22+2*('Supuestos nuevos'!$B$23+'Supuestos nuevos'!$B$24)+'Supuestos nuevos'!$B$25)</x:f>
        <x:v>15167.32</x:v>
      </x:c>
      <x:c r="L32" s="152" t="n">
        <x:f>H32*(((2*('Supuestos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nuevos'!$B$29)+IF(A32='Supuestos nuevos'!$B$2-1,'Supuestos nuevos'!$B$30,0)</x:f>
        <x:v>8814.822</x:v>
      </x:c>
      <x:c r="M32" s="152" t="n">
        <x:f>E32*(('Supuestos nuevos'!$B$23+'Supuestos nuevos'!$B$24)/(1-'Supuestos nuevos'!$B$14)+'Supuestos nuevos'!$B$31)</x:f>
        <x:v>15692.542010937497</x:v>
      </x:c>
      <x:c r="N32" s="152" t="n">
        <x:f>IF(A32&lt;='Supuestos nuevos'!$B$3,'Supuestos nuevos'!$B$4,0)</x:f>
        <x:v>0</x:v>
      </x:c>
      <x:c r="O32" s="152" t="n">
        <x:f>'Supuestos nuevos'!$B$5+'Supuestos nuevos'!$B$6</x:f>
        <x:v>2500</x:v>
      </x:c>
      <x:c r="P32" s="152" t="n">
        <x:f>IF(AND(A32&gt;=2,A32&lt;=12),'Supuestos nuevos'!$B$7/11,0)+IF(AND(A32&gt;=3,A32&lt;=12),SUM('Supuestos nuevos'!$B$8:$B$10)/10,0)+IF(AND(A32&gt;=7,A32&lt;='Supuestos nuevos'!$B$3),SUM('Supuestos nuevos'!$B$11:$B$12)/('Supuestos nuevos'!$B$3-6),0)</x:f>
        <x:v>0</x:v>
      </x:c>
      <x:c r="Q32" s="152" t="n">
        <x:f>(P32+'Supuestos nuevos'!$B$6)*'Supuestos nuevos'!$B$13</x:f>
        <x:v>50</x:v>
      </x:c>
      <x:c r="R32" s="152" t="n">
        <x:f>J32*'Supuestos nuevos'!$B$32+IF(A32&gt;='Supuestos nuevos'!$B$2,CHOOSE(MIN(3,1+INT((A32-'Supuestos nuevos'!$B$2)/12)),'Supuestos nuevos'!$B$45,'Supuestos nuevos'!$B$46,'Supuestos nuevos'!$B$47)+CHOOSE(MIN(3,1+INT((A32-'Supuestos nuevos'!$B$2)/12)),'Supuestos nuevos'!$B$48,'Supuestos nuevos'!$B$49,'Supuestos nuevos'!$B$50)+CHOOSE(MIN(3,1+INT((A32-'Supuestos nuevos'!$B$2)/12)),'Supuestos nuevos'!$B$40,'Supuestos nuevos'!$B$41,'Supuestos nuevos'!$B$42)/12+D32*'Supuestos nuevos'!$B$43/100*'Supuestos nuevos'!$B$44,0)</x:f>
        <x:v>17036.18947953518</x:v>
      </x:c>
      <x:c r="S32" s="152" t="n">
        <x:f>SUM(K32:R32)</x:f>
        <x:v>59260.87349047267</x:v>
      </x:c>
      <x:c r="T32" s="152" t="n">
        <x:f>J32-S32</x:f>
        <x:v>19238.689012218732</x:v>
      </x:c>
      <x:c r="U32" s="152" t="n">
        <x:f>T32+U31</x:f>
        <x:v>-260115.16071353963</x:v>
      </x:c>
      <x:c r="V32" s="152" t="n">
        <x:f>T32/(1+'Supuestos nuevos'!$B$33)^(A32/12)</x:f>
        <x:v>12012.23782897318</x:v>
      </x:c>
    </x:row>
    <x:row r="33" ht="42" customHeight="1">
      <x:c r="A33" s="147" t="n">
        <x:f>32</x:f>
        <x:v>32</x:v>
      </x:c>
      <x:c r="B33" s="147" t="n">
        <x:f>ROUNDUP(A33/12,0)</x:f>
        <x:v>3</x:v>
      </x:c>
      <x:c r="C33" s="152" t="n">
        <x:f>IF(A33&gt;='Supuestos nuevos'!$B$2,CHOOSE(MIN(3,1+INT((A33-'Supuestos nuevos'!$B$2)/12)),'Supuestos nuevos'!$B$34,'Supuestos nuevos'!$B$35,'Supuestos nuevos'!$B$36)/12,0)</x:f>
        <x:v>66.66666666666667</x:v>
      </x:c>
      <x:c r="D33" s="152" t="n">
        <x:f>D32*'Supuestos nuevos'!$B$17+C33</x:f>
        <x:v>337.412510442235</x:v>
      </x:c>
      <x:c r="E33" s="152" t="n">
        <x:f>MAX(0,D33*'Supuestos nuevos'!$B$18-2*C33)</x:f>
        <x:v>1216.3167084356066</x:v>
      </x:c>
      <x:c r="F33" s="152" t="n">
        <x:f>IF(A33&gt;='Supuestos nuevos'!$B$2,CHOOSE(MIN(3,1+INT((A33-'Supuestos nuevos'!$B$2)/12)),'Supuestos nuevos'!$B$37,'Supuestos nuevos'!$B$38,'Supuestos nuevos'!$B$39)/12,0)</x:f>
        <x:v>1.25</x:v>
      </x:c>
      <x:c r="G33" s="152" t="n">
        <x:f>IF(A33='Supuestos nuevos'!$B$2-1,'Supuestos nuevos'!$B$51,IF(A33&gt;='Supuestos nuevos'!$B$2,ROUNDUP(MAX(0,C33+F33-I32),0),0))</x:f>
        <x:v>68</x:v>
      </x:c>
      <x:c r="H33" s="152" t="n">
        <x:f>ROUNDUP(G33/(1-'Supuestos nuevos'!$B$14),0)</x:f>
        <x:v>76</x:v>
      </x:c>
      <x:c r="I33" s="152" t="n">
        <x:f>I32+G33-C33-F33</x:f>
        <x:v>0.1666666666666714</x:v>
      </x:c>
      <x:c r="J33" s="152" t="n">
        <x:f>C33*'Supuestos nuevos'!$B$15+E33*'Supuestos nuevos'!$B$16</x:f>
        <x:v>83741.2510442235</x:v>
      </x:c>
      <x:c r="K33" s="152" t="n">
        <x:f>H33*(2*('Supuestos nuevos'!$B$19+'Supuestos nuevos'!$B$20)+'Supuestos nuevos'!$B$21+'Supuestos nuevos'!$B$22+2*('Supuestos nuevos'!$B$23+'Supuestos nuevos'!$B$24)+'Supuestos nuevos'!$B$25)</x:f>
        <x:v>15167.32</x:v>
      </x:c>
      <x:c r="L33" s="152" t="n">
        <x:f>H33*(((2*('Supuestos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nuevos'!$B$29)+IF(A33='Supuestos nuevos'!$B$2-1,'Supuestos nuevos'!$B$30,0)</x:f>
        <x:v>8814.822</x:v>
      </x:c>
      <x:c r="M33" s="152" t="n">
        <x:f>E33*(('Supuestos nuevos'!$B$23+'Supuestos nuevos'!$B$24)/(1-'Supuestos nuevos'!$B$14)+'Supuestos nuevos'!$B$31)</x:f>
        <x:v>18961.026021501733</x:v>
      </x:c>
      <x:c r="N33" s="152" t="n">
        <x:f>IF(A33&lt;='Supuestos nuevos'!$B$3,'Supuestos nuevos'!$B$4,0)</x:f>
        <x:v>0</x:v>
      </x:c>
      <x:c r="O33" s="152" t="n">
        <x:f>'Supuestos nuevos'!$B$5+'Supuestos nuevos'!$B$6</x:f>
        <x:v>2500</x:v>
      </x:c>
      <x:c r="P33" s="152" t="n">
        <x:f>IF(AND(A33&gt;=2,A33&lt;=12),'Supuestos nuevos'!$B$7/11,0)+IF(AND(A33&gt;=3,A33&lt;=12),SUM('Supuestos nuevos'!$B$8:$B$10)/10,0)+IF(AND(A33&gt;=7,A33&lt;='Supuestos nuevos'!$B$3),SUM('Supuestos nuevos'!$B$11:$B$12)/('Supuestos nuevos'!$B$3-6),0)</x:f>
        <x:v>0</x:v>
      </x:c>
      <x:c r="Q33" s="152" t="n">
        <x:f>(P33+'Supuestos nuevos'!$B$6)*'Supuestos nuevos'!$B$13</x:f>
        <x:v>50</x:v>
      </x:c>
      <x:c r="R33" s="152" t="n">
        <x:f>J33*'Supuestos nuevos'!$B$32+IF(A33&gt;='Supuestos nuevos'!$B$2,CHOOSE(MIN(3,1+INT((A33-'Supuestos nuevos'!$B$2)/12)),'Supuestos nuevos'!$B$45,'Supuestos nuevos'!$B$46,'Supuestos nuevos'!$B$47)+CHOOSE(MIN(3,1+INT((A33-'Supuestos nuevos'!$B$2)/12)),'Supuestos nuevos'!$B$48,'Supuestos nuevos'!$B$49,'Supuestos nuevos'!$B$50)+CHOOSE(MIN(3,1+INT((A33-'Supuestos nuevos'!$B$2)/12)),'Supuestos nuevos'!$B$40,'Supuestos nuevos'!$B$41,'Supuestos nuevos'!$B$42)/12+D33*'Supuestos nuevos'!$B$43/100*'Supuestos nuevos'!$B$44,0)</x:f>
        <x:v>17761.289727779753</x:v>
      </x:c>
      <x:c r="S33" s="152" t="n">
        <x:f>SUM(K33:R33)</x:f>
        <x:v>63254.457749281486</x:v>
      </x:c>
      <x:c r="T33" s="152" t="n">
        <x:f>J33-S33</x:f>
        <x:v>20486.79329494202</x:v>
      </x:c>
      <x:c r="U33" s="152" t="n">
        <x:f>T33+U32</x:f>
        <x:v>-239628.36741859763</x:v>
      </x:c>
      <x:c r="V33" s="152" t="n">
        <x:f>T33/(1+'Supuestos nuevos'!$B$33)^(A33/12)</x:f>
        <x:v>12598.649565939237</x:v>
      </x:c>
    </x:row>
    <x:row r="34" ht="42" customHeight="1">
      <x:c r="A34" s="147" t="n">
        <x:f>33</x:f>
        <x:v>33</x:v>
      </x:c>
      <x:c r="B34" s="147" t="n">
        <x:f>ROUNDUP(A34/12,0)</x:f>
        <x:v>3</x:v>
      </x:c>
      <x:c r="C34" s="152" t="n">
        <x:f>IF(A34&gt;='Supuestos nuevos'!$B$2,CHOOSE(MIN(3,1+INT((A34-'Supuestos nuevos'!$B$2)/12)),'Supuestos nuevos'!$B$34,'Supuestos nuevos'!$B$35,'Supuestos nuevos'!$B$36)/12,0)</x:f>
        <x:v>66.66666666666667</x:v>
      </x:c>
      <x:c r="D34" s="152" t="n">
        <x:f>D33*'Supuestos nuevos'!$B$17+C34</x:f>
        <x:v>387.2085515867899</x:v>
      </x:c>
      <x:c r="E34" s="152" t="n">
        <x:f>MAX(0,D34*'Supuestos nuevos'!$B$18-2*C34)</x:f>
        <x:v>1415.5008730138263</x:v>
      </x:c>
      <x:c r="F34" s="152" t="n">
        <x:f>IF(A34&gt;='Supuestos nuevos'!$B$2,CHOOSE(MIN(3,1+INT((A34-'Supuestos nuevos'!$B$2)/12)),'Supuestos nuevos'!$B$37,'Supuestos nuevos'!$B$38,'Supuestos nuevos'!$B$39)/12,0)</x:f>
        <x:v>1.25</x:v>
      </x:c>
      <x:c r="G34" s="152" t="n">
        <x:f>IF(A34='Supuestos nuevos'!$B$2-1,'Supuestos nuevos'!$B$51,IF(A34&gt;='Supuestos nuevos'!$B$2,ROUNDUP(MAX(0,C34+F34-I33),0),0))</x:f>
        <x:v>68</x:v>
      </x:c>
      <x:c r="H34" s="152" t="n">
        <x:f>ROUNDUP(G34/(1-'Supuestos nuevos'!$B$14),0)</x:f>
        <x:v>76</x:v>
      </x:c>
      <x:c r="I34" s="152" t="n">
        <x:f>I33+G34-C34-F34</x:f>
        <x:v>0.25</x:v>
      </x:c>
      <x:c r="J34" s="152" t="n">
        <x:f>C34*'Supuestos nuevos'!$B$15+E34*'Supuestos nuevos'!$B$16</x:f>
        <x:v>88720.85515867898</x:v>
      </x:c>
      <x:c r="K34" s="152" t="n">
        <x:f>H34*(2*('Supuestos nuevos'!$B$19+'Supuestos nuevos'!$B$20)+'Supuestos nuevos'!$B$21+'Supuestos nuevos'!$B$22+2*('Supuestos nuevos'!$B$23+'Supuestos nuevos'!$B$24)+'Supuestos nuevos'!$B$25)</x:f>
        <x:v>15167.32</x:v>
      </x:c>
      <x:c r="L34" s="152" t="n">
        <x:f>H34*(((2*('Supuestos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nuevos'!$B$29)+IF(A34='Supuestos nuevos'!$B$2-1,'Supuestos nuevos'!$B$30,0)</x:f>
        <x:v>8814.822</x:v>
      </x:c>
      <x:c r="M34" s="152" t="n">
        <x:f>E34*(('Supuestos nuevos'!$B$23+'Supuestos nuevos'!$B$24)/(1-'Supuestos nuevos'!$B$14)+'Supuestos nuevos'!$B$31)</x:f>
        <x:v>22066.08583153776</x:v>
      </x:c>
      <x:c r="N34" s="152" t="n">
        <x:f>IF(A34&lt;='Supuestos nuevos'!$B$3,'Supuestos nuevos'!$B$4,0)</x:f>
        <x:v>0</x:v>
      </x:c>
      <x:c r="O34" s="152" t="n">
        <x:f>'Supuestos nuevos'!$B$5+'Supuestos nuevos'!$B$6</x:f>
        <x:v>2500</x:v>
      </x:c>
      <x:c r="P34" s="152" t="n">
        <x:f>IF(AND(A34&gt;=2,A34&lt;=12),'Supuestos nuevos'!$B$7/11,0)+IF(AND(A34&gt;=3,A34&lt;=12),SUM('Supuestos nuevos'!$B$8:$B$10)/10,0)+IF(AND(A34&gt;=7,A34&lt;='Supuestos nuevos'!$B$3),SUM('Supuestos nuevos'!$B$11:$B$12)/('Supuestos nuevos'!$B$3-6),0)</x:f>
        <x:v>0</x:v>
      </x:c>
      <x:c r="Q34" s="152" t="n">
        <x:f>(P34+'Supuestos nuevos'!$B$6)*'Supuestos nuevos'!$B$13</x:f>
        <x:v>50</x:v>
      </x:c>
      <x:c r="R34" s="152" t="n">
        <x:f>J34*'Supuestos nuevos'!$B$32+IF(A34&gt;='Supuestos nuevos'!$B$2,CHOOSE(MIN(3,1+INT((A34-'Supuestos nuevos'!$B$2)/12)),'Supuestos nuevos'!$B$45,'Supuestos nuevos'!$B$46,'Supuestos nuevos'!$B$47)+CHOOSE(MIN(3,1+INT((A34-'Supuestos nuevos'!$B$2)/12)),'Supuestos nuevos'!$B$48,'Supuestos nuevos'!$B$49,'Supuestos nuevos'!$B$50)+CHOOSE(MIN(3,1+INT((A34-'Supuestos nuevos'!$B$2)/12)),'Supuestos nuevos'!$B$40,'Supuestos nuevos'!$B$41,'Supuestos nuevos'!$B$42)/12+D34*'Supuestos nuevos'!$B$43/100*'Supuestos nuevos'!$B$44,0)</x:f>
        <x:v>18450.134963612098</x:v>
      </x:c>
      <x:c r="S34" s="152" t="n">
        <x:f>SUM(K34:R34)</x:f>
        <x:v>67048.36279514986</x:v>
      </x:c>
      <x:c r="T34" s="152" t="n">
        <x:f>J34-S34</x:f>
        <x:v>21672.49236352912</x:v>
      </x:c>
      <x:c r="U34" s="152" t="n">
        <x:f>T34+U33</x:f>
        <x:v>-217955.87505506852</x:v>
      </x:c>
      <x:c r="V34" s="152" t="n">
        <x:f>T34/(1+'Supuestos nuevos'!$B$33)^(A34/12)</x:f>
        <x:v>13126.847260345281</x:v>
      </x:c>
    </x:row>
    <x:row r="35" ht="42" customHeight="1">
      <x:c r="A35" s="147" t="n">
        <x:f>34</x:f>
        <x:v>34</x:v>
      </x:c>
      <x:c r="B35" s="147" t="n">
        <x:f>ROUNDUP(A35/12,0)</x:f>
        <x:v>3</x:v>
      </x:c>
      <x:c r="C35" s="152" t="n">
        <x:f>IF(A35&gt;='Supuestos nuevos'!$B$2,CHOOSE(MIN(3,1+INT((A35-'Supuestos nuevos'!$B$2)/12)),'Supuestos nuevos'!$B$34,'Supuestos nuevos'!$B$35,'Supuestos nuevos'!$B$36)/12,0)</x:f>
        <x:v>66.66666666666667</x:v>
      </x:c>
      <x:c r="D35" s="152" t="n">
        <x:f>D34*'Supuestos nuevos'!$B$17+C35</x:f>
        <x:v>434.5147906741171</x:v>
      </x:c>
      <x:c r="E35" s="152" t="n">
        <x:f>MAX(0,D35*'Supuestos nuevos'!$B$18-2*C35)</x:f>
        <x:v>1604.725829363135</x:v>
      </x:c>
      <x:c r="F35" s="152" t="n">
        <x:f>IF(A35&gt;='Supuestos nuevos'!$B$2,CHOOSE(MIN(3,1+INT((A35-'Supuestos nuevos'!$B$2)/12)),'Supuestos nuevos'!$B$37,'Supuestos nuevos'!$B$38,'Supuestos nuevos'!$B$39)/12,0)</x:f>
        <x:v>1.25</x:v>
      </x:c>
      <x:c r="G35" s="152" t="n">
        <x:f>IF(A35='Supuestos nuevos'!$B$2-1,'Supuestos nuevos'!$B$51,IF(A35&gt;='Supuestos nuevos'!$B$2,ROUNDUP(MAX(0,C35+F35-I34),0),0))</x:f>
        <x:v>68</x:v>
      </x:c>
      <x:c r="H35" s="152" t="n">
        <x:f>ROUNDUP(G35/(1-'Supuestos nuevos'!$B$14),0)</x:f>
        <x:v>76</x:v>
      </x:c>
      <x:c r="I35" s="152" t="n">
        <x:f>I34+G35-C35-F35</x:f>
        <x:v>0.3333333333333286</x:v>
      </x:c>
      <x:c r="J35" s="152" t="n">
        <x:f>C35*'Supuestos nuevos'!$B$15+E35*'Supuestos nuevos'!$B$16</x:f>
        <x:v>93451.47906741171</x:v>
      </x:c>
      <x:c r="K35" s="152" t="n">
        <x:f>H35*(2*('Supuestos nuevos'!$B$19+'Supuestos nuevos'!$B$20)+'Supuestos nuevos'!$B$21+'Supuestos nuevos'!$B$22+2*('Supuestos nuevos'!$B$23+'Supuestos nuevos'!$B$24)+'Supuestos nuevos'!$B$25)</x:f>
        <x:v>15167.32</x:v>
      </x:c>
      <x:c r="L35" s="152" t="n">
        <x:f>H35*(((2*('Supuestos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nuevos'!$B$29)+IF(A35='Supuestos nuevos'!$B$2-1,'Supuestos nuevos'!$B$30,0)</x:f>
        <x:v>8814.822</x:v>
      </x:c>
      <x:c r="M35" s="152" t="n">
        <x:f>E35*(('Supuestos nuevos'!$B$23+'Supuestos nuevos'!$B$24)/(1-'Supuestos nuevos'!$B$14)+'Supuestos nuevos'!$B$31)</x:f>
        <x:v>25015.892651071983</x:v>
      </x:c>
      <x:c r="N35" s="152" t="n">
        <x:f>IF(A35&lt;='Supuestos nuevos'!$B$3,'Supuestos nuevos'!$B$4,0)</x:f>
        <x:v>0</x:v>
      </x:c>
      <x:c r="O35" s="152" t="n">
        <x:f>'Supuestos nuevos'!$B$5+'Supuestos nuevos'!$B$6</x:f>
        <x:v>2500</x:v>
      </x:c>
      <x:c r="P35" s="152" t="n">
        <x:f>IF(AND(A35&gt;=2,A35&lt;=12),'Supuestos nuevos'!$B$7/11,0)+IF(AND(A35&gt;=3,A35&lt;=12),SUM('Supuestos nuevos'!$B$8:$B$10)/10,0)+IF(AND(A35&gt;=7,A35&lt;='Supuestos nuevos'!$B$3),SUM('Supuestos nuevos'!$B$11:$B$12)/('Supuestos nuevos'!$B$3-6),0)</x:f>
        <x:v>0</x:v>
      </x:c>
      <x:c r="Q35" s="152" t="n">
        <x:f>(P35+'Supuestos nuevos'!$B$6)*'Supuestos nuevos'!$B$13</x:f>
        <x:v>50</x:v>
      </x:c>
      <x:c r="R35" s="152" t="n">
        <x:f>J35*'Supuestos nuevos'!$B$32+IF(A35&gt;='Supuestos nuevos'!$B$2,CHOOSE(MIN(3,1+INT((A35-'Supuestos nuevos'!$B$2)/12)),'Supuestos nuevos'!$B$45,'Supuestos nuevos'!$B$46,'Supuestos nuevos'!$B$47)+CHOOSE(MIN(3,1+INT((A35-'Supuestos nuevos'!$B$2)/12)),'Supuestos nuevos'!$B$48,'Supuestos nuevos'!$B$49,'Supuestos nuevos'!$B$50)+CHOOSE(MIN(3,1+INT((A35-'Supuestos nuevos'!$B$2)/12)),'Supuestos nuevos'!$B$40,'Supuestos nuevos'!$B$41,'Supuestos nuevos'!$B$42)/12+D35*'Supuestos nuevos'!$B$43/100*'Supuestos nuevos'!$B$44,0)</x:f>
        <x:v>19104.537937652825</x:v>
      </x:c>
      <x:c r="S35" s="152" t="n">
        <x:f>SUM(K35:R35)</x:f>
        <x:v>70652.57258872481</x:v>
      </x:c>
      <x:c r="T35" s="152" t="n">
        <x:f>J35-S35</x:f>
        <x:v>22798.9064786869</x:v>
      </x:c>
      <x:c r="U35" s="152" t="n">
        <x:f>T35+U34</x:f>
        <x:v>-195156.96857638162</x:v>
      </x:c>
      <x:c r="V35" s="152" t="n">
        <x:f>T35/(1+'Supuestos nuevos'!$B$33)^(A35/12)</x:f>
        <x:v>13600.884523225619</x:v>
      </x:c>
    </x:row>
    <x:row r="36" ht="42" customHeight="1">
      <x:c r="A36" s="147" t="n">
        <x:f>35</x:f>
        <x:v>35</x:v>
      </x:c>
      <x:c r="B36" s="147" t="n">
        <x:f>ROUNDUP(A36/12,0)</x:f>
        <x:v>3</x:v>
      </x:c>
      <x:c r="C36" s="152" t="n">
        <x:f>IF(A36&gt;='Supuestos nuevos'!$B$2,CHOOSE(MIN(3,1+INT((A36-'Supuestos nuevos'!$B$2)/12)),'Supuestos nuevos'!$B$34,'Supuestos nuevos'!$B$35,'Supuestos nuevos'!$B$36)/12,0)</x:f>
        <x:v>66.66666666666667</x:v>
      </x:c>
      <x:c r="D36" s="152" t="n">
        <x:f>D35*'Supuestos nuevos'!$B$17+C36</x:f>
        <x:v>479.4557178070779</x:v>
      </x:c>
      <x:c r="E36" s="152" t="n">
        <x:f>MAX(0,D36*'Supuestos nuevos'!$B$18-2*C36)</x:f>
        <x:v>1784.4895378949784</x:v>
      </x:c>
      <x:c r="F36" s="152" t="n">
        <x:f>IF(A36&gt;='Supuestos nuevos'!$B$2,CHOOSE(MIN(3,1+INT((A36-'Supuestos nuevos'!$B$2)/12)),'Supuestos nuevos'!$B$37,'Supuestos nuevos'!$B$38,'Supuestos nuevos'!$B$39)/12,0)</x:f>
        <x:v>1.25</x:v>
      </x:c>
      <x:c r="G36" s="152" t="n">
        <x:f>IF(A36='Supuestos nuevos'!$B$2-1,'Supuestos nuevos'!$B$51,IF(A36&gt;='Supuestos nuevos'!$B$2,ROUNDUP(MAX(0,C36+F36-I35),0),0))</x:f>
        <x:v>68</x:v>
      </x:c>
      <x:c r="H36" s="152" t="n">
        <x:f>ROUNDUP(G36/(1-'Supuestos nuevos'!$B$14),0)</x:f>
        <x:v>76</x:v>
      </x:c>
      <x:c r="I36" s="152" t="n">
        <x:f>I35+G36-C36-F36</x:f>
        <x:v>0.4166666666666572</x:v>
      </x:c>
      <x:c r="J36" s="152" t="n">
        <x:f>C36*'Supuestos nuevos'!$B$15+E36*'Supuestos nuevos'!$B$16</x:f>
        <x:v>97945.5717807078</x:v>
      </x:c>
      <x:c r="K36" s="152" t="n">
        <x:f>H36*(2*('Supuestos nuevos'!$B$19+'Supuestos nuevos'!$B$20)+'Supuestos nuevos'!$B$21+'Supuestos nuevos'!$B$22+2*('Supuestos nuevos'!$B$23+'Supuestos nuevos'!$B$24)+'Supuestos nuevos'!$B$25)</x:f>
        <x:v>15167.32</x:v>
      </x:c>
      <x:c r="L36" s="152" t="n">
        <x:f>H36*(((2*('Supuestos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nuevos'!$B$29)+IF(A36='Supuestos nuevos'!$B$2-1,'Supuestos nuevos'!$B$30,0)</x:f>
        <x:v>8814.822</x:v>
      </x:c>
      <x:c r="M36" s="152" t="n">
        <x:f>E36*(('Supuestos nuevos'!$B$23+'Supuestos nuevos'!$B$24)/(1-'Supuestos nuevos'!$B$14)+'Supuestos nuevos'!$B$31)</x:f>
        <x:v>27818.209129629497</x:v>
      </x:c>
      <x:c r="N36" s="152" t="n">
        <x:f>IF(A36&lt;='Supuestos nuevos'!$B$3,'Supuestos nuevos'!$B$4,0)</x:f>
        <x:v>0</x:v>
      </x:c>
      <x:c r="O36" s="152" t="n">
        <x:f>'Supuestos nuevos'!$B$5+'Supuestos nuevos'!$B$6</x:f>
        <x:v>2500</x:v>
      </x:c>
      <x:c r="P36" s="152" t="n">
        <x:f>IF(AND(A36&gt;=2,A36&lt;=12),'Supuestos nuevos'!$B$7/11,0)+IF(AND(A36&gt;=3,A36&lt;=12),SUM('Supuestos nuevos'!$B$8:$B$10)/10,0)+IF(AND(A36&gt;=7,A36&lt;='Supuestos nuevos'!$B$3),SUM('Supuestos nuevos'!$B$11:$B$12)/('Supuestos nuevos'!$B$3-6),0)</x:f>
        <x:v>0</x:v>
      </x:c>
      <x:c r="Q36" s="152" t="n">
        <x:f>(P36+'Supuestos nuevos'!$B$6)*'Supuestos nuevos'!$B$13</x:f>
        <x:v>50</x:v>
      </x:c>
      <x:c r="R36" s="152" t="n">
        <x:f>J36*'Supuestos nuevos'!$B$32+IF(A36&gt;='Supuestos nuevos'!$B$2,CHOOSE(MIN(3,1+INT((A36-'Supuestos nuevos'!$B$2)/12)),'Supuestos nuevos'!$B$45,'Supuestos nuevos'!$B$46,'Supuestos nuevos'!$B$47)+CHOOSE(MIN(3,1+INT((A36-'Supuestos nuevos'!$B$2)/12)),'Supuestos nuevos'!$B$48,'Supuestos nuevos'!$B$49,'Supuestos nuevos'!$B$50)+CHOOSE(MIN(3,1+INT((A36-'Supuestos nuevos'!$B$2)/12)),'Supuestos nuevos'!$B$40,'Supuestos nuevos'!$B$41,'Supuestos nuevos'!$B$42)/12+D36*'Supuestos nuevos'!$B$43/100*'Supuestos nuevos'!$B$44,0)</x:f>
        <x:v>19726.22076299152</x:v>
      </x:c>
      <x:c r="S36" s="152" t="n">
        <x:f>SUM(K36:R36)</x:f>
        <x:v>74076.57189262102</x:v>
      </x:c>
      <x:c r="T36" s="152" t="n">
        <x:f>J36-S36</x:f>
        <x:v>23868.99988808678</x:v>
      </x:c>
      <x:c r="U36" s="152" t="n">
        <x:f>T36+U35</x:f>
        <x:v>-171287.96868829484</x:v>
      </x:c>
      <x:c r="V36" s="152" t="n">
        <x:f>T36/(1+'Supuestos nuevos'!$B$33)^(A36/12)</x:f>
        <x:v>14024.549558872415</x:v>
      </x:c>
    </x:row>
    <x:row r="37" ht="42" customHeight="1">
      <x:c r="A37" s="147" t="n">
        <x:f>36</x:f>
        <x:v>36</x:v>
      </x:c>
      <x:c r="B37" s="147" t="n">
        <x:f>ROUNDUP(A37/12,0)</x:f>
        <x:v>3</x:v>
      </x:c>
      <x:c r="C37" s="152" t="n">
        <x:f>IF(A37&gt;='Supuestos nuevos'!$B$2,CHOOSE(MIN(3,1+INT((A37-'Supuestos nuevos'!$B$2)/12)),'Supuestos nuevos'!$B$34,'Supuestos nuevos'!$B$35,'Supuestos nuevos'!$B$36)/12,0)</x:f>
        <x:v>66.66666666666667</x:v>
      </x:c>
      <x:c r="D37" s="152" t="n">
        <x:f>D36*'Supuestos nuevos'!$B$17+C37</x:f>
        <x:v>522.1495985833907</x:v>
      </x:c>
      <x:c r="E37" s="152" t="n">
        <x:f>MAX(0,D37*'Supuestos nuevos'!$B$18-2*C37)</x:f>
        <x:v>1955.2650610002295</x:v>
      </x:c>
      <x:c r="F37" s="152" t="n">
        <x:f>IF(A37&gt;='Supuestos nuevos'!$B$2,CHOOSE(MIN(3,1+INT((A37-'Supuestos nuevos'!$B$2)/12)),'Supuestos nuevos'!$B$37,'Supuestos nuevos'!$B$38,'Supuestos nuevos'!$B$39)/12,0)</x:f>
        <x:v>1.25</x:v>
      </x:c>
      <x:c r="G37" s="152" t="n">
        <x:f>IF(A37='Supuestos nuevos'!$B$2-1,'Supuestos nuevos'!$B$51,IF(A37&gt;='Supuestos nuevos'!$B$2,ROUNDUP(MAX(0,C37+F37-I36),0),0))</x:f>
        <x:v>68</x:v>
      </x:c>
      <x:c r="H37" s="152" t="n">
        <x:f>ROUNDUP(G37/(1-'Supuestos nuevos'!$B$14),0)</x:f>
        <x:v>76</x:v>
      </x:c>
      <x:c r="I37" s="152" t="n">
        <x:f>I36+G37-C37-F37</x:f>
        <x:v>0.4999999999999858</x:v>
      </x:c>
      <x:c r="J37" s="152" t="n">
        <x:f>C37*'Supuestos nuevos'!$B$15+E37*'Supuestos nuevos'!$B$16</x:f>
        <x:v>102214.95985833908</x:v>
      </x:c>
      <x:c r="K37" s="152" t="n">
        <x:f>H37*(2*('Supuestos nuevos'!$B$19+'Supuestos nuevos'!$B$20)+'Supuestos nuevos'!$B$21+'Supuestos nuevos'!$B$22+2*('Supuestos nuevos'!$B$23+'Supuestos nuevos'!$B$24)+'Supuestos nuevos'!$B$25)</x:f>
        <x:v>15167.32</x:v>
      </x:c>
      <x:c r="L37" s="152" t="n">
        <x:f>H37*(((2*('Supuestos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nuevos'!$B$29)+IF(A37='Supuestos nuevos'!$B$2-1,'Supuestos nuevos'!$B$30,0)</x:f>
        <x:v>8814.822</x:v>
      </x:c>
      <x:c r="M37" s="152" t="n">
        <x:f>E37*(('Supuestos nuevos'!$B$23+'Supuestos nuevos'!$B$24)/(1-'Supuestos nuevos'!$B$14)+'Supuestos nuevos'!$B$31)</x:f>
        <x:v>30480.409784259133</x:v>
      </x:c>
      <x:c r="N37" s="152" t="n">
        <x:f>IF(A37&lt;='Supuestos nuevos'!$B$3,'Supuestos nuevos'!$B$4,0)</x:f>
        <x:v>0</x:v>
      </x:c>
      <x:c r="O37" s="152" t="n">
        <x:f>'Supuestos nuevos'!$B$5+'Supuestos nuevos'!$B$6</x:f>
        <x:v>2500</x:v>
      </x:c>
      <x:c r="P37" s="152" t="n">
        <x:f>IF(AND(A37&gt;=2,A37&lt;=12),'Supuestos nuevos'!$B$7/11,0)+IF(AND(A37&gt;=3,A37&lt;=12),SUM('Supuestos nuevos'!$B$8:$B$10)/10,0)+IF(AND(A37&gt;=7,A37&lt;='Supuestos nuevos'!$B$3),SUM('Supuestos nuevos'!$B$11:$B$12)/('Supuestos nuevos'!$B$3-6),0)</x:f>
        <x:v>0</x:v>
      </x:c>
      <x:c r="Q37" s="152" t="n">
        <x:f>(P37+'Supuestos nuevos'!$B$6)*'Supuestos nuevos'!$B$13</x:f>
        <x:v>50</x:v>
      </x:c>
      <x:c r="R37" s="152" t="n">
        <x:f>J37*'Supuestos nuevos'!$B$32+IF(A37&gt;='Supuestos nuevos'!$B$2,CHOOSE(MIN(3,1+INT((A37-'Supuestos nuevos'!$B$2)/12)),'Supuestos nuevos'!$B$45,'Supuestos nuevos'!$B$46,'Supuestos nuevos'!$B$47)+CHOOSE(MIN(3,1+INT((A37-'Supuestos nuevos'!$B$2)/12)),'Supuestos nuevos'!$B$48,'Supuestos nuevos'!$B$49,'Supuestos nuevos'!$B$50)+CHOOSE(MIN(3,1+INT((A37-'Supuestos nuevos'!$B$2)/12)),'Supuestos nuevos'!$B$40,'Supuestos nuevos'!$B$41,'Supuestos nuevos'!$B$42)/12+D37*'Supuestos nuevos'!$B$43/100*'Supuestos nuevos'!$B$44,0)</x:f>
        <x:v>20316.819447063277</x:v>
      </x:c>
      <x:c r="S37" s="152" t="n">
        <x:f>SUM(K37:R37)</x:f>
        <x:v>77329.37123132241</x:v>
      </x:c>
      <x:c r="T37" s="152" t="n">
        <x:f>J37-S37</x:f>
        <x:v>24885.588627016667</x:v>
      </x:c>
      <x:c r="U37" s="152" t="n">
        <x:f>T37+U36</x:f>
        <x:v>-146402.38006127818</x:v>
      </x:c>
      <x:c r="V37" s="152" t="n">
        <x:f>T37/(1+'Supuestos nuevos'!$B$33)^(A37/12)</x:f>
        <x:v>14401.382307301314</x:v>
      </x:c>
    </x:row>
    <x:row r="38" ht="42" customHeight="1">
      <x:c r="A38" s="147" t="n">
        <x:f>37</x:f>
        <x:v>37</x:v>
      </x:c>
      <x:c r="B38" s="147" t="n">
        <x:f>ROUNDUP(A38/12,0)</x:f>
        <x:v>4</x:v>
      </x:c>
      <x:c r="C38" s="152" t="n">
        <x:f>IF(A38&gt;='Supuestos nuevos'!$B$2,CHOOSE(MIN(3,1+INT((A38-'Supuestos nuevos'!$B$2)/12)),'Supuestos nuevos'!$B$34,'Supuestos nuevos'!$B$35,'Supuestos nuevos'!$B$36)/12,0)</x:f>
        <x:v>66.66666666666667</x:v>
      </x:c>
      <x:c r="D38" s="152" t="n">
        <x:f>D37*'Supuestos nuevos'!$B$17+C38</x:f>
        <x:v>562.7087853208877</x:v>
      </x:c>
      <x:c r="E38" s="152" t="n">
        <x:f>MAX(0,D38*'Supuestos nuevos'!$B$18-2*C38)</x:f>
        <x:v>2117.5018079502174</x:v>
      </x:c>
      <x:c r="F38" s="152" t="n">
        <x:f>IF(A38&gt;='Supuestos nuevos'!$B$2,CHOOSE(MIN(3,1+INT((A38-'Supuestos nuevos'!$B$2)/12)),'Supuestos nuevos'!$B$37,'Supuestos nuevos'!$B$38,'Supuestos nuevos'!$B$39)/12,0)</x:f>
        <x:v>1.25</x:v>
      </x:c>
      <x:c r="G38" s="152" t="n">
        <x:f>IF(A38='Supuestos nuevos'!$B$2-1,'Supuestos nuevos'!$B$51,IF(A38&gt;='Supuestos nuevos'!$B$2,ROUNDUP(MAX(0,C38+F38-I37),0),0))</x:f>
        <x:v>68</x:v>
      </x:c>
      <x:c r="H38" s="152" t="n">
        <x:f>ROUNDUP(G38/(1-'Supuestos nuevos'!$B$14),0)</x:f>
        <x:v>76</x:v>
      </x:c>
      <x:c r="I38" s="152" t="n">
        <x:f>I37+G38-C38-F38</x:f>
        <x:v>0.5833333333333144</x:v>
      </x:c>
      <x:c r="J38" s="152" t="n">
        <x:f>C38*'Supuestos nuevos'!$B$15+E38*'Supuestos nuevos'!$B$16</x:f>
        <x:v>106270.87853208877</x:v>
      </x:c>
      <x:c r="K38" s="152" t="n">
        <x:f>H38*(2*('Supuestos nuevos'!$B$19+'Supuestos nuevos'!$B$20)+'Supuestos nuevos'!$B$21+'Supuestos nuevos'!$B$22+2*('Supuestos nuevos'!$B$23+'Supuestos nuevos'!$B$24)+'Supuestos nuevos'!$B$25)</x:f>
        <x:v>15167.32</x:v>
      </x:c>
      <x:c r="L38" s="152" t="n">
        <x:f>H38*(((2*('Supuestos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nuevos'!$B$29)+IF(A38='Supuestos nuevos'!$B$2-1,'Supuestos nuevos'!$B$30,0)</x:f>
        <x:v>8814.822</x:v>
      </x:c>
      <x:c r="M38" s="152" t="n">
        <x:f>E38*(('Supuestos nuevos'!$B$23+'Supuestos nuevos'!$B$24)/(1-'Supuestos nuevos'!$B$14)+'Supuestos nuevos'!$B$31)</x:f>
        <x:v>33009.500406157276</x:v>
      </x:c>
      <x:c r="N38" s="152" t="n">
        <x:f>IF(A38&lt;='Supuestos nuevos'!$B$3,'Supuestos nuevos'!$B$4,0)</x:f>
        <x:v>0</x:v>
      </x:c>
      <x:c r="O38" s="152" t="n">
        <x:f>'Supuestos nuevos'!$B$5+'Supuestos nuevos'!$B$6</x:f>
        <x:v>2500</x:v>
      </x:c>
      <x:c r="P38" s="152" t="n">
        <x:f>IF(AND(A38&gt;=2,A38&lt;=12),'Supuestos nuevos'!$B$7/11,0)+IF(AND(A38&gt;=3,A38&lt;=12),SUM('Supuestos nuevos'!$B$8:$B$10)/10,0)+IF(AND(A38&gt;=7,A38&lt;='Supuestos nuevos'!$B$3),SUM('Supuestos nuevos'!$B$11:$B$12)/('Supuestos nuevos'!$B$3-6),0)</x:f>
        <x:v>0</x:v>
      </x:c>
      <x:c r="Q38" s="152" t="n">
        <x:f>(P38+'Supuestos nuevos'!$B$6)*'Supuestos nuevos'!$B$13</x:f>
        <x:v>50</x:v>
      </x:c>
      <x:c r="R38" s="152" t="n">
        <x:f>J38*'Supuestos nuevos'!$B$32+IF(A38&gt;='Supuestos nuevos'!$B$2,CHOOSE(MIN(3,1+INT((A38-'Supuestos nuevos'!$B$2)/12)),'Supuestos nuevos'!$B$45,'Supuestos nuevos'!$B$46,'Supuestos nuevos'!$B$47)+CHOOSE(MIN(3,1+INT((A38-'Supuestos nuevos'!$B$2)/12)),'Supuestos nuevos'!$B$48,'Supuestos nuevos'!$B$49,'Supuestos nuevos'!$B$50)+CHOOSE(MIN(3,1+INT((A38-'Supuestos nuevos'!$B$2)/12)),'Supuestos nuevos'!$B$40,'Supuestos nuevos'!$B$41,'Supuestos nuevos'!$B$42)/12+D38*'Supuestos nuevos'!$B$43/100*'Supuestos nuevos'!$B$44,0)</x:f>
        <x:v>20877.888196931446</x:v>
      </x:c>
      <x:c r="S38" s="152" t="n">
        <x:f>SUM(K38:R38)</x:f>
        <x:v>80419.53060308873</x:v>
      </x:c>
      <x:c r="T38" s="152" t="n">
        <x:f>J38-S38</x:f>
        <x:v>25851.34792900004</x:v>
      </x:c>
      <x:c r="U38" s="152" t="n">
        <x:f>T38+U37</x:f>
        <x:v>-120551.03213227814</x:v>
      </x:c>
      <x:c r="V38" s="152" t="n">
        <x:f>T38/(1+'Supuestos nuevos'!$B$33)^(A38/12)</x:f>
        <x:v>14734.69048297364</x:v>
      </x:c>
    </x:row>
    <x:row r="39" ht="42" customHeight="1">
      <x:c r="A39" s="147" t="n">
        <x:f>38</x:f>
        <x:v>38</x:v>
      </x:c>
      <x:c r="B39" s="147" t="n">
        <x:f>ROUNDUP(A39/12,0)</x:f>
        <x:v>4</x:v>
      </x:c>
      <x:c r="C39" s="152" t="n">
        <x:f>IF(A39&gt;='Supuestos nuevos'!$B$2,CHOOSE(MIN(3,1+INT((A39-'Supuestos nuevos'!$B$2)/12)),'Supuestos nuevos'!$B$34,'Supuestos nuevos'!$B$35,'Supuestos nuevos'!$B$36)/12,0)</x:f>
        <x:v>66.66666666666667</x:v>
      </x:c>
      <x:c r="D39" s="152" t="n">
        <x:f>D38*'Supuestos nuevos'!$B$17+C39</x:f>
        <x:v>601.24001272151</x:v>
      </x:c>
      <x:c r="E39" s="152" t="n">
        <x:f>MAX(0,D39*'Supuestos nuevos'!$B$18-2*C39)</x:f>
        <x:v>2271.6267175527064</x:v>
      </x:c>
      <x:c r="F39" s="152" t="n">
        <x:f>IF(A39&gt;='Supuestos nuevos'!$B$2,CHOOSE(MIN(3,1+INT((A39-'Supuestos nuevos'!$B$2)/12)),'Supuestos nuevos'!$B$37,'Supuestos nuevos'!$B$38,'Supuestos nuevos'!$B$39)/12,0)</x:f>
        <x:v>1.25</x:v>
      </x:c>
      <x:c r="G39" s="152" t="n">
        <x:f>IF(A39='Supuestos nuevos'!$B$2-1,'Supuestos nuevos'!$B$51,IF(A39&gt;='Supuestos nuevos'!$B$2,ROUNDUP(MAX(0,C39+F39-I38),0),0))</x:f>
        <x:v>68</x:v>
      </x:c>
      <x:c r="H39" s="152" t="n">
        <x:f>ROUNDUP(G39/(1-'Supuestos nuevos'!$B$14),0)</x:f>
        <x:v>76</x:v>
      </x:c>
      <x:c r="I39" s="152" t="n">
        <x:f>I38+G39-C39-F39</x:f>
        <x:v>0.666666666666643</x:v>
      </x:c>
      <x:c r="J39" s="152" t="n">
        <x:f>C39*'Supuestos nuevos'!$B$15+E39*'Supuestos nuevos'!$B$16</x:f>
        <x:v>110124.00127215098</x:v>
      </x:c>
      <x:c r="K39" s="152" t="n">
        <x:f>H39*(2*('Supuestos nuevos'!$B$19+'Supuestos nuevos'!$B$20)+'Supuestos nuevos'!$B$21+'Supuestos nuevos'!$B$22+2*('Supuestos nuevos'!$B$23+'Supuestos nuevos'!$B$24)+'Supuestos nuevos'!$B$25)</x:f>
        <x:v>15167.32</x:v>
      </x:c>
      <x:c r="L39" s="152" t="n">
        <x:f>H39*(((2*('Supuestos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nuevos'!$B$29)+IF(A39='Supuestos nuevos'!$B$2-1,'Supuestos nuevos'!$B$30,0)</x:f>
        <x:v>8814.822</x:v>
      </x:c>
      <x:c r="M39" s="152" t="n">
        <x:f>E39*(('Supuestos nuevos'!$B$23+'Supuestos nuevos'!$B$24)/(1-'Supuestos nuevos'!$B$14)+'Supuestos nuevos'!$B$31)</x:f>
        <x:v>35412.13649696052</x:v>
      </x:c>
      <x:c r="N39" s="152" t="n">
        <x:f>IF(A39&lt;='Supuestos nuevos'!$B$3,'Supuestos nuevos'!$B$4,0)</x:f>
        <x:v>0</x:v>
      </x:c>
      <x:c r="O39" s="152" t="n">
        <x:f>'Supuestos nuevos'!$B$5+'Supuestos nuevos'!$B$6</x:f>
        <x:v>2500</x:v>
      </x:c>
      <x:c r="P39" s="152" t="n">
        <x:f>IF(AND(A39&gt;=2,A39&lt;=12),'Supuestos nuevos'!$B$7/11,0)+IF(AND(A39&gt;=3,A39&lt;=12),SUM('Supuestos nuevos'!$B$8:$B$10)/10,0)+IF(AND(A39&gt;=7,A39&lt;='Supuestos nuevos'!$B$3),SUM('Supuestos nuevos'!$B$11:$B$12)/('Supuestos nuevos'!$B$3-6),0)</x:f>
        <x:v>0</x:v>
      </x:c>
      <x:c r="Q39" s="152" t="n">
        <x:f>(P39+'Supuestos nuevos'!$B$6)*'Supuestos nuevos'!$B$13</x:f>
        <x:v>50</x:v>
      </x:c>
      <x:c r="R39" s="152" t="n">
        <x:f>J39*'Supuestos nuevos'!$B$32+IF(A39&gt;='Supuestos nuevos'!$B$2,CHOOSE(MIN(3,1+INT((A39-'Supuestos nuevos'!$B$2)/12)),'Supuestos nuevos'!$B$45,'Supuestos nuevos'!$B$46,'Supuestos nuevos'!$B$47)+CHOOSE(MIN(3,1+INT((A39-'Supuestos nuevos'!$B$2)/12)),'Supuestos nuevos'!$B$48,'Supuestos nuevos'!$B$49,'Supuestos nuevos'!$B$50)+CHOOSE(MIN(3,1+INT((A39-'Supuestos nuevos'!$B$2)/12)),'Supuestos nuevos'!$B$40,'Supuestos nuevos'!$B$41,'Supuestos nuevos'!$B$42)/12+D39*'Supuestos nuevos'!$B$43/100*'Supuestos nuevos'!$B$44,0)</x:f>
        <x:v>21410.903509306205</x:v>
      </x:c>
      <x:c r="S39" s="152" t="n">
        <x:f>SUM(K39:R39)</x:f>
        <x:v>83355.18200626672</x:v>
      </x:c>
      <x:c r="T39" s="152" t="n">
        <x:f>J39-S39</x:f>
        <x:v>26768.81926588426</x:v>
      </x:c>
      <x:c r="U39" s="152" t="n">
        <x:f>T39+U38</x:f>
        <x:v>-93782.21286639388</x:v>
      </x:c>
      <x:c r="V39" s="152" t="n">
        <x:f>T39/(1+'Supuestos nuevos'!$B$33)^(A39/12)</x:f>
        <x:v>15027.564580789418</x:v>
      </x:c>
    </x:row>
    <x:row r="40" ht="42" customHeight="1">
      <x:c r="A40" s="147" t="n">
        <x:f>39</x:f>
        <x:v>39</x:v>
      </x:c>
      <x:c r="B40" s="147" t="n">
        <x:f>ROUNDUP(A40/12,0)</x:f>
        <x:v>4</x:v>
      </x:c>
      <x:c r="C40" s="152" t="n">
        <x:f>IF(A40&gt;='Supuestos nuevos'!$B$2,CHOOSE(MIN(3,1+INT((A40-'Supuestos nuevos'!$B$2)/12)),'Supuestos nuevos'!$B$34,'Supuestos nuevos'!$B$35,'Supuestos nuevos'!$B$36)/12,0)</x:f>
        <x:v>66.66666666666667</x:v>
      </x:c>
      <x:c r="D40" s="152" t="n">
        <x:f>D39*'Supuestos nuevos'!$B$17+C40</x:f>
        <x:v>637.8446787521011</x:v>
      </x:c>
      <x:c r="E40" s="152" t="n">
        <x:f>MAX(0,D40*'Supuestos nuevos'!$B$18-2*C40)</x:f>
        <x:v>2418.045381675071</x:v>
      </x:c>
      <x:c r="F40" s="152" t="n">
        <x:f>IF(A40&gt;='Supuestos nuevos'!$B$2,CHOOSE(MIN(3,1+INT((A40-'Supuestos nuevos'!$B$2)/12)),'Supuestos nuevos'!$B$37,'Supuestos nuevos'!$B$38,'Supuestos nuevos'!$B$39)/12,0)</x:f>
        <x:v>1.25</x:v>
      </x:c>
      <x:c r="G40" s="152" t="n">
        <x:f>IF(A40='Supuestos nuevos'!$B$2-1,'Supuestos nuevos'!$B$51,IF(A40&gt;='Supuestos nuevos'!$B$2,ROUNDUP(MAX(0,C40+F40-I39),0),0))</x:f>
        <x:v>68</x:v>
      </x:c>
      <x:c r="H40" s="152" t="n">
        <x:f>ROUNDUP(G40/(1-'Supuestos nuevos'!$B$14),0)</x:f>
        <x:v>76</x:v>
      </x:c>
      <x:c r="I40" s="152" t="n">
        <x:f>I39+G40-C40-F40</x:f>
        <x:v>0.7499999999999716</x:v>
      </x:c>
      <x:c r="J40" s="152" t="n">
        <x:f>C40*'Supuestos nuevos'!$B$15+E40*'Supuestos nuevos'!$B$16</x:f>
        <x:v>113784.4678752101</x:v>
      </x:c>
      <x:c r="K40" s="152" t="n">
        <x:f>H40*(2*('Supuestos nuevos'!$B$19+'Supuestos nuevos'!$B$20)+'Supuestos nuevos'!$B$21+'Supuestos nuevos'!$B$22+2*('Supuestos nuevos'!$B$23+'Supuestos nuevos'!$B$24)+'Supuestos nuevos'!$B$25)</x:f>
        <x:v>15167.32</x:v>
      </x:c>
      <x:c r="L40" s="152" t="n">
        <x:f>H40*(((2*('Supuestos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nuevos'!$B$29)+IF(A40='Supuestos nuevos'!$B$2-1,'Supuestos nuevos'!$B$30,0)</x:f>
        <x:v>8814.822</x:v>
      </x:c>
      <x:c r="M40" s="152" t="n">
        <x:f>E40*(('Supuestos nuevos'!$B$23+'Supuestos nuevos'!$B$24)/(1-'Supuestos nuevos'!$B$14)+'Supuestos nuevos'!$B$31)</x:f>
        <x:v>37694.64078322361</x:v>
      </x:c>
      <x:c r="N40" s="152" t="n">
        <x:f>IF(A40&lt;='Supuestos nuevos'!$B$3,'Supuestos nuevos'!$B$4,0)</x:f>
        <x:v>0</x:v>
      </x:c>
      <x:c r="O40" s="152" t="n">
        <x:f>'Supuestos nuevos'!$B$5+'Supuestos nuevos'!$B$6</x:f>
        <x:v>2500</x:v>
      </x:c>
      <x:c r="P40" s="152" t="n">
        <x:f>IF(AND(A40&gt;=2,A40&lt;=12),'Supuestos nuevos'!$B$7/11,0)+IF(AND(A40&gt;=3,A40&lt;=12),SUM('Supuestos nuevos'!$B$8:$B$10)/10,0)+IF(AND(A40&gt;=7,A40&lt;='Supuestos nuevos'!$B$3),SUM('Supuestos nuevos'!$B$11:$B$12)/('Supuestos nuevos'!$B$3-6),0)</x:f>
        <x:v>0</x:v>
      </x:c>
      <x:c r="Q40" s="152" t="n">
        <x:f>(P40+'Supuestos nuevos'!$B$6)*'Supuestos nuevos'!$B$13</x:f>
        <x:v>50</x:v>
      </x:c>
      <x:c r="R40" s="152" t="n">
        <x:f>J40*'Supuestos nuevos'!$B$32+IF(A40&gt;='Supuestos nuevos'!$B$2,CHOOSE(MIN(3,1+INT((A40-'Supuestos nuevos'!$B$2)/12)),'Supuestos nuevos'!$B$45,'Supuestos nuevos'!$B$46,'Supuestos nuevos'!$B$47)+CHOOSE(MIN(3,1+INT((A40-'Supuestos nuevos'!$B$2)/12)),'Supuestos nuevos'!$B$48,'Supuestos nuevos'!$B$49,'Supuestos nuevos'!$B$50)+CHOOSE(MIN(3,1+INT((A40-'Supuestos nuevos'!$B$2)/12)),'Supuestos nuevos'!$B$40,'Supuestos nuevos'!$B$41,'Supuestos nuevos'!$B$42)/12+D40*'Supuestos nuevos'!$B$43/100*'Supuestos nuevos'!$B$44,0)</x:f>
        <x:v>21917.26805606223</x:v>
      </x:c>
      <x:c r="S40" s="152" t="n">
        <x:f>SUM(K40:R40)</x:f>
        <x:v>86144.05083928583</x:v>
      </x:c>
      <x:c r="T40" s="152" t="n">
        <x:f>J40-S40</x:f>
        <x:v>27640.41703592427</x:v>
      </x:c>
      <x:c r="U40" s="152" t="n">
        <x:f>T40+U39</x:f>
        <x:v>-66141.79583046961</x:v>
      </x:c>
      <x:c r="V40" s="152" t="n">
        <x:f>T40/(1+'Supuestos nuevos'!$B$33)^(A40/12)</x:f>
        <x:v>15282.891915796665</x:v>
      </x:c>
    </x:row>
    <x:row r="41" ht="42" customHeight="1">
      <x:c r="A41" s="147" t="n">
        <x:f>40</x:f>
        <x:v>40</x:v>
      </x:c>
      <x:c r="B41" s="147" t="n">
        <x:f>ROUNDUP(A41/12,0)</x:f>
        <x:v>4</x:v>
      </x:c>
      <x:c r="C41" s="152" t="n">
        <x:f>IF(A41&gt;='Supuestos nuevos'!$B$2,CHOOSE(MIN(3,1+INT((A41-'Supuestos nuevos'!$B$2)/12)),'Supuestos nuevos'!$B$34,'Supuestos nuevos'!$B$35,'Supuestos nuevos'!$B$36)/12,0)</x:f>
        <x:v>66.66666666666667</x:v>
      </x:c>
      <x:c r="D41" s="152" t="n">
        <x:f>D40*'Supuestos nuevos'!$B$17+C41</x:f>
        <x:v>672.6191114811627</x:v>
      </x:c>
      <x:c r="E41" s="152" t="n">
        <x:f>MAX(0,D41*'Supuestos nuevos'!$B$18-2*C41)</x:f>
        <x:v>2557.1431125913173</x:v>
      </x:c>
      <x:c r="F41" s="152" t="n">
        <x:f>IF(A41&gt;='Supuestos nuevos'!$B$2,CHOOSE(MIN(3,1+INT((A41-'Supuestos nuevos'!$B$2)/12)),'Supuestos nuevos'!$B$37,'Supuestos nuevos'!$B$38,'Supuestos nuevos'!$B$39)/12,0)</x:f>
        <x:v>1.25</x:v>
      </x:c>
      <x:c r="G41" s="152" t="n">
        <x:f>IF(A41='Supuestos nuevos'!$B$2-1,'Supuestos nuevos'!$B$51,IF(A41&gt;='Supuestos nuevos'!$B$2,ROUNDUP(MAX(0,C41+F41-I40),0),0))</x:f>
        <x:v>68</x:v>
      </x:c>
      <x:c r="H41" s="152" t="n">
        <x:f>ROUNDUP(G41/(1-'Supuestos nuevos'!$B$14),0)</x:f>
        <x:v>76</x:v>
      </x:c>
      <x:c r="I41" s="152" t="n">
        <x:f>I40+G41-C41-F41</x:f>
        <x:v>0.8333333333333002</x:v>
      </x:c>
      <x:c r="J41" s="152" t="n">
        <x:f>C41*'Supuestos nuevos'!$B$15+E41*'Supuestos nuevos'!$B$16</x:f>
        <x:v>117261.91114811627</x:v>
      </x:c>
      <x:c r="K41" s="152" t="n">
        <x:f>H41*(2*('Supuestos nuevos'!$B$19+'Supuestos nuevos'!$B$20)+'Supuestos nuevos'!$B$21+'Supuestos nuevos'!$B$22+2*('Supuestos nuevos'!$B$23+'Supuestos nuevos'!$B$24)+'Supuestos nuevos'!$B$25)</x:f>
        <x:v>15167.32</x:v>
      </x:c>
      <x:c r="L41" s="152" t="n">
        <x:f>H41*(((2*('Supuestos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nuevos'!$B$29)+IF(A41='Supuestos nuevos'!$B$2-1,'Supuestos nuevos'!$B$30,0)</x:f>
        <x:v>8814.822</x:v>
      </x:c>
      <x:c r="M41" s="152" t="n">
        <x:f>E41*(('Supuestos nuevos'!$B$23+'Supuestos nuevos'!$B$24)/(1-'Supuestos nuevos'!$B$14)+'Supuestos nuevos'!$B$31)</x:f>
        <x:v>39863.01985517354</x:v>
      </x:c>
      <x:c r="N41" s="152" t="n">
        <x:f>IF(A41&lt;='Supuestos nuevos'!$B$3,'Supuestos nuevos'!$B$4,0)</x:f>
        <x:v>0</x:v>
      </x:c>
      <x:c r="O41" s="152" t="n">
        <x:f>'Supuestos nuevos'!$B$5+'Supuestos nuevos'!$B$6</x:f>
        <x:v>2500</x:v>
      </x:c>
      <x:c r="P41" s="152" t="n">
        <x:f>IF(AND(A41&gt;=2,A41&lt;=12),'Supuestos nuevos'!$B$7/11,0)+IF(AND(A41&gt;=3,A41&lt;=12),SUM('Supuestos nuevos'!$B$8:$B$10)/10,0)+IF(AND(A41&gt;=7,A41&lt;='Supuestos nuevos'!$B$3),SUM('Supuestos nuevos'!$B$11:$B$12)/('Supuestos nuevos'!$B$3-6),0)</x:f>
        <x:v>0</x:v>
      </x:c>
      <x:c r="Q41" s="152" t="n">
        <x:f>(P41+'Supuestos nuevos'!$B$6)*'Supuestos nuevos'!$B$13</x:f>
        <x:v>50</x:v>
      </x:c>
      <x:c r="R41" s="152" t="n">
        <x:f>J41*'Supuestos nuevos'!$B$32+IF(A41&gt;='Supuestos nuevos'!$B$2,CHOOSE(MIN(3,1+INT((A41-'Supuestos nuevos'!$B$2)/12)),'Supuestos nuevos'!$B$45,'Supuestos nuevos'!$B$46,'Supuestos nuevos'!$B$47)+CHOOSE(MIN(3,1+INT((A41-'Supuestos nuevos'!$B$2)/12)),'Supuestos nuevos'!$B$48,'Supuestos nuevos'!$B$49,'Supuestos nuevos'!$B$50)+CHOOSE(MIN(3,1+INT((A41-'Supuestos nuevos'!$B$2)/12)),'Supuestos nuevos'!$B$40,'Supuestos nuevos'!$B$41,'Supuestos nuevos'!$B$42)/12+D41*'Supuestos nuevos'!$B$43/100*'Supuestos nuevos'!$B$44,0)</x:f>
        <x:v>22398.314375480448</x:v>
      </x:c>
      <x:c r="S41" s="152" t="n">
        <x:f>SUM(K41:R41)</x:f>
        <x:v>88793.47623065398</x:v>
      </x:c>
      <x:c r="T41" s="152" t="n">
        <x:f>J41-S41</x:f>
        <x:v>28468.43491746229</x:v>
      </x:c>
      <x:c r="U41" s="152" t="n">
        <x:f>T41+U40</x:f>
        <x:v>-37673.36091300732</x:v>
      </x:c>
      <x:c r="V41" s="152" t="n">
        <x:f>T41/(1+'Supuestos nuevos'!$B$33)^(A41/12)</x:f>
        <x:v>15503.369758788616</x:v>
      </x:c>
    </x:row>
    <x:row r="42" ht="42" customHeight="1">
      <x:c r="A42" s="147" t="n">
        <x:f>41</x:f>
        <x:v>41</x:v>
      </x:c>
      <x:c r="B42" s="147" t="n">
        <x:f>ROUNDUP(A42/12,0)</x:f>
        <x:v>4</x:v>
      </x:c>
      <x:c r="C42" s="152" t="n">
        <x:f>IF(A42&gt;='Supuestos nuevos'!$B$2,CHOOSE(MIN(3,1+INT((A42-'Supuestos nuevos'!$B$2)/12)),'Supuestos nuevos'!$B$34,'Supuestos nuevos'!$B$35,'Supuestos nuevos'!$B$36)/12,0)</x:f>
        <x:v>66.66666666666667</x:v>
      </x:c>
      <x:c r="D42" s="152" t="n">
        <x:f>D41*'Supuestos nuevos'!$B$17+C42</x:f>
        <x:v>705.6548225737712</x:v>
      </x:c>
      <x:c r="E42" s="152" t="n">
        <x:f>MAX(0,D42*'Supuestos nuevos'!$B$18-2*C42)</x:f>
        <x:v>2689.2859569617513</x:v>
      </x:c>
      <x:c r="F42" s="152" t="n">
        <x:f>IF(A42&gt;='Supuestos nuevos'!$B$2,CHOOSE(MIN(3,1+INT((A42-'Supuestos nuevos'!$B$2)/12)),'Supuestos nuevos'!$B$37,'Supuestos nuevos'!$B$38,'Supuestos nuevos'!$B$39)/12,0)</x:f>
        <x:v>1.25</x:v>
      </x:c>
      <x:c r="G42" s="152" t="n">
        <x:f>IF(A42='Supuestos nuevos'!$B$2-1,'Supuestos nuevos'!$B$51,IF(A42&gt;='Supuestos nuevos'!$B$2,ROUNDUP(MAX(0,C42+F42-I41),0),0))</x:f>
        <x:v>68</x:v>
      </x:c>
      <x:c r="H42" s="152" t="n">
        <x:f>ROUNDUP(G42/(1-'Supuestos nuevos'!$B$14),0)</x:f>
        <x:v>76</x:v>
      </x:c>
      <x:c r="I42" s="152" t="n">
        <x:f>I41+G42-C42-F42</x:f>
        <x:v>0.9166666666666288</x:v>
      </x:c>
      <x:c r="J42" s="152" t="n">
        <x:f>C42*'Supuestos nuevos'!$B$15+E42*'Supuestos nuevos'!$B$16</x:f>
        <x:v>120565.48225737712</x:v>
      </x:c>
      <x:c r="K42" s="152" t="n">
        <x:f>H42*(2*('Supuestos nuevos'!$B$19+'Supuestos nuevos'!$B$20)+'Supuestos nuevos'!$B$21+'Supuestos nuevos'!$B$22+2*('Supuestos nuevos'!$B$23+'Supuestos nuevos'!$B$24)+'Supuestos nuevos'!$B$25)</x:f>
        <x:v>15167.32</x:v>
      </x:c>
      <x:c r="L42" s="152" t="n">
        <x:f>H42*(((2*('Supuestos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nuevos'!$B$29)+IF(A42='Supuestos nuevos'!$B$2-1,'Supuestos nuevos'!$B$30,0)</x:f>
        <x:v>8814.822</x:v>
      </x:c>
      <x:c r="M42" s="152" t="n">
        <x:f>E42*(('Supuestos nuevos'!$B$23+'Supuestos nuevos'!$B$24)/(1-'Supuestos nuevos'!$B$14)+'Supuestos nuevos'!$B$31)</x:f>
        <x:v>41922.979973525966</x:v>
      </x:c>
      <x:c r="N42" s="152" t="n">
        <x:f>IF(A42&lt;='Supuestos nuevos'!$B$3,'Supuestos nuevos'!$B$4,0)</x:f>
        <x:v>0</x:v>
      </x:c>
      <x:c r="O42" s="152" t="n">
        <x:f>'Supuestos nuevos'!$B$5+'Supuestos nuevos'!$B$6</x:f>
        <x:v>2500</x:v>
      </x:c>
      <x:c r="P42" s="152" t="n">
        <x:f>IF(AND(A42&gt;=2,A42&lt;=12),'Supuestos nuevos'!$B$7/11,0)+IF(AND(A42&gt;=3,A42&lt;=12),SUM('Supuestos nuevos'!$B$8:$B$10)/10,0)+IF(AND(A42&gt;=7,A42&lt;='Supuestos nuevos'!$B$3),SUM('Supuestos nuevos'!$B$11:$B$12)/('Supuestos nuevos'!$B$3-6),0)</x:f>
        <x:v>0</x:v>
      </x:c>
      <x:c r="Q42" s="152" t="n">
        <x:f>(P42+'Supuestos nuevos'!$B$6)*'Supuestos nuevos'!$B$13</x:f>
        <x:v>50</x:v>
      </x:c>
      <x:c r="R42" s="152" t="n">
        <x:f>J42*'Supuestos nuevos'!$B$32+IF(A42&gt;='Supuestos nuevos'!$B$2,CHOOSE(MIN(3,1+INT((A42-'Supuestos nuevos'!$B$2)/12)),'Supuestos nuevos'!$B$45,'Supuestos nuevos'!$B$46,'Supuestos nuevos'!$B$47)+CHOOSE(MIN(3,1+INT((A42-'Supuestos nuevos'!$B$2)/12)),'Supuestos nuevos'!$B$48,'Supuestos nuevos'!$B$49,'Supuestos nuevos'!$B$50)+CHOOSE(MIN(3,1+INT((A42-'Supuestos nuevos'!$B$2)/12)),'Supuestos nuevos'!$B$40,'Supuestos nuevos'!$B$41,'Supuestos nuevos'!$B$42)/12+D42*'Supuestos nuevos'!$B$43/100*'Supuestos nuevos'!$B$44,0)</x:f>
        <x:v>22855.30837892776</x:v>
      </x:c>
      <x:c r="S42" s="152" t="n">
        <x:f>SUM(K42:R42)</x:f>
        <x:v>91310.43035245372</x:v>
      </x:c>
      <x:c r="T42" s="152" t="n">
        <x:f>J42-S42</x:f>
        <x:v>29255.0519049234</x:v>
      </x:c>
      <x:c r="U42" s="152" t="n">
        <x:f>T42+U41</x:f>
        <x:v>-8418.309008083917</x:v>
      </x:c>
      <x:c r="V42" s="152" t="n">
        <x:f>T42/(1+'Supuestos nuevos'!$B$33)^(A42/12)</x:f>
        <x:v>15691.517625960667</x:v>
      </x:c>
    </x:row>
    <x:row r="43" ht="42" customHeight="1">
      <x:c r="A43" s="147" t="n">
        <x:f>42</x:f>
        <x:v>42</x:v>
      </x:c>
      <x:c r="B43" s="147" t="n">
        <x:f>ROUNDUP(A43/12,0)</x:f>
        <x:v>4</x:v>
      </x:c>
      <x:c r="C43" s="152" t="n">
        <x:f>IF(A43&gt;='Supuestos nuevos'!$B$2,CHOOSE(MIN(3,1+INT((A43-'Supuestos nuevos'!$B$2)/12)),'Supuestos nuevos'!$B$34,'Supuestos nuevos'!$B$35,'Supuestos nuevos'!$B$36)/12,0)</x:f>
        <x:v>66.66666666666667</x:v>
      </x:c>
      <x:c r="D43" s="152" t="n">
        <x:f>D42*'Supuestos nuevos'!$B$17+C43</x:f>
        <x:v>737.0387481117492</x:v>
      </x:c>
      <x:c r="E43" s="152" t="n">
        <x:f>MAX(0,D43*'Supuestos nuevos'!$B$18-2*C43)</x:f>
        <x:v>2814.8216591136634</x:v>
      </x:c>
      <x:c r="F43" s="152" t="n">
        <x:f>IF(A43&gt;='Supuestos nuevos'!$B$2,CHOOSE(MIN(3,1+INT((A43-'Supuestos nuevos'!$B$2)/12)),'Supuestos nuevos'!$B$37,'Supuestos nuevos'!$B$38,'Supuestos nuevos'!$B$39)/12,0)</x:f>
        <x:v>1.25</x:v>
      </x:c>
      <x:c r="G43" s="152" t="n">
        <x:f>IF(A43='Supuestos nuevos'!$B$2-1,'Supuestos nuevos'!$B$51,IF(A43&gt;='Supuestos nuevos'!$B$2,ROUNDUP(MAX(0,C43+F43-I42),0),0))</x:f>
        <x:v>68</x:v>
      </x:c>
      <x:c r="H43" s="152" t="n">
        <x:f>ROUNDUP(G43/(1-'Supuestos nuevos'!$B$14),0)</x:f>
        <x:v>76</x:v>
      </x:c>
      <x:c r="I43" s="152" t="n">
        <x:f>I42+G43-C43-F43</x:f>
        <x:v>0.9999999999999574</x:v>
      </x:c>
      <x:c r="J43" s="152" t="n">
        <x:f>C43*'Supuestos nuevos'!$B$15+E43*'Supuestos nuevos'!$B$16</x:f>
        <x:v>123703.87481117493</x:v>
      </x:c>
      <x:c r="K43" s="152" t="n">
        <x:f>H43*(2*('Supuestos nuevos'!$B$19+'Supuestos nuevos'!$B$20)+'Supuestos nuevos'!$B$21+'Supuestos nuevos'!$B$22+2*('Supuestos nuevos'!$B$23+'Supuestos nuevos'!$B$24)+'Supuestos nuevos'!$B$25)</x:f>
        <x:v>15167.32</x:v>
      </x:c>
      <x:c r="L43" s="152" t="n">
        <x:f>H43*(((2*('Supuestos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nuevos'!$B$29)+IF(A43='Supuestos nuevos'!$B$2-1,'Supuestos nuevos'!$B$30,0)</x:f>
        <x:v>8814.822</x:v>
      </x:c>
      <x:c r="M43" s="152" t="n">
        <x:f>E43*(('Supuestos nuevos'!$B$23+'Supuestos nuevos'!$B$24)/(1-'Supuestos nuevos'!$B$14)+'Supuestos nuevos'!$B$31)</x:f>
        <x:v>43879.94208596077</x:v>
      </x:c>
      <x:c r="N43" s="152" t="n">
        <x:f>IF(A43&lt;='Supuestos nuevos'!$B$3,'Supuestos nuevos'!$B$4,0)</x:f>
        <x:v>0</x:v>
      </x:c>
      <x:c r="O43" s="152" t="n">
        <x:f>'Supuestos nuevos'!$B$5+'Supuestos nuevos'!$B$6</x:f>
        <x:v>2500</x:v>
      </x:c>
      <x:c r="P43" s="152" t="n">
        <x:f>IF(AND(A43&gt;=2,A43&lt;=12),'Supuestos nuevos'!$B$7/11,0)+IF(AND(A43&gt;=3,A43&lt;=12),SUM('Supuestos nuevos'!$B$8:$B$10)/10,0)+IF(AND(A43&gt;=7,A43&lt;='Supuestos nuevos'!$B$3),SUM('Supuestos nuevos'!$B$11:$B$12)/('Supuestos nuevos'!$B$3-6),0)</x:f>
        <x:v>0</x:v>
      </x:c>
      <x:c r="Q43" s="152" t="n">
        <x:f>(P43+'Supuestos nuevos'!$B$6)*'Supuestos nuevos'!$B$13</x:f>
        <x:v>50</x:v>
      </x:c>
      <x:c r="R43" s="152" t="n">
        <x:f>J43*'Supuestos nuevos'!$B$32+IF(A43&gt;='Supuestos nuevos'!$B$2,CHOOSE(MIN(3,1+INT((A43-'Supuestos nuevos'!$B$2)/12)),'Supuestos nuevos'!$B$45,'Supuestos nuevos'!$B$46,'Supuestos nuevos'!$B$47)+CHOOSE(MIN(3,1+INT((A43-'Supuestos nuevos'!$B$2)/12)),'Supuestos nuevos'!$B$48,'Supuestos nuevos'!$B$49,'Supuestos nuevos'!$B$50)+CHOOSE(MIN(3,1+INT((A43-'Supuestos nuevos'!$B$2)/12)),'Supuestos nuevos'!$B$40,'Supuestos nuevos'!$B$41,'Supuestos nuevos'!$B$42)/12+D43*'Supuestos nuevos'!$B$43/100*'Supuestos nuevos'!$B$44,0)</x:f>
        <x:v>23289.452682202704</x:v>
      </x:c>
      <x:c r="S43" s="152" t="n">
        <x:f>SUM(K43:R43)</x:f>
        <x:v>93701.53676816347</x:v>
      </x:c>
      <x:c r="T43" s="152" t="n">
        <x:f>J43-S43</x:f>
        <x:v>30002.338043011463</x:v>
      </x:c>
      <x:c r="U43" s="152" t="n">
        <x:f>T43+U42</x:f>
        <x:v>21584.029034927546</x:v>
      </x:c>
      <x:c r="V43" s="152" t="n">
        <x:f>T43/(1+'Supuestos nuevos'!$B$33)^(A43/12)</x:f>
        <x:v>15849.688777057081</x:v>
      </x:c>
    </x:row>
    <x:row r="44" ht="42" customHeight="1">
      <x:c r="A44" s="147" t="n">
        <x:f>43</x:f>
        <x:v>43</x:v>
      </x:c>
      <x:c r="B44" s="147" t="n">
        <x:f>ROUNDUP(A44/12,0)</x:f>
        <x:v>4</x:v>
      </x:c>
      <x:c r="C44" s="152" t="n">
        <x:f>IF(A44&gt;='Supuestos nuevos'!$B$2,CHOOSE(MIN(3,1+INT((A44-'Supuestos nuevos'!$B$2)/12)),'Supuestos nuevos'!$B$34,'Supuestos nuevos'!$B$35,'Supuestos nuevos'!$B$36)/12,0)</x:f>
        <x:v>140</x:v>
      </x:c>
      <x:c r="D44" s="152" t="n">
        <x:f>D43*'Supuestos nuevos'!$B$17+C44</x:f>
        <x:v>840.1868107061617</x:v>
      </x:c>
      <x:c r="E44" s="152" t="n">
        <x:f>MAX(0,D44*'Supuestos nuevos'!$B$18-2*C44)</x:f>
        <x:v>3080.747242824647</x:v>
      </x:c>
      <x:c r="F44" s="152" t="n">
        <x:f>IF(A44&gt;='Supuestos nuevos'!$B$2,CHOOSE(MIN(3,1+INT((A44-'Supuestos nuevos'!$B$2)/12)),'Supuestos nuevos'!$B$37,'Supuestos nuevos'!$B$38,'Supuestos nuevos'!$B$39)/12,0)</x:f>
        <x:v>2</x:v>
      </x:c>
      <x:c r="G44" s="152" t="n">
        <x:f>IF(A44='Supuestos nuevos'!$B$2-1,'Supuestos nuevos'!$B$51,IF(A44&gt;='Supuestos nuevos'!$B$2,ROUNDUP(MAX(0,C44+F44-I43),0),0))</x:f>
        <x:v>142</x:v>
      </x:c>
      <x:c r="H44" s="152" t="n">
        <x:f>ROUNDUP(G44/(1-'Supuestos nuevos'!$B$14),0)</x:f>
        <x:v>158</x:v>
      </x:c>
      <x:c r="I44" s="152" t="n">
        <x:f>I43+G44-C44-F44</x:f>
        <x:v>0.9999999999999432</x:v>
      </x:c>
      <x:c r="J44" s="152" t="n">
        <x:f>C44*'Supuestos nuevos'!$B$15+E44*'Supuestos nuevos'!$B$16</x:f>
        <x:v>189018.68107061618</x:v>
      </x:c>
      <x:c r="K44" s="152" t="n">
        <x:f>H44*(2*('Supuestos nuevos'!$B$19+'Supuestos nuevos'!$B$20)+'Supuestos nuevos'!$B$21+'Supuestos nuevos'!$B$22+2*('Supuestos nuevos'!$B$23+'Supuestos nuevos'!$B$24)+'Supuestos nuevos'!$B$25)</x:f>
        <x:v>31532.059999999998</x:v>
      </x:c>
      <x:c r="L44" s="152" t="n">
        <x:f>H44*(((2*('Supuestos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nuevos'!$B$29)+IF(A44='Supuestos nuevos'!$B$2-1,'Supuestos nuevos'!$B$30,0)</x:f>
        <x:v>18325.551</x:v>
      </x:c>
      <x:c r="M44" s="152" t="n">
        <x:f>E44*(('Supuestos nuevos'!$B$23+'Supuestos nuevos'!$B$24)/(1-'Supuestos nuevos'!$B$14)+'Supuestos nuevos'!$B$31)</x:f>
        <x:v>48025.42646314422</x:v>
      </x:c>
      <x:c r="N44" s="152" t="n">
        <x:f>IF(A44&lt;='Supuestos nuevos'!$B$3,'Supuestos nuevos'!$B$4,0)</x:f>
        <x:v>0</x:v>
      </x:c>
      <x:c r="O44" s="152" t="n">
        <x:f>'Supuestos nuevos'!$B$5+'Supuestos nuevos'!$B$6</x:f>
        <x:v>2500</x:v>
      </x:c>
      <x:c r="P44" s="152" t="n">
        <x:f>IF(AND(A44&gt;=2,A44&lt;=12),'Supuestos nuevos'!$B$7/11,0)+IF(AND(A44&gt;=3,A44&lt;=12),SUM('Supuestos nuevos'!$B$8:$B$10)/10,0)+IF(AND(A44&gt;=7,A44&lt;='Supuestos nuevos'!$B$3),SUM('Supuestos nuevos'!$B$11:$B$12)/('Supuestos nuevos'!$B$3-6),0)</x:f>
        <x:v>0</x:v>
      </x:c>
      <x:c r="Q44" s="152" t="n">
        <x:f>(P44+'Supuestos nuevos'!$B$6)*'Supuestos nuevos'!$B$13</x:f>
        <x:v>50</x:v>
      </x:c>
      <x:c r="R44" s="152" t="n">
        <x:f>J44*'Supuestos nuevos'!$B$32+IF(A44&gt;='Supuestos nuevos'!$B$2,CHOOSE(MIN(3,1+INT((A44-'Supuestos nuevos'!$B$2)/12)),'Supuestos nuevos'!$B$45,'Supuestos nuevos'!$B$46,'Supuestos nuevos'!$B$47)+CHOOSE(MIN(3,1+INT((A44-'Supuestos nuevos'!$B$2)/12)),'Supuestos nuevos'!$B$48,'Supuestos nuevos'!$B$49,'Supuestos nuevos'!$B$50)+CHOOSE(MIN(3,1+INT((A44-'Supuestos nuevos'!$B$2)/12)),'Supuestos nuevos'!$B$40,'Supuestos nuevos'!$B$41,'Supuestos nuevos'!$B$42)/12+D44*'Supuestos nuevos'!$B$43/100*'Supuestos nuevos'!$B$44,0)</x:f>
        <x:v>33472.58421475737</x:v>
      </x:c>
      <x:c r="S44" s="152" t="n">
        <x:f>SUM(K44:R44)</x:f>
        <x:v>133905.6216779016</x:v>
      </x:c>
      <x:c r="T44" s="152" t="n">
        <x:f>J44-S44</x:f>
        <x:v>55113.05939271458</x:v>
      </x:c>
      <x:c r="U44" s="152" t="n">
        <x:f>T44+U43</x:f>
        <x:v>76697.08842764213</x:v>
      </x:c>
      <x:c r="V44" s="152" t="n">
        <x:f>T44/(1+'Supuestos nuevos'!$B$33)^(A44/12)</x:f>
        <x:v>28676.20798239542</x:v>
      </x:c>
    </x:row>
    <x:row r="45" ht="42" customHeight="1">
      <x:c r="A45" s="147" t="n">
        <x:f>44</x:f>
        <x:v>44</x:v>
      </x:c>
      <x:c r="B45" s="147" t="n">
        <x:f>ROUNDUP(A45/12,0)</x:f>
        <x:v>4</x:v>
      </x:c>
      <x:c r="C45" s="152" t="n">
        <x:f>IF(A45&gt;='Supuestos nuevos'!$B$2,CHOOSE(MIN(3,1+INT((A45-'Supuestos nuevos'!$B$2)/12)),'Supuestos nuevos'!$B$34,'Supuestos nuevos'!$B$35,'Supuestos nuevos'!$B$36)/12,0)</x:f>
        <x:v>140</x:v>
      </x:c>
      <x:c r="D45" s="152" t="n">
        <x:f>D44*'Supuestos nuevos'!$B$17+C45</x:f>
        <x:v>938.1774701708537</x:v>
      </x:c>
      <x:c r="E45" s="152" t="n">
        <x:f>MAX(0,D45*'Supuestos nuevos'!$B$18-2*C45)</x:f>
        <x:v>3472.7098806834147</x:v>
      </x:c>
      <x:c r="F45" s="152" t="n">
        <x:f>IF(A45&gt;='Supuestos nuevos'!$B$2,CHOOSE(MIN(3,1+INT((A45-'Supuestos nuevos'!$B$2)/12)),'Supuestos nuevos'!$B$37,'Supuestos nuevos'!$B$38,'Supuestos nuevos'!$B$39)/12,0)</x:f>
        <x:v>2</x:v>
      </x:c>
      <x:c r="G45" s="152" t="n">
        <x:f>IF(A45='Supuestos nuevos'!$B$2-1,'Supuestos nuevos'!$B$51,IF(A45&gt;='Supuestos nuevos'!$B$2,ROUNDUP(MAX(0,C45+F45-I44),0),0))</x:f>
        <x:v>142</x:v>
      </x:c>
      <x:c r="H45" s="152" t="n">
        <x:f>ROUNDUP(G45/(1-'Supuestos nuevos'!$B$14),0)</x:f>
        <x:v>158</x:v>
      </x:c>
      <x:c r="I45" s="152" t="n">
        <x:f>I44+G45-C45-F45</x:f>
        <x:v>0.9999999999999432</x:v>
      </x:c>
      <x:c r="J45" s="152" t="n">
        <x:f>C45*'Supuestos nuevos'!$B$15+E45*'Supuestos nuevos'!$B$16</x:f>
        <x:v>198817.74701708538</x:v>
      </x:c>
      <x:c r="K45" s="152" t="n">
        <x:f>H45*(2*('Supuestos nuevos'!$B$19+'Supuestos nuevos'!$B$20)+'Supuestos nuevos'!$B$21+'Supuestos nuevos'!$B$22+2*('Supuestos nuevos'!$B$23+'Supuestos nuevos'!$B$24)+'Supuestos nuevos'!$B$25)</x:f>
        <x:v>31532.059999999998</x:v>
      </x:c>
      <x:c r="L45" s="152" t="n">
        <x:f>H45*(((2*('Supuestos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nuevos'!$B$29)+IF(A45='Supuestos nuevos'!$B$2-1,'Supuestos nuevos'!$B$30,0)</x:f>
        <x:v>18325.551</x:v>
      </x:c>
      <x:c r="M45" s="152" t="n">
        <x:f>E45*(('Supuestos nuevos'!$B$23+'Supuestos nuevos'!$B$24)/(1-'Supuestos nuevos'!$B$14)+'Supuestos nuevos'!$B$31)</x:f>
        <x:v>54135.68847332034</x:v>
      </x:c>
      <x:c r="N45" s="152" t="n">
        <x:f>IF(A45&lt;='Supuestos nuevos'!$B$3,'Supuestos nuevos'!$B$4,0)</x:f>
        <x:v>0</x:v>
      </x:c>
      <x:c r="O45" s="152" t="n">
        <x:f>'Supuestos nuevos'!$B$5+'Supuestos nuevos'!$B$6</x:f>
        <x:v>2500</x:v>
      </x:c>
      <x:c r="P45" s="152" t="n">
        <x:f>IF(AND(A45&gt;=2,A45&lt;=12),'Supuestos nuevos'!$B$7/11,0)+IF(AND(A45&gt;=3,A45&lt;=12),SUM('Supuestos nuevos'!$B$8:$B$10)/10,0)+IF(AND(A45&gt;=7,A45&lt;='Supuestos nuevos'!$B$3),SUM('Supuestos nuevos'!$B$11:$B$12)/('Supuestos nuevos'!$B$3-6),0)</x:f>
        <x:v>0</x:v>
      </x:c>
      <x:c r="Q45" s="152" t="n">
        <x:f>(P45+'Supuestos nuevos'!$B$6)*'Supuestos nuevos'!$B$13</x:f>
        <x:v>50</x:v>
      </x:c>
      <x:c r="R45" s="152" t="n">
        <x:f>J45*'Supuestos nuevos'!$B$32+IF(A45&gt;='Supuestos nuevos'!$B$2,CHOOSE(MIN(3,1+INT((A45-'Supuestos nuevos'!$B$2)/12)),'Supuestos nuevos'!$B$45,'Supuestos nuevos'!$B$46,'Supuestos nuevos'!$B$47)+CHOOSE(MIN(3,1+INT((A45-'Supuestos nuevos'!$B$2)/12)),'Supuestos nuevos'!$B$48,'Supuestos nuevos'!$B$49,'Supuestos nuevos'!$B$50)+CHOOSE(MIN(3,1+INT((A45-'Supuestos nuevos'!$B$2)/12)),'Supuestos nuevos'!$B$40,'Supuestos nuevos'!$B$41,'Supuestos nuevos'!$B$42)/12+D45*'Supuestos nuevos'!$B$43/100*'Supuestos nuevos'!$B$44,0)</x:f>
        <x:v>34828.121670684304</x:v>
      </x:c>
      <x:c r="S45" s="152" t="n">
        <x:f>SUM(K45:R45)</x:f>
        <x:v>141371.42114400465</x:v>
      </x:c>
      <x:c r="T45" s="152" t="n">
        <x:f>J45-S45</x:f>
        <x:v>57446.32587308073</x:v>
      </x:c>
      <x:c r="U45" s="152" t="n">
        <x:f>T45+U44</x:f>
        <x:v>134143.41430072286</x:v>
      </x:c>
      <x:c r="V45" s="152" t="n">
        <x:f>T45/(1+'Supuestos nuevos'!$B$33)^(A45/12)</x:f>
        <x:v>29439.540150986682</x:v>
      </x:c>
    </x:row>
    <x:row r="46" ht="42" customHeight="1">
      <x:c r="A46" s="147" t="n">
        <x:f>45</x:f>
        <x:v>45</x:v>
      </x:c>
      <x:c r="B46" s="147" t="n">
        <x:f>ROUNDUP(A46/12,0)</x:f>
        <x:v>4</x:v>
      </x:c>
      <x:c r="C46" s="152" t="n">
        <x:f>IF(A46&gt;='Supuestos nuevos'!$B$2,CHOOSE(MIN(3,1+INT((A46-'Supuestos nuevos'!$B$2)/12)),'Supuestos nuevos'!$B$34,'Supuestos nuevos'!$B$35,'Supuestos nuevos'!$B$36)/12,0)</x:f>
        <x:v>140</x:v>
      </x:c>
      <x:c r="D46" s="152" t="n">
        <x:f>D45*'Supuestos nuevos'!$B$17+C46</x:f>
        <x:v>1031.268596662311</x:v>
      </x:c>
      <x:c r="E46" s="152" t="n">
        <x:f>MAX(0,D46*'Supuestos nuevos'!$B$18-2*C46)</x:f>
        <x:v>3845.074386649244</x:v>
      </x:c>
      <x:c r="F46" s="152" t="n">
        <x:f>IF(A46&gt;='Supuestos nuevos'!$B$2,CHOOSE(MIN(3,1+INT((A46-'Supuestos nuevos'!$B$2)/12)),'Supuestos nuevos'!$B$37,'Supuestos nuevos'!$B$38,'Supuestos nuevos'!$B$39)/12,0)</x:f>
        <x:v>2</x:v>
      </x:c>
      <x:c r="G46" s="152" t="n">
        <x:f>IF(A46='Supuestos nuevos'!$B$2-1,'Supuestos nuevos'!$B$51,IF(A46&gt;='Supuestos nuevos'!$B$2,ROUNDUP(MAX(0,C46+F46-I45),0),0))</x:f>
        <x:v>142</x:v>
      </x:c>
      <x:c r="H46" s="152" t="n">
        <x:f>ROUNDUP(G46/(1-'Supuestos nuevos'!$B$14),0)</x:f>
        <x:v>158</x:v>
      </x:c>
      <x:c r="I46" s="152" t="n">
        <x:f>I45+G46-C46-F46</x:f>
        <x:v>0.9999999999999432</x:v>
      </x:c>
      <x:c r="J46" s="152" t="n">
        <x:f>C46*'Supuestos nuevos'!$B$15+E46*'Supuestos nuevos'!$B$16</x:f>
        <x:v>208126.8596662311</x:v>
      </x:c>
      <x:c r="K46" s="152" t="n">
        <x:f>H46*(2*('Supuestos nuevos'!$B$19+'Supuestos nuevos'!$B$20)+'Supuestos nuevos'!$B$21+'Supuestos nuevos'!$B$22+2*('Supuestos nuevos'!$B$23+'Supuestos nuevos'!$B$24)+'Supuestos nuevos'!$B$25)</x:f>
        <x:v>31532.059999999998</x:v>
      </x:c>
      <x:c r="L46" s="152" t="n">
        <x:f>H46*(((2*('Supuestos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nuevos'!$B$29)+IF(A46='Supuestos nuevos'!$B$2-1,'Supuestos nuevos'!$B$30,0)</x:f>
        <x:v>18325.551</x:v>
      </x:c>
      <x:c r="M46" s="152" t="n">
        <x:f>E46*(('Supuestos nuevos'!$B$23+'Supuestos nuevos'!$B$24)/(1-'Supuestos nuevos'!$B$14)+'Supuestos nuevos'!$B$31)</x:f>
        <x:v>59940.43738298766</x:v>
      </x:c>
      <x:c r="N46" s="152" t="n">
        <x:f>IF(A46&lt;='Supuestos nuevos'!$B$3,'Supuestos nuevos'!$B$4,0)</x:f>
        <x:v>0</x:v>
      </x:c>
      <x:c r="O46" s="152" t="n">
        <x:f>'Supuestos nuevos'!$B$5+'Supuestos nuevos'!$B$6</x:f>
        <x:v>2500</x:v>
      </x:c>
      <x:c r="P46" s="152" t="n">
        <x:f>IF(AND(A46&gt;=2,A46&lt;=12),'Supuestos nuevos'!$B$7/11,0)+IF(AND(A46&gt;=3,A46&lt;=12),SUM('Supuestos nuevos'!$B$8:$B$10)/10,0)+IF(AND(A46&gt;=7,A46&lt;='Supuestos nuevos'!$B$3),SUM('Supuestos nuevos'!$B$11:$B$12)/('Supuestos nuevos'!$B$3-6),0)</x:f>
        <x:v>0</x:v>
      </x:c>
      <x:c r="Q46" s="152" t="n">
        <x:f>(P46+'Supuestos nuevos'!$B$6)*'Supuestos nuevos'!$B$13</x:f>
        <x:v>50</x:v>
      </x:c>
      <x:c r="R46" s="152" t="n">
        <x:f>J46*'Supuestos nuevos'!$B$32+IF(A46&gt;='Supuestos nuevos'!$B$2,CHOOSE(MIN(3,1+INT((A46-'Supuestos nuevos'!$B$2)/12)),'Supuestos nuevos'!$B$45,'Supuestos nuevos'!$B$46,'Supuestos nuevos'!$B$47)+CHOOSE(MIN(3,1+INT((A46-'Supuestos nuevos'!$B$2)/12)),'Supuestos nuevos'!$B$48,'Supuestos nuevos'!$B$49,'Supuestos nuevos'!$B$50)+CHOOSE(MIN(3,1+INT((A46-'Supuestos nuevos'!$B$2)/12)),'Supuestos nuevos'!$B$40,'Supuestos nuevos'!$B$41,'Supuestos nuevos'!$B$42)/12+D46*'Supuestos nuevos'!$B$43/100*'Supuestos nuevos'!$B$44,0)</x:f>
        <x:v>36115.88225381488</x:v>
      </x:c>
      <x:c r="S46" s="152" t="n">
        <x:f>SUM(K46:R46)</x:f>
        <x:v>148463.9306368025</x:v>
      </x:c>
      <x:c r="T46" s="152" t="n">
        <x:f>J46-S46</x:f>
        <x:v>59662.929029428575</x:v>
      </x:c>
      <x:c r="U46" s="152" t="n">
        <x:f>T46+U45</x:f>
        <x:v>193806.34333015143</x:v>
      </x:c>
      <x:c r="V46" s="152" t="n">
        <x:f>T46/(1+'Supuestos nuevos'!$B$33)^(A46/12)</x:f>
        <x:v>30114.44735785942</x:v>
      </x:c>
    </x:row>
    <x:row r="47" ht="42" customHeight="1">
      <x:c r="A47" s="147" t="n">
        <x:f>46</x:f>
        <x:v>46</x:v>
      </x:c>
      <x:c r="B47" s="147" t="n">
        <x:f>ROUNDUP(A47/12,0)</x:f>
        <x:v>4</x:v>
      </x:c>
      <x:c r="C47" s="152" t="n">
        <x:f>IF(A47&gt;='Supuestos nuevos'!$B$2,CHOOSE(MIN(3,1+INT((A47-'Supuestos nuevos'!$B$2)/12)),'Supuestos nuevos'!$B$34,'Supuestos nuevos'!$B$35,'Supuestos nuevos'!$B$36)/12,0)</x:f>
        <x:v>140</x:v>
      </x:c>
      <x:c r="D47" s="152" t="n">
        <x:f>D46*'Supuestos nuevos'!$B$17+C47</x:f>
        <x:v>1119.7051668291954</x:v>
      </x:c>
      <x:c r="E47" s="152" t="n">
        <x:f>MAX(0,D47*'Supuestos nuevos'!$B$18-2*C47)</x:f>
        <x:v>4198.8206673167815</x:v>
      </x:c>
      <x:c r="F47" s="152" t="n">
        <x:f>IF(A47&gt;='Supuestos nuevos'!$B$2,CHOOSE(MIN(3,1+INT((A47-'Supuestos nuevos'!$B$2)/12)),'Supuestos nuevos'!$B$37,'Supuestos nuevos'!$B$38,'Supuestos nuevos'!$B$39)/12,0)</x:f>
        <x:v>2</x:v>
      </x:c>
      <x:c r="G47" s="152" t="n">
        <x:f>IF(A47='Supuestos nuevos'!$B$2-1,'Supuestos nuevos'!$B$51,IF(A47&gt;='Supuestos nuevos'!$B$2,ROUNDUP(MAX(0,C47+F47-I46),0),0))</x:f>
        <x:v>142</x:v>
      </x:c>
      <x:c r="H47" s="152" t="n">
        <x:f>ROUNDUP(G47/(1-'Supuestos nuevos'!$B$14),0)</x:f>
        <x:v>158</x:v>
      </x:c>
      <x:c r="I47" s="152" t="n">
        <x:f>I46+G47-C47-F47</x:f>
        <x:v>0.9999999999999432</x:v>
      </x:c>
      <x:c r="J47" s="152" t="n">
        <x:f>C47*'Supuestos nuevos'!$B$15+E47*'Supuestos nuevos'!$B$16</x:f>
        <x:v>216970.51668291952</x:v>
      </x:c>
      <x:c r="K47" s="152" t="n">
        <x:f>H47*(2*('Supuestos nuevos'!$B$19+'Supuestos nuevos'!$B$20)+'Supuestos nuevos'!$B$21+'Supuestos nuevos'!$B$22+2*('Supuestos nuevos'!$B$23+'Supuestos nuevos'!$B$24)+'Supuestos nuevos'!$B$25)</x:f>
        <x:v>31532.059999999998</x:v>
      </x:c>
      <x:c r="L47" s="152" t="n">
        <x:f>H47*(((2*('Supuestos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nuevos'!$B$29)+IF(A47='Supuestos nuevos'!$B$2-1,'Supuestos nuevos'!$B$30,0)</x:f>
        <x:v>18325.551</x:v>
      </x:c>
      <x:c r="M47" s="152" t="n">
        <x:f>E47*(('Supuestos nuevos'!$B$23+'Supuestos nuevos'!$B$24)/(1-'Supuestos nuevos'!$B$14)+'Supuestos nuevos'!$B$31)</x:f>
        <x:v>65454.9488471716</x:v>
      </x:c>
      <x:c r="N47" s="152" t="n">
        <x:f>IF(A47&lt;='Supuestos nuevos'!$B$3,'Supuestos nuevos'!$B$4,0)</x:f>
        <x:v>0</x:v>
      </x:c>
      <x:c r="O47" s="152" t="n">
        <x:f>'Supuestos nuevos'!$B$5+'Supuestos nuevos'!$B$6</x:f>
        <x:v>2500</x:v>
      </x:c>
      <x:c r="P47" s="152" t="n">
        <x:f>IF(AND(A47&gt;=2,A47&lt;=12),'Supuestos nuevos'!$B$7/11,0)+IF(AND(A47&gt;=3,A47&lt;=12),SUM('Supuestos nuevos'!$B$8:$B$10)/10,0)+IF(AND(A47&gt;=7,A47&lt;='Supuestos nuevos'!$B$3),SUM('Supuestos nuevos'!$B$11:$B$12)/('Supuestos nuevos'!$B$3-6),0)</x:f>
        <x:v>0</x:v>
      </x:c>
      <x:c r="Q47" s="152" t="n">
        <x:f>(P47+'Supuestos nuevos'!$B$6)*'Supuestos nuevos'!$B$13</x:f>
        <x:v>50</x:v>
      </x:c>
      <x:c r="R47" s="152" t="n">
        <x:f>J47*'Supuestos nuevos'!$B$32+IF(A47&gt;='Supuestos nuevos'!$B$2,CHOOSE(MIN(3,1+INT((A47-'Supuestos nuevos'!$B$2)/12)),'Supuestos nuevos'!$B$45,'Supuestos nuevos'!$B$46,'Supuestos nuevos'!$B$47)+CHOOSE(MIN(3,1+INT((A47-'Supuestos nuevos'!$B$2)/12)),'Supuestos nuevos'!$B$48,'Supuestos nuevos'!$B$49,'Supuestos nuevos'!$B$50)+CHOOSE(MIN(3,1+INT((A47-'Supuestos nuevos'!$B$2)/12)),'Supuestos nuevos'!$B$40,'Supuestos nuevos'!$B$41,'Supuestos nuevos'!$B$42)/12+D47*'Supuestos nuevos'!$B$43/100*'Supuestos nuevos'!$B$44,0)</x:f>
        <x:v>37339.25480778894</x:v>
      </x:c>
      <x:c r="S47" s="152" t="n">
        <x:f>SUM(K47:R47)</x:f>
        <x:v>155201.81465496053</x:v>
      </x:c>
      <x:c r="T47" s="152" t="n">
        <x:f>J47-S47</x:f>
        <x:v>61768.70202795899</x:v>
      </x:c>
      <x:c r="U47" s="152" t="n">
        <x:f>T47+U46</x:f>
        <x:v>255575.04535811042</x:v>
      </x:c>
      <x:c r="V47" s="152" t="n">
        <x:f>T47/(1+'Supuestos nuevos'!$B$33)^(A47/12)</x:f>
        <x:v>30707.210461210838</x:v>
      </x:c>
    </x:row>
    <x:row r="48" ht="42" customHeight="1">
      <x:c r="A48" s="147" t="n">
        <x:f>47</x:f>
        <x:v>47</x:v>
      </x:c>
      <x:c r="B48" s="147" t="n">
        <x:f>ROUNDUP(A48/12,0)</x:f>
        <x:v>4</x:v>
      </x:c>
      <x:c r="C48" s="152" t="n">
        <x:f>IF(A48&gt;='Supuestos nuevos'!$B$2,CHOOSE(MIN(3,1+INT((A48-'Supuestos nuevos'!$B$2)/12)),'Supuestos nuevos'!$B$34,'Supuestos nuevos'!$B$35,'Supuestos nuevos'!$B$36)/12,0)</x:f>
        <x:v>140</x:v>
      </x:c>
      <x:c r="D48" s="152" t="n">
        <x:f>D47*'Supuestos nuevos'!$B$17+C48</x:f>
        <x:v>1203.7199084877357</x:v>
      </x:c>
      <x:c r="E48" s="152" t="n">
        <x:f>MAX(0,D48*'Supuestos nuevos'!$B$18-2*C48)</x:f>
        <x:v>4534.879633950943</x:v>
      </x:c>
      <x:c r="F48" s="152" t="n">
        <x:f>IF(A48&gt;='Supuestos nuevos'!$B$2,CHOOSE(MIN(3,1+INT((A48-'Supuestos nuevos'!$B$2)/12)),'Supuestos nuevos'!$B$37,'Supuestos nuevos'!$B$38,'Supuestos nuevos'!$B$39)/12,0)</x:f>
        <x:v>2</x:v>
      </x:c>
      <x:c r="G48" s="152" t="n">
        <x:f>IF(A48='Supuestos nuevos'!$B$2-1,'Supuestos nuevos'!$B$51,IF(A48&gt;='Supuestos nuevos'!$B$2,ROUNDUP(MAX(0,C48+F48-I47),0),0))</x:f>
        <x:v>142</x:v>
      </x:c>
      <x:c r="H48" s="152" t="n">
        <x:f>ROUNDUP(G48/(1-'Supuestos nuevos'!$B$14),0)</x:f>
        <x:v>158</x:v>
      </x:c>
      <x:c r="I48" s="152" t="n">
        <x:f>I47+G48-C48-F48</x:f>
        <x:v>0.9999999999999432</x:v>
      </x:c>
      <x:c r="J48" s="152" t="n">
        <x:f>C48*'Supuestos nuevos'!$B$15+E48*'Supuestos nuevos'!$B$16</x:f>
        <x:v>225371.99084877357</x:v>
      </x:c>
      <x:c r="K48" s="152" t="n">
        <x:f>H48*(2*('Supuestos nuevos'!$B$19+'Supuestos nuevos'!$B$20)+'Supuestos nuevos'!$B$21+'Supuestos nuevos'!$B$22+2*('Supuestos nuevos'!$B$23+'Supuestos nuevos'!$B$24)+'Supuestos nuevos'!$B$25)</x:f>
        <x:v>31532.059999999998</x:v>
      </x:c>
      <x:c r="L48" s="152" t="n">
        <x:f>H48*(((2*('Supuestos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nuevos'!$B$29)+IF(A48='Supuestos nuevos'!$B$2-1,'Supuestos nuevos'!$B$30,0)</x:f>
        <x:v>18325.551</x:v>
      </x:c>
      <x:c r="M48" s="152" t="n">
        <x:f>E48*(('Supuestos nuevos'!$B$23+'Supuestos nuevos'!$B$24)/(1-'Supuestos nuevos'!$B$14)+'Supuestos nuevos'!$B$31)</x:f>
        <x:v>70693.73473814636</x:v>
      </x:c>
      <x:c r="N48" s="152" t="n">
        <x:f>IF(A48&lt;='Supuestos nuevos'!$B$3,'Supuestos nuevos'!$B$4,0)</x:f>
        <x:v>0</x:v>
      </x:c>
      <x:c r="O48" s="152" t="n">
        <x:f>'Supuestos nuevos'!$B$5+'Supuestos nuevos'!$B$6</x:f>
        <x:v>2500</x:v>
      </x:c>
      <x:c r="P48" s="152" t="n">
        <x:f>IF(AND(A48&gt;=2,A48&lt;=12),'Supuestos nuevos'!$B$7/11,0)+IF(AND(A48&gt;=3,A48&lt;=12),SUM('Supuestos nuevos'!$B$8:$B$10)/10,0)+IF(AND(A48&gt;=7,A48&lt;='Supuestos nuevos'!$B$3),SUM('Supuestos nuevos'!$B$11:$B$12)/('Supuestos nuevos'!$B$3-6),0)</x:f>
        <x:v>0</x:v>
      </x:c>
      <x:c r="Q48" s="152" t="n">
        <x:f>(P48+'Supuestos nuevos'!$B$6)*'Supuestos nuevos'!$B$13</x:f>
        <x:v>50</x:v>
      </x:c>
      <x:c r="R48" s="152" t="n">
        <x:f>J48*'Supuestos nuevos'!$B$32+IF(A48&gt;='Supuestos nuevos'!$B$2,CHOOSE(MIN(3,1+INT((A48-'Supuestos nuevos'!$B$2)/12)),'Supuestos nuevos'!$B$45,'Supuestos nuevos'!$B$46,'Supuestos nuevos'!$B$47)+CHOOSE(MIN(3,1+INT((A48-'Supuestos nuevos'!$B$2)/12)),'Supuestos nuevos'!$B$48,'Supuestos nuevos'!$B$49,'Supuestos nuevos'!$B$50)+CHOOSE(MIN(3,1+INT((A48-'Supuestos nuevos'!$B$2)/12)),'Supuestos nuevos'!$B$40,'Supuestos nuevos'!$B$41,'Supuestos nuevos'!$B$42)/12+D48*'Supuestos nuevos'!$B$43/100*'Supuestos nuevos'!$B$44,0)</x:f>
        <x:v>38501.45873406429</x:v>
      </x:c>
      <x:c r="S48" s="152" t="n">
        <x:f>SUM(K48:R48)</x:f>
        <x:v>161602.80447221064</x:v>
      </x:c>
      <x:c r="T48" s="152" t="n">
        <x:f>J48-S48</x:f>
        <x:v>63769.186376562924</x:v>
      </x:c>
      <x:c r="U48" s="152" t="n">
        <x:f>T48+U47</x:f>
        <x:v>319344.2317346734</x:v>
      </x:c>
      <x:c r="V48" s="152" t="n">
        <x:f>T48/(1+'Supuestos nuevos'!$B$33)^(A48/12)</x:f>
        <x:v>31223.697364094707</x:v>
      </x:c>
    </x:row>
    <x:row r="49" ht="42" customHeight="1">
      <x:c r="A49" s="147" t="n">
        <x:f>48</x:f>
        <x:v>48</x:v>
      </x:c>
      <x:c r="B49" s="147" t="n">
        <x:f>ROUNDUP(A49/12,0)</x:f>
        <x:v>4</x:v>
      </x:c>
      <x:c r="C49" s="152" t="n">
        <x:f>IF(A49&gt;='Supuestos nuevos'!$B$2,CHOOSE(MIN(3,1+INT((A49-'Supuestos nuevos'!$B$2)/12)),'Supuestos nuevos'!$B$34,'Supuestos nuevos'!$B$35,'Supuestos nuevos'!$B$36)/12,0)</x:f>
        <x:v>140</x:v>
      </x:c>
      <x:c r="D49" s="152" t="n">
        <x:f>D48*'Supuestos nuevos'!$B$17+C49</x:f>
        <x:v>1283.5339130633488</x:v>
      </x:c>
      <x:c r="E49" s="152" t="n">
        <x:f>MAX(0,D49*'Supuestos nuevos'!$B$18-2*C49)</x:f>
        <x:v>4854.135652253395</x:v>
      </x:c>
      <x:c r="F49" s="152" t="n">
        <x:f>IF(A49&gt;='Supuestos nuevos'!$B$2,CHOOSE(MIN(3,1+INT((A49-'Supuestos nuevos'!$B$2)/12)),'Supuestos nuevos'!$B$37,'Supuestos nuevos'!$B$38,'Supuestos nuevos'!$B$39)/12,0)</x:f>
        <x:v>2</x:v>
      </x:c>
      <x:c r="G49" s="152" t="n">
        <x:f>IF(A49='Supuestos nuevos'!$B$2-1,'Supuestos nuevos'!$B$51,IF(A49&gt;='Supuestos nuevos'!$B$2,ROUNDUP(MAX(0,C49+F49-I48),0),0))</x:f>
        <x:v>142</x:v>
      </x:c>
      <x:c r="H49" s="152" t="n">
        <x:f>ROUNDUP(G49/(1-'Supuestos nuevos'!$B$14),0)</x:f>
        <x:v>158</x:v>
      </x:c>
      <x:c r="I49" s="152" t="n">
        <x:f>I48+G49-C49-F49</x:f>
        <x:v>0.9999999999999432</x:v>
      </x:c>
      <x:c r="J49" s="152" t="n">
        <x:f>C49*'Supuestos nuevos'!$B$15+E49*'Supuestos nuevos'!$B$16</x:f>
        <x:v>233353.39130633487</x:v>
      </x:c>
      <x:c r="K49" s="152" t="n">
        <x:f>H49*(2*('Supuestos nuevos'!$B$19+'Supuestos nuevos'!$B$20)+'Supuestos nuevos'!$B$21+'Supuestos nuevos'!$B$22+2*('Supuestos nuevos'!$B$23+'Supuestos nuevos'!$B$24)+'Supuestos nuevos'!$B$25)</x:f>
        <x:v>31532.059999999998</x:v>
      </x:c>
      <x:c r="L49" s="152" t="n">
        <x:f>H49*(((2*('Supuestos nuevos'!$B$19+'Supuestos nuevos'!$B$20)+'Supuestos nuevos'!$B$21+'Supuestos nuevos'!$B$22+'Supuestos nuevos'!$B$25)+'Supuestos nuevos'!$B$26+'Supuestos nuevos'!$B$27)*'Supuestos nuevos'!$B$28+'Supuestos nuevos'!$B$26+'Supuestos nuevos'!$B$27+'Supuestos nuevos'!$B$29)+IF(A49='Supuestos nuevos'!$B$2-1,'Supuestos nuevos'!$B$30,0)</x:f>
        <x:v>18325.551</x:v>
      </x:c>
      <x:c r="M49" s="152" t="n">
        <x:f>E49*(('Supuestos nuevos'!$B$23+'Supuestos nuevos'!$B$24)/(1-'Supuestos nuevos'!$B$14)+'Supuestos nuevos'!$B$31)</x:f>
        <x:v>75670.58133457237</x:v>
      </x:c>
      <x:c r="N49" s="152" t="n">
        <x:f>IF(A49&lt;='Supuestos nuevos'!$B$3,'Supuestos nuevos'!$B$4,0)</x:f>
        <x:v>0</x:v>
      </x:c>
      <x:c r="O49" s="152" t="n">
        <x:f>'Supuestos nuevos'!$B$5+'Supuestos nuevos'!$B$6</x:f>
        <x:v>2500</x:v>
      </x:c>
      <x:c r="P49" s="152" t="n">
        <x:f>IF(AND(A49&gt;=2,A49&lt;=12),'Supuestos nuevos'!$B$7/11,0)+IF(AND(A49&gt;=3,A49&lt;=12),SUM('Supuestos nuevos'!$B$8:$B$10)/10,0)+IF(AND(A49&gt;=7,A49&lt;='Supuestos nuevos'!$B$3),SUM('Supuestos nuevos'!$B$11:$B$12)/('Supuestos nuevos'!$B$3-6),0)</x:f>
        <x:v>0</x:v>
      </x:c>
      <x:c r="Q49" s="152" t="n">
        <x:f>(P49+'Supuestos nuevos'!$B$6)*'Supuestos nuevos'!$B$13</x:f>
        <x:v>50</x:v>
      </x:c>
      <x:c r="R49" s="152" t="n">
        <x:f>J49*'Supuestos nuevos'!$B$32+IF(A49&gt;='Supuestos nuevos'!$B$2,CHOOSE(MIN(3,1+INT((A49-'Supuestos nuevos'!$B$2)/12)),'Supuestos nuevos'!$B$45,'Supuestos nuevos'!$B$46,'Supuestos nuevos'!$B$47)+CHOOSE(MIN(3,1+INT((A49-'Supuestos nuevos'!$B$2)/12)),'Supuestos nuevos'!$B$48,'Supuestos nuevos'!$B$49,'Supuestos nuevos'!$B$50)+CHOOSE(MIN(3,1+INT((A49-'Supuestos nuevos'!$B$2)/12)),'Supuestos nuevos'!$B$40,'Supuestos nuevos'!$B$41,'Supuestos nuevos'!$B$42)/12+D49*'Supuestos nuevos'!$B$43/100*'Supuestos nuevos'!$B$44,0)</x:f>
        <x:v>39605.55246402588</x:v>
      </x:c>
      <x:c r="S49" s="152" t="n">
        <x:f>SUM(K49:R49)</x:f>
        <x:v>167683.74479859826</x:v>
      </x:c>
      <x:c r="T49" s="152" t="n">
        <x:f>J49-S49</x:f>
        <x:v>65669.64650773662</x:v>
      </x:c>
      <x:c r="U49" s="152" t="n">
        <x:f>T49+U48</x:f>
        <x:v>385013.87824241</x:v>
      </x:c>
      <x:c r="V49" s="152" t="n">
        <x:f>T49/(1+'Supuestos nuevos'!$B$33)^(A49/12)</x:f>
        <x:v>31669.389712450145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65" hidden="0" customWidth="1"/>
  </x:cols>
  <x:sheetData>
    <x:row r="1" ht="42" customHeight="1">
      <x:c r="A1" s="150" t="str">
        <x:v>Indicador</x:v>
      </x:c>
      <x:c r="B1" s="150" t="str">
        <x:v>Valor</x:v>
      </x:c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42" customHeight="1">
      <x:c r="A2" s="147" t="str">
        <x:v>Capital mínimo USD</x:v>
      </x:c>
      <x:c r="B2" s="152" t="n">
        <x:f>MAX(0,-MIN('Flujo mensual nuevo'!U2:U49))</x:f>
        <x:v>373342.10400000005</x:v>
      </x:c>
    </x:row>
    <x:row r="3" ht="42" customHeight="1">
      <x:c r="A3" s="147" t="str">
        <x:v>VAN USD</x:v>
      </x:c>
      <x:c r="B3" s="152" t="n">
        <x:f>SUM('Flujo mensual nuevo'!V2:V49)</x:f>
        <x:v>99564.11293084506</x:v>
      </x:c>
    </x:row>
    <x:row r="4" ht="42" customHeight="1">
      <x:c r="A4" s="147" t="str">
        <x:v>TIR anual</x:v>
      </x:c>
      <x:c r="B4" s="153" t="n">
        <x:f>(1+IRR('Flujo mensual nuevo'!T2:T49))^12-1</x:f>
        <x:v>0.34591787829557674</x:v>
      </x:c>
    </x:row>
    <x:row r="5" ht="42" customHeight="1">
      <x:c r="A5" s="147" t="str">
        <x:v>Egresos año 1 USD</x:v>
      </x:c>
      <x:c r="B5" s="152" t="n">
        <x:f>SUM('Flujo mensual nuevo'!S2:S13)</x:f>
        <x:v>233199.99999999997</x:v>
      </x:c>
    </x:row>
    <x:row r="6" ht="42" customHeight="1">
      <x:c r="A6" s="147" t="str">
        <x:v>Egresos meses 13–18 USD</x:v>
      </x:c>
      <x:c r="B6" s="152" t="n">
        <x:f>SUM('Flujo mensual nuevo'!S14:S19)</x:f>
        <x:v>140142.104</x:v>
      </x:c>
    </x:row>
    <x:row r="7" ht="42" customHeight="1">
      <x:c r="A7" s="147" t="str">
        <x:v>Costo directo kit USD</x:v>
      </x:c>
      <x:c r="B7" s="152" t="n">
        <x:f>(2*('Supuestos nuevos'!$B$19+'Supuestos nuevos'!$B$20)+'Supuestos nuevos'!$B$21+'Supuestos nuevos'!$B$22+2*('Supuestos nuevos'!$B$23+'Supuestos nuevos'!$B$24)+'Supuestos nuevos'!$B$25)</x:f>
        <x:v>199.57</x:v>
      </x:c>
    </x:row>
    <x:row r="8" ht="42" customHeight="1">
      <x:c r="A8" s="147" t="str">
        <x:v>Lanzamiento mes</x:v>
      </x:c>
      <x:c r="B8" s="147" t="n">
        <x:v>19</x:v>
      </x:c>
    </x:row>
    <x:row r="9" ht="42" customHeight="1">
      <x:c r="A9" s="147"/>
      <x:c r="B9" s="147"/>
    </x:row>
    <x:row r="10" ht="42" customHeight="1">
      <x:c r="A10" s="147" t="str">
        <x:v>Conciliación previa</x:v>
      </x:c>
      <x:c r="B10" s="147" t="str">
        <x:v>USD</x:v>
      </x:c>
    </x:row>
    <x:row r="11" ht="42" customHeight="1">
      <x:c r="A11" s="147" t="str">
        <x:v>Informe previo</x:v>
      </x:c>
      <x:c r="B11" s="147" t="n">
        <x:v>228303.06</x:v>
      </x:c>
    </x:row>
    <x:row r="12" ht="42" customHeight="1">
      <x:c r="A12" s="147" t="str">
        <x:v>Excel previo calculado</x:v>
      </x:c>
      <x:c r="B12" s="147" t="n">
        <x:v>199200</x:v>
      </x:c>
    </x:row>
    <x:row r="13" ht="42" customHeight="1">
      <x:c r="A13" s="147" t="str">
        <x:v>Diferencia previa</x:v>
      </x:c>
      <x:c r="B13" s="147" t="n">
        <x:v>29103.06</x:v>
      </x:c>
    </x:row>
    <x:row r="14" ht="42" customHeight="1">
      <x:c r="A14" s="147" t="str">
        <x:v>Modelo financiero vigente</x:v>
      </x:c>
      <x:c r="B14" s="147" t="str">
        <x:v>Supuestos nuevos + Flujo mensual nuevo</x:v>
      </x:c>
    </x:row>
    <x:row r="15" ht="42" customHeight="1">
      <x:c r="A15" s="147" t="str">
        <x:v>Alcance</x:v>
      </x:c>
      <x:c r="B15" s="147" t="str">
        <x:v>Las cuatro hojas anteriores conservan antecedentes; sus indicadores no corresponden al nuevo producto</x:v>
      </x:c>
    </x:row>
    <x:row r="20">
      <x:c r="A20" t="str">
        <x:v>Conciliación previa</x:v>
      </x:c>
      <x:c r="B20" t="str">
        <x:v>USD</x:v>
      </x:c>
      <x:c r="C20" t="str">
        <x:v>Causa</x:v>
      </x:c>
    </x:row>
    <x:row r="21">
      <x:c r="A21" t="str">
        <x:v>Prototipos</x:v>
      </x:c>
      <x:c r="B21" t="n">
        <x:v>1200</x:v>
      </x:c>
      <x:c r="C21" t="str">
        <x:v>12000 previstos; 10800 distribuidos</x:v>
      </x:c>
    </x:row>
    <x:row r="22">
      <x:c r="A22" t="str">
        <x:v>Bioquímica</x:v>
      </x:c>
      <x:c r="B22" t="n">
        <x:v>12000</x:v>
      </x:c>
      <x:c r="C22" t="str">
        <x:v>Sin distribución</x:v>
      </x:c>
    </x:row>
    <x:row r="23">
      <x:c r="A23" t="str">
        <x:v>Consultas</x:v>
      </x:c>
      <x:c r="B23" t="n">
        <x:v>-14000</x:v>
      </x:c>
      <x:c r="C23" t="str">
        <x:v>10000 previstos; 24000 distribuidos</x:v>
      </x:c>
    </x:row>
    <x:row r="24">
      <x:c r="A24" t="str">
        <x:v>QA</x:v>
      </x:c>
      <x:c r="B24" t="n">
        <x:v>8000</x:v>
      </x:c>
      <x:c r="C24" t="str">
        <x:v>Sin distribución</x:v>
      </x:c>
    </x:row>
    <x:row r="25">
      <x:c r="A25" t="str">
        <x:v>Reserva</x:v>
      </x:c>
      <x:c r="B25" t="n">
        <x:v>4800</x:v>
      </x:c>
      <x:c r="C25" t="str">
        <x:v>Sin distribución</x:v>
      </x:c>
    </x:row>
    <x:row r="26">
      <x:c r="A26" t="str">
        <x:v>Preserie</x:v>
      </x:c>
      <x:c r="B26" t="n">
        <x:v>17103.06</x:v>
      </x:c>
      <x:c r="C26" t="str">
        <x:v>Omitida de egresos</x:v>
      </x:c>
    </x:row>
    <x:row r="27">
      <x:c r="A27" t="str">
        <x:v>Total diferencia</x:v>
      </x:c>
      <x:c r="B27" t="n">
        <x:v>29103.06</x:v>
      </x:c>
      <x:c r="C27" t="str">
        <x:v>228303.06 menos 199200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5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55" hidden="0" customWidth="1"/>
    <x:col min="13" max="13" width="55" hidden="0" customWidth="1"/>
  </x:cols>
  <x:sheetData>
    <x:row r="1" ht="42" customHeight="1">
      <x:c r="A1" s="150" t="str">
        <x:v>ID</x:v>
      </x:c>
      <x:c r="B1" s="150" t="str">
        <x:v>Producto</x:v>
      </x:c>
      <x:c r="C1" s="150" t="str">
        <x:v>Tarea</x:v>
      </x:c>
      <x:c r="D1" s="150" t="str">
        <x:v>Mes</x:v>
      </x:c>
      <x:c r="E1" s="150" t="str">
        <x:v>Sprint</x:v>
      </x:c>
      <x:c r="F1" s="150" t="str">
        <x:v>Responsable</x:v>
      </x:c>
      <x:c r="G1" s="150" t="str">
        <x:v>Dependencia</x:v>
      </x:c>
      <x:c r="H1" s="150" t="str">
        <x:v>Ing. software h</x:v>
      </x:c>
      <x:c r="I1" s="150" t="str">
        <x:v>Ing. embebidos h</x:v>
      </x:c>
      <x:c r="J1" s="150" t="str">
        <x:v>Técnico QA h</x:v>
      </x:c>
      <x:c r="K1" s="150" t="str">
        <x:v>Técnico laboratorio h</x:v>
      </x:c>
      <x:c r="L1" s="150" t="str">
        <x:v>Entregable</x:v>
      </x:c>
      <x:c r="M1" s="150" t="str">
        <x:v>Aceptación</x:v>
      </x:c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42" customHeight="1">
      <x:c r="A2" s="147" t="str">
        <x:v>T011</x:v>
      </x:c>
      <x:c r="B2" s="147" t="str">
        <x:v>Parche descartable</x:v>
      </x:c>
      <x:c r="C2" s="147" t="str">
        <x:v>Requisitos y rangos: preparación/ejecución</x:v>
      </x:c>
      <x:c r="D2" s="147" t="n">
        <x:v>1</x:v>
      </x:c>
      <x:c r="E2" s="147" t="n">
        <x:v>1</x:v>
      </x:c>
      <x:c r="F2" s="147" t="str">
        <x:v>Técnico laboratorio</x:v>
      </x:c>
      <x:c r="G2" s="147" t="str">
        <x:v>Inicio</x:v>
      </x:c>
      <x:c r="H2" s="147" t="n">
        <x:v>6.4</x:v>
      </x:c>
      <x:c r="I2" s="147" t="n">
        <x:v>6.4</x:v>
      </x:c>
      <x:c r="J2" s="147" t="n">
        <x:v>6.4</x:v>
      </x:c>
      <x:c r="K2" s="147" t="n">
        <x:v>44.800000000000004</x:v>
      </x:c>
      <x:c r="L2" s="147" t="str">
        <x:v>Muestras y protocolo por lote</x:v>
      </x:c>
      <x:c r="M2" s="147" t="str">
        <x:v>Evidencia contra requisito del ciclo; revisión cruzada y desvíos críticos documentados</x:v>
      </x:c>
    </x:row>
    <x:row r="3" ht="42" customHeight="1">
      <x:c r="A3" s="147" t="str">
        <x:v>T012</x:v>
      </x:c>
      <x:c r="B3" s="147" t="str">
        <x:v>Lector reutilizable</x:v>
      </x:c>
      <x:c r="C3" s="147" t="str">
        <x:v>Interfaces ópticas y eléctricas: preparación/ejecución</x:v>
      </x:c>
      <x:c r="D3" s="147" t="n">
        <x:v>1</x:v>
      </x:c>
      <x:c r="E3" s="147" t="n">
        <x:v>1</x:v>
      </x:c>
      <x:c r="F3" s="147" t="str">
        <x:v>Ing. embebidos</x:v>
      </x:c>
      <x:c r="G3" s="147" t="str">
        <x:v>Inicio</x:v>
      </x:c>
      <x:c r="H3" s="147" t="n">
        <x:v>6.4</x:v>
      </x:c>
      <x:c r="I3" s="147" t="n">
        <x:v>44.800000000000004</x:v>
      </x:c>
      <x:c r="J3" s="147" t="n">
        <x:v>6.4</x:v>
      </x:c>
      <x:c r="K3" s="147" t="n">
        <x:v>6.4</x:v>
      </x:c>
      <x:c r="L3" s="147" t="str">
        <x:v>Versión de PCB/firmware y mediciones</x:v>
      </x:c>
      <x:c r="M3" s="147" t="str">
        <x:v>Evidencia contra requisito del ciclo; revisión cruzada y desvíos críticos documentados</x:v>
      </x:c>
    </x:row>
    <x:row r="4" ht="42" customHeight="1">
      <x:c r="A4" s="147" t="str">
        <x:v>T013</x:v>
      </x:c>
      <x:c r="B4" s="147" t="str">
        <x:v>Pulsera</x:v>
      </x:c>
      <x:c r="C4" s="147" t="str">
        <x:v>Requisitos de sensores y LED: preparación/ejecución</x:v>
      </x:c>
      <x:c r="D4" s="147" t="n">
        <x:v>1</x:v>
      </x:c>
      <x:c r="E4" s="147" t="n">
        <x:v>1</x:v>
      </x:c>
      <x:c r="F4" s="147" t="str">
        <x:v>Técnico QA</x:v>
      </x:c>
      <x:c r="G4" s="147" t="str">
        <x:v>Inicio</x:v>
      </x:c>
      <x:c r="H4" s="147" t="n">
        <x:v>6.4</x:v>
      </x:c>
      <x:c r="I4" s="147" t="n">
        <x:v>6.4</x:v>
      </x:c>
      <x:c r="J4" s="147" t="n">
        <x:v>44.800000000000004</x:v>
      </x:c>
      <x:c r="K4" s="147" t="n">
        <x:v>6.4</x:v>
      </x:c>
      <x:c r="L4" s="147" t="str">
        <x:v>Versión de pulsera y reporte</x:v>
      </x:c>
      <x:c r="M4" s="147" t="str">
        <x:v>Evidencia contra requisito del ciclo; revisión cruzada y desvíos críticos documentados</x:v>
      </x:c>
    </x:row>
    <x:row r="5" ht="42" customHeight="1">
      <x:c r="A5" s="147" t="str">
        <x:v>T014</x:v>
      </x:c>
      <x:c r="B5" s="147" t="str">
        <x:v>Aplicación</x:v>
      </x:c>
      <x:c r="C5" s="147" t="str">
        <x:v>Historias y datos: preparación/ejecución</x:v>
      </x:c>
      <x:c r="D5" s="147" t="n">
        <x:v>1</x:v>
      </x:c>
      <x:c r="E5" s="147" t="n">
        <x:v>1</x:v>
      </x:c>
      <x:c r="F5" s="147" t="str">
        <x:v>Ing. software</x:v>
      </x:c>
      <x:c r="G5" s="147" t="str">
        <x:v>Inicio</x:v>
      </x:c>
      <x:c r="H5" s="147" t="n">
        <x:v>44.800000000000004</x:v>
      </x:c>
      <x:c r="I5" s="147" t="n">
        <x:v>6.4</x:v>
      </x:c>
      <x:c r="J5" s="147" t="n">
        <x:v>6.4</x:v>
      </x:c>
      <x:c r="K5" s="147" t="n">
        <x:v>6.4</x:v>
      </x:c>
      <x:c r="L5" s="147" t="str">
        <x:v>Aplicación instalable y reporte</x:v>
      </x:c>
      <x:c r="M5" s="147" t="str">
        <x:v>Evidencia contra requisito del ciclo; revisión cruzada y desvíos críticos documentados</x:v>
      </x:c>
    </x:row>
    <x:row r="6" ht="42" customHeight="1">
      <x:c r="A6" s="147" t="str">
        <x:v>X01</x:v>
      </x:c>
      <x:c r="B6" s="147" t="str">
        <x:v>Transversal</x:v>
      </x:c>
      <x:c r="C6" s="147" t="str">
        <x:v>Coordinación, compras, QA, documentación</x:v>
      </x:c>
      <x:c r="D6" s="147" t="n">
        <x:v>1</x:v>
      </x:c>
      <x:c r="E6" s="147" t="n">
        <x:v>1</x:v>
      </x:c>
      <x:c r="F6" s="147" t="str">
        <x:v>Equipo; técnico laboratorio coordina</x:v>
      </x:c>
      <x:c r="G6" s="147" t="str">
        <x:v>Inicio</x:v>
      </x:c>
      <x:c r="H6" s="147" t="n">
        <x:v>16</x:v>
      </x:c>
      <x:c r="I6" s="147" t="n">
        <x:v>16</x:v>
      </x:c>
      <x:c r="J6" s="147" t="n">
        <x:v>16</x:v>
      </x:c>
      <x:c r="K6" s="147" t="n">
        <x:v>16</x:v>
      </x:c>
      <x:c r="L6" s="147" t="str">
        <x:v>Órdenes, actas, dossier y contactos</x:v>
      </x:c>
      <x:c r="M6" s="147" t="str">
        <x:v>Recepción trazable; revisión de riesgos; ensayos autorizados; siguiente acción con responsable</x:v>
      </x:c>
    </x:row>
    <x:row r="7" ht="42" customHeight="1">
      <x:c r="A7" s="147" t="str">
        <x:v>T021</x:v>
      </x:c>
      <x:c r="B7" s="147" t="str">
        <x:v>Parche descartable</x:v>
      </x:c>
      <x:c r="C7" s="147" t="str">
        <x:v>Requisitos y rangos: verificación/corrección</x:v>
      </x:c>
      <x:c r="D7" s="147" t="n">
        <x:v>1</x:v>
      </x:c>
      <x:c r="E7" s="147" t="n">
        <x:v>2</x:v>
      </x:c>
      <x:c r="F7" s="147" t="str">
        <x:v>Técnico laboratorio</x:v>
      </x:c>
      <x:c r="G7" s="147" t="str">
        <x:v>T011</x:v>
      </x:c>
      <x:c r="H7" s="147" t="n">
        <x:v>6.4</x:v>
      </x:c>
      <x:c r="I7" s="147" t="n">
        <x:v>6.4</x:v>
      </x:c>
      <x:c r="J7" s="147" t="n">
        <x:v>6.4</x:v>
      </x:c>
      <x:c r="K7" s="147" t="n">
        <x:v>44.800000000000004</x:v>
      </x:c>
      <x:c r="L7" s="147" t="str">
        <x:v>Muestras y protocolo por lote</x:v>
      </x:c>
      <x:c r="M7" s="147" t="str">
        <x:v>Evidencia contra requisito del ciclo; revisión cruzada y desvíos críticos documentados</x:v>
      </x:c>
    </x:row>
    <x:row r="8" ht="42" customHeight="1">
      <x:c r="A8" s="147" t="str">
        <x:v>T022</x:v>
      </x:c>
      <x:c r="B8" s="147" t="str">
        <x:v>Lector reutilizable</x:v>
      </x:c>
      <x:c r="C8" s="147" t="str">
        <x:v>Interfaces ópticas y eléctricas: verificación/corrección</x:v>
      </x:c>
      <x:c r="D8" s="147" t="n">
        <x:v>1</x:v>
      </x:c>
      <x:c r="E8" s="147" t="n">
        <x:v>2</x:v>
      </x:c>
      <x:c r="F8" s="147" t="str">
        <x:v>Ing. embebidos</x:v>
      </x:c>
      <x:c r="G8" s="147" t="str">
        <x:v>T012</x:v>
      </x:c>
      <x:c r="H8" s="147" t="n">
        <x:v>6.4</x:v>
      </x:c>
      <x:c r="I8" s="147" t="n">
        <x:v>44.800000000000004</x:v>
      </x:c>
      <x:c r="J8" s="147" t="n">
        <x:v>6.4</x:v>
      </x:c>
      <x:c r="K8" s="147" t="n">
        <x:v>6.4</x:v>
      </x:c>
      <x:c r="L8" s="147" t="str">
        <x:v>Versión de PCB/firmware y mediciones</x:v>
      </x:c>
      <x:c r="M8" s="147" t="str">
        <x:v>Evidencia contra requisito del ciclo; revisión cruzada y desvíos críticos documentados</x:v>
      </x:c>
    </x:row>
    <x:row r="9" ht="42" customHeight="1">
      <x:c r="A9" s="147" t="str">
        <x:v>T023</x:v>
      </x:c>
      <x:c r="B9" s="147" t="str">
        <x:v>Pulsera</x:v>
      </x:c>
      <x:c r="C9" s="147" t="str">
        <x:v>Requisitos de sensores y LED: verificación/corrección</x:v>
      </x:c>
      <x:c r="D9" s="147" t="n">
        <x:v>1</x:v>
      </x:c>
      <x:c r="E9" s="147" t="n">
        <x:v>2</x:v>
      </x:c>
      <x:c r="F9" s="147" t="str">
        <x:v>Técnico QA</x:v>
      </x:c>
      <x:c r="G9" s="147" t="str">
        <x:v>T013</x:v>
      </x:c>
      <x:c r="H9" s="147" t="n">
        <x:v>6.4</x:v>
      </x:c>
      <x:c r="I9" s="147" t="n">
        <x:v>6.4</x:v>
      </x:c>
      <x:c r="J9" s="147" t="n">
        <x:v>44.800000000000004</x:v>
      </x:c>
      <x:c r="K9" s="147" t="n">
        <x:v>6.4</x:v>
      </x:c>
      <x:c r="L9" s="147" t="str">
        <x:v>Versión de pulsera y reporte</x:v>
      </x:c>
      <x:c r="M9" s="147" t="str">
        <x:v>Evidencia contra requisito del ciclo; revisión cruzada y desvíos críticos documentados</x:v>
      </x:c>
    </x:row>
    <x:row r="10" ht="42" customHeight="1">
      <x:c r="A10" s="147" t="str">
        <x:v>T024</x:v>
      </x:c>
      <x:c r="B10" s="147" t="str">
        <x:v>Aplicación</x:v>
      </x:c>
      <x:c r="C10" s="147" t="str">
        <x:v>Historias y datos: verificación/corrección</x:v>
      </x:c>
      <x:c r="D10" s="147" t="n">
        <x:v>1</x:v>
      </x:c>
      <x:c r="E10" s="147" t="n">
        <x:v>2</x:v>
      </x:c>
      <x:c r="F10" s="147" t="str">
        <x:v>Ing. software</x:v>
      </x:c>
      <x:c r="G10" s="147" t="str">
        <x:v>T014</x:v>
      </x:c>
      <x:c r="H10" s="147" t="n">
        <x:v>44.800000000000004</x:v>
      </x:c>
      <x:c r="I10" s="147" t="n">
        <x:v>6.4</x:v>
      </x:c>
      <x:c r="J10" s="147" t="n">
        <x:v>6.4</x:v>
      </x:c>
      <x:c r="K10" s="147" t="n">
        <x:v>6.4</x:v>
      </x:c>
      <x:c r="L10" s="147" t="str">
        <x:v>Aplicación instalable y reporte</x:v>
      </x:c>
      <x:c r="M10" s="147" t="str">
        <x:v>Evidencia contra requisito del ciclo; revisión cruzada y desvíos críticos documentados</x:v>
      </x:c>
    </x:row>
    <x:row r="11" ht="42" customHeight="1">
      <x:c r="A11" s="147" t="str">
        <x:v>X02</x:v>
      </x:c>
      <x:c r="B11" s="147" t="str">
        <x:v>Transversal</x:v>
      </x:c>
      <x:c r="C11" s="147" t="str">
        <x:v>Coordinación, compras, QA, documentación</x:v>
      </x:c>
      <x:c r="D11" s="147" t="n">
        <x:v>1</x:v>
      </x:c>
      <x:c r="E11" s="147" t="n">
        <x:v>2</x:v>
      </x:c>
      <x:c r="F11" s="147" t="str">
        <x:v>Equipo; técnico laboratorio coordina</x:v>
      </x:c>
      <x:c r="G11" s="147" t="str">
        <x:v>X01</x:v>
      </x:c>
      <x:c r="H11" s="147" t="n">
        <x:v>16</x:v>
      </x:c>
      <x:c r="I11" s="147" t="n">
        <x:v>16</x:v>
      </x:c>
      <x:c r="J11" s="147" t="n">
        <x:v>16</x:v>
      </x:c>
      <x:c r="K11" s="147" t="n">
        <x:v>16</x:v>
      </x:c>
      <x:c r="L11" s="147" t="str">
        <x:v>Órdenes, actas, dossier y contactos</x:v>
      </x:c>
      <x:c r="M11" s="147" t="str">
        <x:v>Recepción trazable; revisión de riesgos; ensayos autorizados; siguiente acción con responsable</x:v>
      </x:c>
    </x:row>
    <x:row r="12" ht="42" customHeight="1">
      <x:c r="A12" s="147" t="str">
        <x:v>T031</x:v>
      </x:c>
      <x:c r="B12" s="147" t="str">
        <x:v>Parche descartable</x:v>
      </x:c>
      <x:c r="C12" s="147" t="str">
        <x:v>Materiales, reactivos y electrodos: preparación/ejecución</x:v>
      </x:c>
      <x:c r="D12" s="147" t="n">
        <x:v>2</x:v>
      </x:c>
      <x:c r="E12" s="147" t="n">
        <x:v>3</x:v>
      </x:c>
      <x:c r="F12" s="147" t="str">
        <x:v>Técnico laboratorio</x:v>
      </x:c>
      <x:c r="G12" s="147" t="str">
        <x:v>T021</x:v>
      </x:c>
      <x:c r="H12" s="147" t="n">
        <x:v>6.4</x:v>
      </x:c>
      <x:c r="I12" s="147" t="n">
        <x:v>6.4</x:v>
      </x:c>
      <x:c r="J12" s="147" t="n">
        <x:v>6.4</x:v>
      </x:c>
      <x:c r="K12" s="147" t="n">
        <x:v>44.800000000000004</x:v>
      </x:c>
      <x:c r="L12" s="147" t="str">
        <x:v>Muestras y protocolo por lote</x:v>
      </x:c>
      <x:c r="M12" s="147" t="str">
        <x:v>Evidencia contra requisito del ciclo; revisión cruzada y desvíos críticos documentados</x:v>
      </x:c>
    </x:row>
    <x:row r="13" ht="42" customHeight="1">
      <x:c r="A13" s="147" t="str">
        <x:v>T032</x:v>
      </x:c>
      <x:c r="B13" s="147" t="str">
        <x:v>Lector reutilizable</x:v>
      </x:c>
      <x:c r="C13" s="147" t="str">
        <x:v>Componentes y batería: preparación/ejecución</x:v>
      </x:c>
      <x:c r="D13" s="147" t="n">
        <x:v>2</x:v>
      </x:c>
      <x:c r="E13" s="147" t="n">
        <x:v>3</x:v>
      </x:c>
      <x:c r="F13" s="147" t="str">
        <x:v>Ing. embebidos</x:v>
      </x:c>
      <x:c r="G13" s="147" t="str">
        <x:v>T022</x:v>
      </x:c>
      <x:c r="H13" s="147" t="n">
        <x:v>6.4</x:v>
      </x:c>
      <x:c r="I13" s="147" t="n">
        <x:v>44.800000000000004</x:v>
      </x:c>
      <x:c r="J13" s="147" t="n">
        <x:v>6.4</x:v>
      </x:c>
      <x:c r="K13" s="147" t="n">
        <x:v>6.4</x:v>
      </x:c>
      <x:c r="L13" s="147" t="str">
        <x:v>Versión de PCB/firmware y mediciones</x:v>
      </x:c>
      <x:c r="M13" s="147" t="str">
        <x:v>Evidencia contra requisito del ciclo; revisión cruzada y desvíos críticos documentados</x:v>
      </x:c>
    </x:row>
    <x:row r="14" ht="42" customHeight="1">
      <x:c r="A14" s="147" t="str">
        <x:v>T033</x:v>
      </x:c>
      <x:c r="B14" s="147" t="str">
        <x:v>Pulsera</x:v>
      </x:c>
      <x:c r="C14" s="147" t="str">
        <x:v>PPG, IMU y batería: preparación/ejecución</x:v>
      </x:c>
      <x:c r="D14" s="147" t="n">
        <x:v>2</x:v>
      </x:c>
      <x:c r="E14" s="147" t="n">
        <x:v>3</x:v>
      </x:c>
      <x:c r="F14" s="147" t="str">
        <x:v>Técnico QA</x:v>
      </x:c>
      <x:c r="G14" s="147" t="str">
        <x:v>T023</x:v>
      </x:c>
      <x:c r="H14" s="147" t="n">
        <x:v>6.4</x:v>
      </x:c>
      <x:c r="I14" s="147" t="n">
        <x:v>6.4</x:v>
      </x:c>
      <x:c r="J14" s="147" t="n">
        <x:v>44.800000000000004</x:v>
      </x:c>
      <x:c r="K14" s="147" t="n">
        <x:v>6.4</x:v>
      </x:c>
      <x:c r="L14" s="147" t="str">
        <x:v>Versión de pulsera y reporte</x:v>
      </x:c>
      <x:c r="M14" s="147" t="str">
        <x:v>Evidencia contra requisito del ciclo; revisión cruzada y desvíos críticos documentados</x:v>
      </x:c>
    </x:row>
    <x:row r="15" ht="42" customHeight="1">
      <x:c r="A15" s="147" t="str">
        <x:v>T034</x:v>
      </x:c>
      <x:c r="B15" s="147" t="str">
        <x:v>Aplicación</x:v>
      </x:c>
      <x:c r="C15" s="147" t="str">
        <x:v>Contrato BLE y navegación: preparación/ejecución</x:v>
      </x:c>
      <x:c r="D15" s="147" t="n">
        <x:v>2</x:v>
      </x:c>
      <x:c r="E15" s="147" t="n">
        <x:v>3</x:v>
      </x:c>
      <x:c r="F15" s="147" t="str">
        <x:v>Ing. software</x:v>
      </x:c>
      <x:c r="G15" s="147" t="str">
        <x:v>T024</x:v>
      </x:c>
      <x:c r="H15" s="147" t="n">
        <x:v>44.800000000000004</x:v>
      </x:c>
      <x:c r="I15" s="147" t="n">
        <x:v>6.4</x:v>
      </x:c>
      <x:c r="J15" s="147" t="n">
        <x:v>6.4</x:v>
      </x:c>
      <x:c r="K15" s="147" t="n">
        <x:v>6.4</x:v>
      </x:c>
      <x:c r="L15" s="147" t="str">
        <x:v>Aplicación instalable y reporte</x:v>
      </x:c>
      <x:c r="M15" s="147" t="str">
        <x:v>Evidencia contra requisito del ciclo; revisión cruzada y desvíos críticos documentados</x:v>
      </x:c>
    </x:row>
    <x:row r="16" ht="42" customHeight="1">
      <x:c r="A16" s="147" t="str">
        <x:v>X03</x:v>
      </x:c>
      <x:c r="B16" s="147" t="str">
        <x:v>Transversal</x:v>
      </x:c>
      <x:c r="C16" s="147" t="str">
        <x:v>Coordinación, compras, QA, documentación</x:v>
      </x:c>
      <x:c r="D16" s="147" t="n">
        <x:v>2</x:v>
      </x:c>
      <x:c r="E16" s="147" t="n">
        <x:v>3</x:v>
      </x:c>
      <x:c r="F16" s="147" t="str">
        <x:v>Equipo; técnico laboratorio coordina</x:v>
      </x:c>
      <x:c r="G16" s="147" t="str">
        <x:v>X02</x:v>
      </x:c>
      <x:c r="H16" s="147" t="n">
        <x:v>16</x:v>
      </x:c>
      <x:c r="I16" s="147" t="n">
        <x:v>16</x:v>
      </x:c>
      <x:c r="J16" s="147" t="n">
        <x:v>16</x:v>
      </x:c>
      <x:c r="K16" s="147" t="n">
        <x:v>16</x:v>
      </x:c>
      <x:c r="L16" s="147" t="str">
        <x:v>Órdenes, actas, dossier y contactos</x:v>
      </x:c>
      <x:c r="M16" s="147" t="str">
        <x:v>Recepción trazable; revisión de riesgos; ensayos autorizados; siguiente acción con responsable</x:v>
      </x:c>
    </x:row>
    <x:row r="17" ht="42" customHeight="1">
      <x:c r="A17" s="147" t="str">
        <x:v>T041</x:v>
      </x:c>
      <x:c r="B17" s="147" t="str">
        <x:v>Parche descartable</x:v>
      </x:c>
      <x:c r="C17" s="147" t="str">
        <x:v>Materiales, reactivos y electrodos: verificación/corrección</x:v>
      </x:c>
      <x:c r="D17" s="147" t="n">
        <x:v>2</x:v>
      </x:c>
      <x:c r="E17" s="147" t="n">
        <x:v>4</x:v>
      </x:c>
      <x:c r="F17" s="147" t="str">
        <x:v>Técnico laboratorio</x:v>
      </x:c>
      <x:c r="G17" s="147" t="str">
        <x:v>T031</x:v>
      </x:c>
      <x:c r="H17" s="147" t="n">
        <x:v>6.4</x:v>
      </x:c>
      <x:c r="I17" s="147" t="n">
        <x:v>6.4</x:v>
      </x:c>
      <x:c r="J17" s="147" t="n">
        <x:v>6.4</x:v>
      </x:c>
      <x:c r="K17" s="147" t="n">
        <x:v>44.800000000000004</x:v>
      </x:c>
      <x:c r="L17" s="147" t="str">
        <x:v>Muestras y protocolo por lote</x:v>
      </x:c>
      <x:c r="M17" s="147" t="str">
        <x:v>Evidencia contra requisito del ciclo; revisión cruzada y desvíos críticos documentados</x:v>
      </x:c>
    </x:row>
    <x:row r="18" ht="42" customHeight="1">
      <x:c r="A18" s="147" t="str">
        <x:v>T042</x:v>
      </x:c>
      <x:c r="B18" s="147" t="str">
        <x:v>Lector reutilizable</x:v>
      </x:c>
      <x:c r="C18" s="147" t="str">
        <x:v>Componentes y batería: verificación/corrección</x:v>
      </x:c>
      <x:c r="D18" s="147" t="n">
        <x:v>2</x:v>
      </x:c>
      <x:c r="E18" s="147" t="n">
        <x:v>4</x:v>
      </x:c>
      <x:c r="F18" s="147" t="str">
        <x:v>Ing. embebidos</x:v>
      </x:c>
      <x:c r="G18" s="147" t="str">
        <x:v>T032</x:v>
      </x:c>
      <x:c r="H18" s="147" t="n">
        <x:v>6.4</x:v>
      </x:c>
      <x:c r="I18" s="147" t="n">
        <x:v>44.800000000000004</x:v>
      </x:c>
      <x:c r="J18" s="147" t="n">
        <x:v>6.4</x:v>
      </x:c>
      <x:c r="K18" s="147" t="n">
        <x:v>6.4</x:v>
      </x:c>
      <x:c r="L18" s="147" t="str">
        <x:v>Versión de PCB/firmware y mediciones</x:v>
      </x:c>
      <x:c r="M18" s="147" t="str">
        <x:v>Evidencia contra requisito del ciclo; revisión cruzada y desvíos críticos documentados</x:v>
      </x:c>
    </x:row>
    <x:row r="19" ht="42" customHeight="1">
      <x:c r="A19" s="147" t="str">
        <x:v>T043</x:v>
      </x:c>
      <x:c r="B19" s="147" t="str">
        <x:v>Pulsera</x:v>
      </x:c>
      <x:c r="C19" s="147" t="str">
        <x:v>PPG, IMU y batería: verificación/corrección</x:v>
      </x:c>
      <x:c r="D19" s="147" t="n">
        <x:v>2</x:v>
      </x:c>
      <x:c r="E19" s="147" t="n">
        <x:v>4</x:v>
      </x:c>
      <x:c r="F19" s="147" t="str">
        <x:v>Técnico QA</x:v>
      </x:c>
      <x:c r="G19" s="147" t="str">
        <x:v>T033</x:v>
      </x:c>
      <x:c r="H19" s="147" t="n">
        <x:v>6.4</x:v>
      </x:c>
      <x:c r="I19" s="147" t="n">
        <x:v>6.4</x:v>
      </x:c>
      <x:c r="J19" s="147" t="n">
        <x:v>44.800000000000004</x:v>
      </x:c>
      <x:c r="K19" s="147" t="n">
        <x:v>6.4</x:v>
      </x:c>
      <x:c r="L19" s="147" t="str">
        <x:v>Versión de pulsera y reporte</x:v>
      </x:c>
      <x:c r="M19" s="147" t="str">
        <x:v>Evidencia contra requisito del ciclo; revisión cruzada y desvíos críticos documentados</x:v>
      </x:c>
    </x:row>
    <x:row r="20" ht="42" customHeight="1">
      <x:c r="A20" s="147" t="str">
        <x:v>T044</x:v>
      </x:c>
      <x:c r="B20" s="147" t="str">
        <x:v>Aplicación</x:v>
      </x:c>
      <x:c r="C20" s="147" t="str">
        <x:v>Contrato BLE y navegación: verificación/corrección</x:v>
      </x:c>
      <x:c r="D20" s="147" t="n">
        <x:v>2</x:v>
      </x:c>
      <x:c r="E20" s="147" t="n">
        <x:v>4</x:v>
      </x:c>
      <x:c r="F20" s="147" t="str">
        <x:v>Ing. software</x:v>
      </x:c>
      <x:c r="G20" s="147" t="str">
        <x:v>T034</x:v>
      </x:c>
      <x:c r="H20" s="147" t="n">
        <x:v>44.800000000000004</x:v>
      </x:c>
      <x:c r="I20" s="147" t="n">
        <x:v>6.4</x:v>
      </x:c>
      <x:c r="J20" s="147" t="n">
        <x:v>6.4</x:v>
      </x:c>
      <x:c r="K20" s="147" t="n">
        <x:v>6.4</x:v>
      </x:c>
      <x:c r="L20" s="147" t="str">
        <x:v>Aplicación instalable y reporte</x:v>
      </x:c>
      <x:c r="M20" s="147" t="str">
        <x:v>Evidencia contra requisito del ciclo; revisión cruzada y desvíos críticos documentados</x:v>
      </x:c>
    </x:row>
    <x:row r="21" ht="42" customHeight="1">
      <x:c r="A21" s="147" t="str">
        <x:v>X04</x:v>
      </x:c>
      <x:c r="B21" s="147" t="str">
        <x:v>Transversal</x:v>
      </x:c>
      <x:c r="C21" s="147" t="str">
        <x:v>Coordinación, compras, QA, documentación</x:v>
      </x:c>
      <x:c r="D21" s="147" t="n">
        <x:v>2</x:v>
      </x:c>
      <x:c r="E21" s="147" t="n">
        <x:v>4</x:v>
      </x:c>
      <x:c r="F21" s="147" t="str">
        <x:v>Equipo; técnico laboratorio coordina</x:v>
      </x:c>
      <x:c r="G21" s="147" t="str">
        <x:v>X03</x:v>
      </x:c>
      <x:c r="H21" s="147" t="n">
        <x:v>16</x:v>
      </x:c>
      <x:c r="I21" s="147" t="n">
        <x:v>16</x:v>
      </x:c>
      <x:c r="J21" s="147" t="n">
        <x:v>16</x:v>
      </x:c>
      <x:c r="K21" s="147" t="n">
        <x:v>16</x:v>
      </x:c>
      <x:c r="L21" s="147" t="str">
        <x:v>Órdenes, actas, dossier y contactos</x:v>
      </x:c>
      <x:c r="M21" s="147" t="str">
        <x:v>Recepción trazable; revisión de riesgos; ensayos autorizados; siguiente acción con responsable</x:v>
      </x:c>
    </x:row>
    <x:row r="22" ht="42" customHeight="1">
      <x:c r="A22" s="147" t="str">
        <x:v>T051</x:v>
      </x:c>
      <x:c r="B22" s="147" t="str">
        <x:v>Parche descartable</x:v>
      </x:c>
      <x:c r="C22" s="147" t="str">
        <x:v>Canales y adhesivo: preparación/ejecución</x:v>
      </x:c>
      <x:c r="D22" s="147" t="n">
        <x:v>3</x:v>
      </x:c>
      <x:c r="E22" s="147" t="n">
        <x:v>5</x:v>
      </x:c>
      <x:c r="F22" s="147" t="str">
        <x:v>Técnico laboratorio</x:v>
      </x:c>
      <x:c r="G22" s="147" t="str">
        <x:v>T041</x:v>
      </x:c>
      <x:c r="H22" s="147" t="n">
        <x:v>6.4</x:v>
      </x:c>
      <x:c r="I22" s="147" t="n">
        <x:v>6.4</x:v>
      </x:c>
      <x:c r="J22" s="147" t="n">
        <x:v>6.4</x:v>
      </x:c>
      <x:c r="K22" s="147" t="n">
        <x:v>44.800000000000004</x:v>
      </x:c>
      <x:c r="L22" s="147" t="str">
        <x:v>Muestras y protocolo por lote</x:v>
      </x:c>
      <x:c r="M22" s="147" t="str">
        <x:v>Evidencia contra requisito del ciclo; revisión cruzada y desvíos críticos documentados</x:v>
      </x:c>
    </x:row>
    <x:row r="23" ht="42" customHeight="1">
      <x:c r="A23" s="147" t="str">
        <x:v>T052</x:v>
      </x:c>
      <x:c r="B23" s="147" t="str">
        <x:v>Lector reutilizable</x:v>
      </x:c>
      <x:c r="C23" s="147" t="str">
        <x:v>Esquema y PCB: preparación/ejecución</x:v>
      </x:c>
      <x:c r="D23" s="147" t="n">
        <x:v>3</x:v>
      </x:c>
      <x:c r="E23" s="147" t="n">
        <x:v>5</x:v>
      </x:c>
      <x:c r="F23" s="147" t="str">
        <x:v>Ing. embebidos</x:v>
      </x:c>
      <x:c r="G23" s="147" t="str">
        <x:v>T042</x:v>
      </x:c>
      <x:c r="H23" s="147" t="n">
        <x:v>6.4</x:v>
      </x:c>
      <x:c r="I23" s="147" t="n">
        <x:v>44.800000000000004</x:v>
      </x:c>
      <x:c r="J23" s="147" t="n">
        <x:v>6.4</x:v>
      </x:c>
      <x:c r="K23" s="147" t="n">
        <x:v>6.4</x:v>
      </x:c>
      <x:c r="L23" s="147" t="str">
        <x:v>Versión de PCB/firmware y mediciones</x:v>
      </x:c>
      <x:c r="M23" s="147" t="str">
        <x:v>Evidencia contra requisito del ciclo; revisión cruzada y desvíos críticos documentados</x:v>
      </x:c>
    </x:row>
    <x:row r="24" ht="42" customHeight="1">
      <x:c r="A24" s="147" t="str">
        <x:v>T053</x:v>
      </x:c>
      <x:c r="B24" s="147" t="str">
        <x:v>Pulsera</x:v>
      </x:c>
      <x:c r="C24" s="147" t="str">
        <x:v>Esquema y carcasa: preparación/ejecución</x:v>
      </x:c>
      <x:c r="D24" s="147" t="n">
        <x:v>3</x:v>
      </x:c>
      <x:c r="E24" s="147" t="n">
        <x:v>5</x:v>
      </x:c>
      <x:c r="F24" s="147" t="str">
        <x:v>Técnico QA</x:v>
      </x:c>
      <x:c r="G24" s="147" t="str">
        <x:v>T043</x:v>
      </x:c>
      <x:c r="H24" s="147" t="n">
        <x:v>6.4</x:v>
      </x:c>
      <x:c r="I24" s="147" t="n">
        <x:v>6.4</x:v>
      </x:c>
      <x:c r="J24" s="147" t="n">
        <x:v>44.800000000000004</x:v>
      </x:c>
      <x:c r="K24" s="147" t="n">
        <x:v>6.4</x:v>
      </x:c>
      <x:c r="L24" s="147" t="str">
        <x:v>Versión de pulsera y reporte</x:v>
      </x:c>
      <x:c r="M24" s="147" t="str">
        <x:v>Evidencia contra requisito del ciclo; revisión cruzada y desvíos críticos documentados</x:v>
      </x:c>
    </x:row>
    <x:row r="25" ht="42" customHeight="1">
      <x:c r="A25" s="147" t="str">
        <x:v>T054</x:v>
      </x:c>
      <x:c r="B25" s="147" t="str">
        <x:v>Aplicación</x:v>
      </x:c>
      <x:c r="C25" s="147" t="str">
        <x:v>Simulación y almacenamiento: preparación/ejecución</x:v>
      </x:c>
      <x:c r="D25" s="147" t="n">
        <x:v>3</x:v>
      </x:c>
      <x:c r="E25" s="147" t="n">
        <x:v>5</x:v>
      </x:c>
      <x:c r="F25" s="147" t="str">
        <x:v>Ing. software</x:v>
      </x:c>
      <x:c r="G25" s="147" t="str">
        <x:v>T044</x:v>
      </x:c>
      <x:c r="H25" s="147" t="n">
        <x:v>44.800000000000004</x:v>
      </x:c>
      <x:c r="I25" s="147" t="n">
        <x:v>6.4</x:v>
      </x:c>
      <x:c r="J25" s="147" t="n">
        <x:v>6.4</x:v>
      </x:c>
      <x:c r="K25" s="147" t="n">
        <x:v>6.4</x:v>
      </x:c>
      <x:c r="L25" s="147" t="str">
        <x:v>Aplicación instalable y reporte</x:v>
      </x:c>
      <x:c r="M25" s="147" t="str">
        <x:v>Evidencia contra requisito del ciclo; revisión cruzada y desvíos críticos documentados</x:v>
      </x:c>
    </x:row>
    <x:row r="26" ht="42" customHeight="1">
      <x:c r="A26" s="147" t="str">
        <x:v>X05</x:v>
      </x:c>
      <x:c r="B26" s="147" t="str">
        <x:v>Transversal</x:v>
      </x:c>
      <x:c r="C26" s="147" t="str">
        <x:v>Coordinación, compras, QA, documentación</x:v>
      </x:c>
      <x:c r="D26" s="147" t="n">
        <x:v>3</x:v>
      </x:c>
      <x:c r="E26" s="147" t="n">
        <x:v>5</x:v>
      </x:c>
      <x:c r="F26" s="147" t="str">
        <x:v>Equipo; técnico laboratorio coordina</x:v>
      </x:c>
      <x:c r="G26" s="147" t="str">
        <x:v>X04</x:v>
      </x:c>
      <x:c r="H26" s="147" t="n">
        <x:v>16</x:v>
      </x:c>
      <x:c r="I26" s="147" t="n">
        <x:v>16</x:v>
      </x:c>
      <x:c r="J26" s="147" t="n">
        <x:v>16</x:v>
      </x:c>
      <x:c r="K26" s="147" t="n">
        <x:v>16</x:v>
      </x:c>
      <x:c r="L26" s="147" t="str">
        <x:v>Órdenes, actas, dossier y contactos</x:v>
      </x:c>
      <x:c r="M26" s="147" t="str">
        <x:v>Recepción trazable; revisión de riesgos; ensayos autorizados; siguiente acción con responsable</x:v>
      </x:c>
    </x:row>
    <x:row r="27" ht="42" customHeight="1">
      <x:c r="A27" s="147" t="str">
        <x:v>T061</x:v>
      </x:c>
      <x:c r="B27" s="147" t="str">
        <x:v>Parche descartable</x:v>
      </x:c>
      <x:c r="C27" s="147" t="str">
        <x:v>Canales y adhesivo: verificación/corrección</x:v>
      </x:c>
      <x:c r="D27" s="147" t="n">
        <x:v>3</x:v>
      </x:c>
      <x:c r="E27" s="147" t="n">
        <x:v>6</x:v>
      </x:c>
      <x:c r="F27" s="147" t="str">
        <x:v>Técnico laboratorio</x:v>
      </x:c>
      <x:c r="G27" s="147" t="str">
        <x:v>T051</x:v>
      </x:c>
      <x:c r="H27" s="147" t="n">
        <x:v>6.4</x:v>
      </x:c>
      <x:c r="I27" s="147" t="n">
        <x:v>6.4</x:v>
      </x:c>
      <x:c r="J27" s="147" t="n">
        <x:v>6.4</x:v>
      </x:c>
      <x:c r="K27" s="147" t="n">
        <x:v>44.800000000000004</x:v>
      </x:c>
      <x:c r="L27" s="147" t="str">
        <x:v>Muestras y protocolo por lote</x:v>
      </x:c>
      <x:c r="M27" s="147" t="str">
        <x:v>Evidencia contra requisito del ciclo; revisión cruzada y desvíos críticos documentados</x:v>
      </x:c>
    </x:row>
    <x:row r="28" ht="42" customHeight="1">
      <x:c r="A28" s="147" t="str">
        <x:v>T062</x:v>
      </x:c>
      <x:c r="B28" s="147" t="str">
        <x:v>Lector reutilizable</x:v>
      </x:c>
      <x:c r="C28" s="147" t="str">
        <x:v>Esquema y PCB: verificación/corrección</x:v>
      </x:c>
      <x:c r="D28" s="147" t="n">
        <x:v>3</x:v>
      </x:c>
      <x:c r="E28" s="147" t="n">
        <x:v>6</x:v>
      </x:c>
      <x:c r="F28" s="147" t="str">
        <x:v>Ing. embebidos</x:v>
      </x:c>
      <x:c r="G28" s="147" t="str">
        <x:v>T052</x:v>
      </x:c>
      <x:c r="H28" s="147" t="n">
        <x:v>6.4</x:v>
      </x:c>
      <x:c r="I28" s="147" t="n">
        <x:v>44.800000000000004</x:v>
      </x:c>
      <x:c r="J28" s="147" t="n">
        <x:v>6.4</x:v>
      </x:c>
      <x:c r="K28" s="147" t="n">
        <x:v>6.4</x:v>
      </x:c>
      <x:c r="L28" s="147" t="str">
        <x:v>Versión de PCB/firmware y mediciones</x:v>
      </x:c>
      <x:c r="M28" s="147" t="str">
        <x:v>Evidencia contra requisito del ciclo; revisión cruzada y desvíos críticos documentados</x:v>
      </x:c>
    </x:row>
    <x:row r="29" ht="42" customHeight="1">
      <x:c r="A29" s="147" t="str">
        <x:v>T063</x:v>
      </x:c>
      <x:c r="B29" s="147" t="str">
        <x:v>Pulsera</x:v>
      </x:c>
      <x:c r="C29" s="147" t="str">
        <x:v>Esquema y carcasa: verificación/corrección</x:v>
      </x:c>
      <x:c r="D29" s="147" t="n">
        <x:v>3</x:v>
      </x:c>
      <x:c r="E29" s="147" t="n">
        <x:v>6</x:v>
      </x:c>
      <x:c r="F29" s="147" t="str">
        <x:v>Técnico QA</x:v>
      </x:c>
      <x:c r="G29" s="147" t="str">
        <x:v>T053</x:v>
      </x:c>
      <x:c r="H29" s="147" t="n">
        <x:v>6.4</x:v>
      </x:c>
      <x:c r="I29" s="147" t="n">
        <x:v>6.4</x:v>
      </x:c>
      <x:c r="J29" s="147" t="n">
        <x:v>44.800000000000004</x:v>
      </x:c>
      <x:c r="K29" s="147" t="n">
        <x:v>6.4</x:v>
      </x:c>
      <x:c r="L29" s="147" t="str">
        <x:v>Versión de pulsera y reporte</x:v>
      </x:c>
      <x:c r="M29" s="147" t="str">
        <x:v>Evidencia contra requisito del ciclo; revisión cruzada y desvíos críticos documentados</x:v>
      </x:c>
    </x:row>
    <x:row r="30" ht="42" customHeight="1">
      <x:c r="A30" s="147" t="str">
        <x:v>T064</x:v>
      </x:c>
      <x:c r="B30" s="147" t="str">
        <x:v>Aplicación</x:v>
      </x:c>
      <x:c r="C30" s="147" t="str">
        <x:v>Simulación y almacenamiento: verificación/corrección</x:v>
      </x:c>
      <x:c r="D30" s="147" t="n">
        <x:v>3</x:v>
      </x:c>
      <x:c r="E30" s="147" t="n">
        <x:v>6</x:v>
      </x:c>
      <x:c r="F30" s="147" t="str">
        <x:v>Ing. software</x:v>
      </x:c>
      <x:c r="G30" s="147" t="str">
        <x:v>T054</x:v>
      </x:c>
      <x:c r="H30" s="147" t="n">
        <x:v>44.800000000000004</x:v>
      </x:c>
      <x:c r="I30" s="147" t="n">
        <x:v>6.4</x:v>
      </x:c>
      <x:c r="J30" s="147" t="n">
        <x:v>6.4</x:v>
      </x:c>
      <x:c r="K30" s="147" t="n">
        <x:v>6.4</x:v>
      </x:c>
      <x:c r="L30" s="147" t="str">
        <x:v>Aplicación instalable y reporte</x:v>
      </x:c>
      <x:c r="M30" s="147" t="str">
        <x:v>Evidencia contra requisito del ciclo; revisión cruzada y desvíos críticos documentados</x:v>
      </x:c>
    </x:row>
    <x:row r="31" ht="42" customHeight="1">
      <x:c r="A31" s="147" t="str">
        <x:v>X06</x:v>
      </x:c>
      <x:c r="B31" s="147" t="str">
        <x:v>Transversal</x:v>
      </x:c>
      <x:c r="C31" s="147" t="str">
        <x:v>Coordinación, compras, QA, documentación</x:v>
      </x:c>
      <x:c r="D31" s="147" t="n">
        <x:v>3</x:v>
      </x:c>
      <x:c r="E31" s="147" t="n">
        <x:v>6</x:v>
      </x:c>
      <x:c r="F31" s="147" t="str">
        <x:v>Equipo; técnico laboratorio coordina</x:v>
      </x:c>
      <x:c r="G31" s="147" t="str">
        <x:v>X05</x:v>
      </x:c>
      <x:c r="H31" s="147" t="n">
        <x:v>16</x:v>
      </x:c>
      <x:c r="I31" s="147" t="n">
        <x:v>16</x:v>
      </x:c>
      <x:c r="J31" s="147" t="n">
        <x:v>16</x:v>
      </x:c>
      <x:c r="K31" s="147" t="n">
        <x:v>16</x:v>
      </x:c>
      <x:c r="L31" s="147" t="str">
        <x:v>Órdenes, actas, dossier y contactos</x:v>
      </x:c>
      <x:c r="M31" s="147" t="str">
        <x:v>Recepción trazable; revisión de riesgos; ensayos autorizados; siguiente acción con responsable</x:v>
      </x:c>
    </x:row>
    <x:row r="32" ht="42" customHeight="1">
      <x:c r="A32" s="147" t="str">
        <x:v>T071</x:v>
      </x:c>
      <x:c r="B32" s="147" t="str">
        <x:v>Parche descartable</x:v>
      </x:c>
      <x:c r="C32" s="147" t="str">
        <x:v>Muestras y microfluídica: preparación/ejecución</x:v>
      </x:c>
      <x:c r="D32" s="147" t="n">
        <x:v>4</x:v>
      </x:c>
      <x:c r="E32" s="147" t="n">
        <x:v>7</x:v>
      </x:c>
      <x:c r="F32" s="147" t="str">
        <x:v>Técnico laboratorio</x:v>
      </x:c>
      <x:c r="G32" s="147" t="str">
        <x:v>T061</x:v>
      </x:c>
      <x:c r="H32" s="147" t="n">
        <x:v>6.4</x:v>
      </x:c>
      <x:c r="I32" s="147" t="n">
        <x:v>6.4</x:v>
      </x:c>
      <x:c r="J32" s="147" t="n">
        <x:v>6.4</x:v>
      </x:c>
      <x:c r="K32" s="147" t="n">
        <x:v>44.800000000000004</x:v>
      </x:c>
      <x:c r="L32" s="147" t="str">
        <x:v>Muestras y protocolo por lote</x:v>
      </x:c>
      <x:c r="M32" s="147" t="str">
        <x:v>Evidencia contra requisito del ciclo; revisión cruzada y desvíos críticos documentados</x:v>
      </x:c>
    </x:row>
    <x:row r="33" ht="42" customHeight="1">
      <x:c r="A33" s="147" t="str">
        <x:v>T072</x:v>
      </x:c>
      <x:c r="B33" s="147" t="str">
        <x:v>Lector reutilizable</x:v>
      </x:c>
      <x:c r="C33" s="147" t="str">
        <x:v>Compra, montaje y alimentación: preparación/ejecución</x:v>
      </x:c>
      <x:c r="D33" s="147" t="n">
        <x:v>4</x:v>
      </x:c>
      <x:c r="E33" s="147" t="n">
        <x:v>7</x:v>
      </x:c>
      <x:c r="F33" s="147" t="str">
        <x:v>Ing. embebidos</x:v>
      </x:c>
      <x:c r="G33" s="147" t="str">
        <x:v>T062</x:v>
      </x:c>
      <x:c r="H33" s="147" t="n">
        <x:v>6.4</x:v>
      </x:c>
      <x:c r="I33" s="147" t="n">
        <x:v>44.800000000000004</x:v>
      </x:c>
      <x:c r="J33" s="147" t="n">
        <x:v>6.4</x:v>
      </x:c>
      <x:c r="K33" s="147" t="n">
        <x:v>6.4</x:v>
      </x:c>
      <x:c r="L33" s="147" t="str">
        <x:v>Versión de PCB/firmware y mediciones</x:v>
      </x:c>
      <x:c r="M33" s="147" t="str">
        <x:v>Evidencia contra requisito del ciclo; revisión cruzada y desvíos críticos documentados</x:v>
      </x:c>
    </x:row>
    <x:row r="34" ht="42" customHeight="1">
      <x:c r="A34" s="147" t="str">
        <x:v>T073</x:v>
      </x:c>
      <x:c r="B34" s="147" t="str">
        <x:v>Pulsera</x:v>
      </x:c>
      <x:c r="C34" s="147" t="str">
        <x:v>Montaje y sensores: preparación/ejecución</x:v>
      </x:c>
      <x:c r="D34" s="147" t="n">
        <x:v>4</x:v>
      </x:c>
      <x:c r="E34" s="147" t="n">
        <x:v>7</x:v>
      </x:c>
      <x:c r="F34" s="147" t="str">
        <x:v>Técnico QA</x:v>
      </x:c>
      <x:c r="G34" s="147" t="str">
        <x:v>T063</x:v>
      </x:c>
      <x:c r="H34" s="147" t="n">
        <x:v>6.4</x:v>
      </x:c>
      <x:c r="I34" s="147" t="n">
        <x:v>6.4</x:v>
      </x:c>
      <x:c r="J34" s="147" t="n">
        <x:v>44.800000000000004</x:v>
      </x:c>
      <x:c r="K34" s="147" t="n">
        <x:v>6.4</x:v>
      </x:c>
      <x:c r="L34" s="147" t="str">
        <x:v>Versión de pulsera y reporte</x:v>
      </x:c>
      <x:c r="M34" s="147" t="str">
        <x:v>Evidencia contra requisito del ciclo; revisión cruzada y desvíos críticos documentados</x:v>
      </x:c>
    </x:row>
    <x:row r="35" ht="42" customHeight="1">
      <x:c r="A35" s="147" t="str">
        <x:v>T074</x:v>
      </x:c>
      <x:c r="B35" s="147" t="str">
        <x:v>Aplicación</x:v>
      </x:c>
      <x:c r="C35" s="147" t="str">
        <x:v>Vinculación BLE: preparación/ejecución</x:v>
      </x:c>
      <x:c r="D35" s="147" t="n">
        <x:v>4</x:v>
      </x:c>
      <x:c r="E35" s="147" t="n">
        <x:v>7</x:v>
      </x:c>
      <x:c r="F35" s="147" t="str">
        <x:v>Ing. software</x:v>
      </x:c>
      <x:c r="G35" s="147" t="str">
        <x:v>T064</x:v>
      </x:c>
      <x:c r="H35" s="147" t="n">
        <x:v>44.800000000000004</x:v>
      </x:c>
      <x:c r="I35" s="147" t="n">
        <x:v>6.4</x:v>
      </x:c>
      <x:c r="J35" s="147" t="n">
        <x:v>6.4</x:v>
      </x:c>
      <x:c r="K35" s="147" t="n">
        <x:v>6.4</x:v>
      </x:c>
      <x:c r="L35" s="147" t="str">
        <x:v>Aplicación instalable y reporte</x:v>
      </x:c>
      <x:c r="M35" s="147" t="str">
        <x:v>Evidencia contra requisito del ciclo; revisión cruzada y desvíos críticos documentados</x:v>
      </x:c>
    </x:row>
    <x:row r="36" ht="42" customHeight="1">
      <x:c r="A36" s="147" t="str">
        <x:v>X07</x:v>
      </x:c>
      <x:c r="B36" s="147" t="str">
        <x:v>Transversal</x:v>
      </x:c>
      <x:c r="C36" s="147" t="str">
        <x:v>Coordinación, compras, QA, documentación</x:v>
      </x:c>
      <x:c r="D36" s="147" t="n">
        <x:v>4</x:v>
      </x:c>
      <x:c r="E36" s="147" t="n">
        <x:v>7</x:v>
      </x:c>
      <x:c r="F36" s="147" t="str">
        <x:v>Equipo; técnico laboratorio coordina</x:v>
      </x:c>
      <x:c r="G36" s="147" t="str">
        <x:v>X06</x:v>
      </x:c>
      <x:c r="H36" s="147" t="n">
        <x:v>16</x:v>
      </x:c>
      <x:c r="I36" s="147" t="n">
        <x:v>16</x:v>
      </x:c>
      <x:c r="J36" s="147" t="n">
        <x:v>16</x:v>
      </x:c>
      <x:c r="K36" s="147" t="n">
        <x:v>16</x:v>
      </x:c>
      <x:c r="L36" s="147" t="str">
        <x:v>Órdenes, actas, dossier y contactos</x:v>
      </x:c>
      <x:c r="M36" s="147" t="str">
        <x:v>Recepción trazable; revisión de riesgos; ensayos autorizados; siguiente acción con responsable</x:v>
      </x:c>
    </x:row>
    <x:row r="37" ht="42" customHeight="1">
      <x:c r="A37" s="147" t="str">
        <x:v>T081</x:v>
      </x:c>
      <x:c r="B37" s="147" t="str">
        <x:v>Parche descartable</x:v>
      </x:c>
      <x:c r="C37" s="147" t="str">
        <x:v>Muestras y microfluídica: verificación/corrección</x:v>
      </x:c>
      <x:c r="D37" s="147" t="n">
        <x:v>4</x:v>
      </x:c>
      <x:c r="E37" s="147" t="n">
        <x:v>8</x:v>
      </x:c>
      <x:c r="F37" s="147" t="str">
        <x:v>Técnico laboratorio</x:v>
      </x:c>
      <x:c r="G37" s="147" t="str">
        <x:v>T071</x:v>
      </x:c>
      <x:c r="H37" s="147" t="n">
        <x:v>6.4</x:v>
      </x:c>
      <x:c r="I37" s="147" t="n">
        <x:v>6.4</x:v>
      </x:c>
      <x:c r="J37" s="147" t="n">
        <x:v>6.4</x:v>
      </x:c>
      <x:c r="K37" s="147" t="n">
        <x:v>44.800000000000004</x:v>
      </x:c>
      <x:c r="L37" s="147" t="str">
        <x:v>Muestras y protocolo por lote</x:v>
      </x:c>
      <x:c r="M37" s="147" t="str">
        <x:v>Evidencia contra requisito del ciclo; revisión cruzada y desvíos críticos documentados</x:v>
      </x:c>
    </x:row>
    <x:row r="38" ht="42" customHeight="1">
      <x:c r="A38" s="147" t="str">
        <x:v>T082</x:v>
      </x:c>
      <x:c r="B38" s="147" t="str">
        <x:v>Lector reutilizable</x:v>
      </x:c>
      <x:c r="C38" s="147" t="str">
        <x:v>Compra, montaje y alimentación: verificación/corrección</x:v>
      </x:c>
      <x:c r="D38" s="147" t="n">
        <x:v>4</x:v>
      </x:c>
      <x:c r="E38" s="147" t="n">
        <x:v>8</x:v>
      </x:c>
      <x:c r="F38" s="147" t="str">
        <x:v>Ing. embebidos</x:v>
      </x:c>
      <x:c r="G38" s="147" t="str">
        <x:v>T072</x:v>
      </x:c>
      <x:c r="H38" s="147" t="n">
        <x:v>6.4</x:v>
      </x:c>
      <x:c r="I38" s="147" t="n">
        <x:v>44.800000000000004</x:v>
      </x:c>
      <x:c r="J38" s="147" t="n">
        <x:v>6.4</x:v>
      </x:c>
      <x:c r="K38" s="147" t="n">
        <x:v>6.4</x:v>
      </x:c>
      <x:c r="L38" s="147" t="str">
        <x:v>Versión de PCB/firmware y mediciones</x:v>
      </x:c>
      <x:c r="M38" s="147" t="str">
        <x:v>Evidencia contra requisito del ciclo; revisión cruzada y desvíos críticos documentados</x:v>
      </x:c>
    </x:row>
    <x:row r="39" ht="42" customHeight="1">
      <x:c r="A39" s="147" t="str">
        <x:v>T083</x:v>
      </x:c>
      <x:c r="B39" s="147" t="str">
        <x:v>Pulsera</x:v>
      </x:c>
      <x:c r="C39" s="147" t="str">
        <x:v>Montaje y sensores: verificación/corrección</x:v>
      </x:c>
      <x:c r="D39" s="147" t="n">
        <x:v>4</x:v>
      </x:c>
      <x:c r="E39" s="147" t="n">
        <x:v>8</x:v>
      </x:c>
      <x:c r="F39" s="147" t="str">
        <x:v>Técnico QA</x:v>
      </x:c>
      <x:c r="G39" s="147" t="str">
        <x:v>T073</x:v>
      </x:c>
      <x:c r="H39" s="147" t="n">
        <x:v>6.4</x:v>
      </x:c>
      <x:c r="I39" s="147" t="n">
        <x:v>6.4</x:v>
      </x:c>
      <x:c r="J39" s="147" t="n">
        <x:v>44.800000000000004</x:v>
      </x:c>
      <x:c r="K39" s="147" t="n">
        <x:v>6.4</x:v>
      </x:c>
      <x:c r="L39" s="147" t="str">
        <x:v>Versión de pulsera y reporte</x:v>
      </x:c>
      <x:c r="M39" s="147" t="str">
        <x:v>Evidencia contra requisito del ciclo; revisión cruzada y desvíos críticos documentados</x:v>
      </x:c>
    </x:row>
    <x:row r="40" ht="42" customHeight="1">
      <x:c r="A40" s="147" t="str">
        <x:v>T084</x:v>
      </x:c>
      <x:c r="B40" s="147" t="str">
        <x:v>Aplicación</x:v>
      </x:c>
      <x:c r="C40" s="147" t="str">
        <x:v>Vinculación BLE: verificación/corrección</x:v>
      </x:c>
      <x:c r="D40" s="147" t="n">
        <x:v>4</x:v>
      </x:c>
      <x:c r="E40" s="147" t="n">
        <x:v>8</x:v>
      </x:c>
      <x:c r="F40" s="147" t="str">
        <x:v>Ing. software</x:v>
      </x:c>
      <x:c r="G40" s="147" t="str">
        <x:v>T074</x:v>
      </x:c>
      <x:c r="H40" s="147" t="n">
        <x:v>44.800000000000004</x:v>
      </x:c>
      <x:c r="I40" s="147" t="n">
        <x:v>6.4</x:v>
      </x:c>
      <x:c r="J40" s="147" t="n">
        <x:v>6.4</x:v>
      </x:c>
      <x:c r="K40" s="147" t="n">
        <x:v>6.4</x:v>
      </x:c>
      <x:c r="L40" s="147" t="str">
        <x:v>Aplicación instalable y reporte</x:v>
      </x:c>
      <x:c r="M40" s="147" t="str">
        <x:v>Evidencia contra requisito del ciclo; revisión cruzada y desvíos críticos documentados</x:v>
      </x:c>
    </x:row>
    <x:row r="41" ht="42" customHeight="1">
      <x:c r="A41" s="147" t="str">
        <x:v>X08</x:v>
      </x:c>
      <x:c r="B41" s="147" t="str">
        <x:v>Transversal</x:v>
      </x:c>
      <x:c r="C41" s="147" t="str">
        <x:v>Coordinación, compras, QA, documentación</x:v>
      </x:c>
      <x:c r="D41" s="147" t="n">
        <x:v>4</x:v>
      </x:c>
      <x:c r="E41" s="147" t="n">
        <x:v>8</x:v>
      </x:c>
      <x:c r="F41" s="147" t="str">
        <x:v>Equipo; técnico laboratorio coordina</x:v>
      </x:c>
      <x:c r="G41" s="147" t="str">
        <x:v>X07</x:v>
      </x:c>
      <x:c r="H41" s="147" t="n">
        <x:v>16</x:v>
      </x:c>
      <x:c r="I41" s="147" t="n">
        <x:v>16</x:v>
      </x:c>
      <x:c r="J41" s="147" t="n">
        <x:v>16</x:v>
      </x:c>
      <x:c r="K41" s="147" t="n">
        <x:v>16</x:v>
      </x:c>
      <x:c r="L41" s="147" t="str">
        <x:v>Órdenes, actas, dossier y contactos</x:v>
      </x:c>
      <x:c r="M41" s="147" t="str">
        <x:v>Recepción trazable; revisión de riesgos; ensayos autorizados; siguiente acción con responsable</x:v>
      </x:c>
    </x:row>
    <x:row r="42" ht="42" customHeight="1">
      <x:c r="A42" s="147" t="str">
        <x:v>T091</x:v>
      </x:c>
      <x:c r="B42" s="147" t="str">
        <x:v>Parche descartable</x:v>
      </x:c>
      <x:c r="C42" s="147" t="str">
        <x:v>Selectividad e interferencias: preparación/ejecución</x:v>
      </x:c>
      <x:c r="D42" s="147" t="n">
        <x:v>5</x:v>
      </x:c>
      <x:c r="E42" s="147" t="n">
        <x:v>9</x:v>
      </x:c>
      <x:c r="F42" s="147" t="str">
        <x:v>Técnico laboratorio</x:v>
      </x:c>
      <x:c r="G42" s="147" t="str">
        <x:v>T081</x:v>
      </x:c>
      <x:c r="H42" s="147" t="n">
        <x:v>6.4</x:v>
      </x:c>
      <x:c r="I42" s="147" t="n">
        <x:v>6.4</x:v>
      </x:c>
      <x:c r="J42" s="147" t="n">
        <x:v>6.4</x:v>
      </x:c>
      <x:c r="K42" s="147" t="n">
        <x:v>44.800000000000004</x:v>
      </x:c>
      <x:c r="L42" s="147" t="str">
        <x:v>Muestras y protocolo por lote</x:v>
      </x:c>
      <x:c r="M42" s="147" t="str">
        <x:v>Evidencia contra requisito del ciclo; revisión cruzada y desvíos críticos documentados</x:v>
      </x:c>
    </x:row>
    <x:row r="43" ht="42" customHeight="1">
      <x:c r="A43" s="147" t="str">
        <x:v>T092</x:v>
      </x:c>
      <x:c r="B43" s="147" t="str">
        <x:v>Lector reutilizable</x:v>
      </x:c>
      <x:c r="C43" s="147" t="str">
        <x:v>Firmware de adquisición: preparación/ejecución</x:v>
      </x:c>
      <x:c r="D43" s="147" t="n">
        <x:v>5</x:v>
      </x:c>
      <x:c r="E43" s="147" t="n">
        <x:v>9</x:v>
      </x:c>
      <x:c r="F43" s="147" t="str">
        <x:v>Ing. embebidos</x:v>
      </x:c>
      <x:c r="G43" s="147" t="str">
        <x:v>T082</x:v>
      </x:c>
      <x:c r="H43" s="147" t="n">
        <x:v>6.4</x:v>
      </x:c>
      <x:c r="I43" s="147" t="n">
        <x:v>44.800000000000004</x:v>
      </x:c>
      <x:c r="J43" s="147" t="n">
        <x:v>6.4</x:v>
      </x:c>
      <x:c r="K43" s="147" t="n">
        <x:v>6.4</x:v>
      </x:c>
      <x:c r="L43" s="147" t="str">
        <x:v>Versión de PCB/firmware y mediciones</x:v>
      </x:c>
      <x:c r="M43" s="147" t="str">
        <x:v>Evidencia contra requisito del ciclo; revisión cruzada y desvíos críticos documentados</x:v>
      </x:c>
    </x:row>
    <x:row r="44" ht="42" customHeight="1">
      <x:c r="A44" s="147" t="str">
        <x:v>T093</x:v>
      </x:c>
      <x:c r="B44" s="147" t="str">
        <x:v>Pulsera</x:v>
      </x:c>
      <x:c r="C44" s="147" t="str">
        <x:v>Firmware y gesto: preparación/ejecución</x:v>
      </x:c>
      <x:c r="D44" s="147" t="n">
        <x:v>5</x:v>
      </x:c>
      <x:c r="E44" s="147" t="n">
        <x:v>9</x:v>
      </x:c>
      <x:c r="F44" s="147" t="str">
        <x:v>Técnico QA</x:v>
      </x:c>
      <x:c r="G44" s="147" t="str">
        <x:v>T083</x:v>
      </x:c>
      <x:c r="H44" s="147" t="n">
        <x:v>6.4</x:v>
      </x:c>
      <x:c r="I44" s="147" t="n">
        <x:v>6.4</x:v>
      </x:c>
      <x:c r="J44" s="147" t="n">
        <x:v>44.800000000000004</x:v>
      </x:c>
      <x:c r="K44" s="147" t="n">
        <x:v>6.4</x:v>
      </x:c>
      <x:c r="L44" s="147" t="str">
        <x:v>Versión de pulsera y reporte</x:v>
      </x:c>
      <x:c r="M44" s="147" t="str">
        <x:v>Evidencia contra requisito del ciclo; revisión cruzada y desvíos críticos documentados</x:v>
      </x:c>
    </x:row>
    <x:row r="45" ht="42" customHeight="1">
      <x:c r="A45" s="147" t="str">
        <x:v>T094</x:v>
      </x:c>
      <x:c r="B45" s="147" t="str">
        <x:v>Aplicación</x:v>
      </x:c>
      <x:c r="C45" s="147" t="str">
        <x:v>Historial y lector activo: preparación/ejecución</x:v>
      </x:c>
      <x:c r="D45" s="147" t="n">
        <x:v>5</x:v>
      </x:c>
      <x:c r="E45" s="147" t="n">
        <x:v>9</x:v>
      </x:c>
      <x:c r="F45" s="147" t="str">
        <x:v>Ing. software</x:v>
      </x:c>
      <x:c r="G45" s="147" t="str">
        <x:v>T084</x:v>
      </x:c>
      <x:c r="H45" s="147" t="n">
        <x:v>44.800000000000004</x:v>
      </x:c>
      <x:c r="I45" s="147" t="n">
        <x:v>6.4</x:v>
      </x:c>
      <x:c r="J45" s="147" t="n">
        <x:v>6.4</x:v>
      </x:c>
      <x:c r="K45" s="147" t="n">
        <x:v>6.4</x:v>
      </x:c>
      <x:c r="L45" s="147" t="str">
        <x:v>Aplicación instalable y reporte</x:v>
      </x:c>
      <x:c r="M45" s="147" t="str">
        <x:v>Evidencia contra requisito del ciclo; revisión cruzada y desvíos críticos documentados</x:v>
      </x:c>
    </x:row>
    <x:row r="46" ht="42" customHeight="1">
      <x:c r="A46" s="147" t="str">
        <x:v>X09</x:v>
      </x:c>
      <x:c r="B46" s="147" t="str">
        <x:v>Transversal</x:v>
      </x:c>
      <x:c r="C46" s="147" t="str">
        <x:v>Coordinación, compras, QA, documentación</x:v>
      </x:c>
      <x:c r="D46" s="147" t="n">
        <x:v>5</x:v>
      </x:c>
      <x:c r="E46" s="147" t="n">
        <x:v>9</x:v>
      </x:c>
      <x:c r="F46" s="147" t="str">
        <x:v>Equipo; técnico laboratorio coordina</x:v>
      </x:c>
      <x:c r="G46" s="147" t="str">
        <x:v>X08</x:v>
      </x:c>
      <x:c r="H46" s="147" t="n">
        <x:v>16</x:v>
      </x:c>
      <x:c r="I46" s="147" t="n">
        <x:v>16</x:v>
      </x:c>
      <x:c r="J46" s="147" t="n">
        <x:v>16</x:v>
      </x:c>
      <x:c r="K46" s="147" t="n">
        <x:v>16</x:v>
      </x:c>
      <x:c r="L46" s="147" t="str">
        <x:v>Órdenes, actas, dossier y contactos</x:v>
      </x:c>
      <x:c r="M46" s="147" t="str">
        <x:v>Recepción trazable; revisión de riesgos; ensayos autorizados; siguiente acción con responsable</x:v>
      </x:c>
    </x:row>
    <x:row r="47" ht="42" customHeight="1">
      <x:c r="A47" s="147" t="str">
        <x:v>T101</x:v>
      </x:c>
      <x:c r="B47" s="147" t="str">
        <x:v>Parche descartable</x:v>
      </x:c>
      <x:c r="C47" s="147" t="str">
        <x:v>Selectividad e interferencias: verificación/corrección</x:v>
      </x:c>
      <x:c r="D47" s="147" t="n">
        <x:v>5</x:v>
      </x:c>
      <x:c r="E47" s="147" t="n">
        <x:v>10</x:v>
      </x:c>
      <x:c r="F47" s="147" t="str">
        <x:v>Técnico laboratorio</x:v>
      </x:c>
      <x:c r="G47" s="147" t="str">
        <x:v>T091</x:v>
      </x:c>
      <x:c r="H47" s="147" t="n">
        <x:v>6.4</x:v>
      </x:c>
      <x:c r="I47" s="147" t="n">
        <x:v>6.4</x:v>
      </x:c>
      <x:c r="J47" s="147" t="n">
        <x:v>6.4</x:v>
      </x:c>
      <x:c r="K47" s="147" t="n">
        <x:v>44.800000000000004</x:v>
      </x:c>
      <x:c r="L47" s="147" t="str">
        <x:v>Muestras y protocolo por lote</x:v>
      </x:c>
      <x:c r="M47" s="147" t="str">
        <x:v>Evidencia contra requisito del ciclo; revisión cruzada y desvíos críticos documentados</x:v>
      </x:c>
    </x:row>
    <x:row r="48" ht="42" customHeight="1">
      <x:c r="A48" s="147" t="str">
        <x:v>T102</x:v>
      </x:c>
      <x:c r="B48" s="147" t="str">
        <x:v>Lector reutilizable</x:v>
      </x:c>
      <x:c r="C48" s="147" t="str">
        <x:v>Firmware de adquisición: verificación/corrección</x:v>
      </x:c>
      <x:c r="D48" s="147" t="n">
        <x:v>5</x:v>
      </x:c>
      <x:c r="E48" s="147" t="n">
        <x:v>10</x:v>
      </x:c>
      <x:c r="F48" s="147" t="str">
        <x:v>Ing. embebidos</x:v>
      </x:c>
      <x:c r="G48" s="147" t="str">
        <x:v>T092</x:v>
      </x:c>
      <x:c r="H48" s="147" t="n">
        <x:v>6.4</x:v>
      </x:c>
      <x:c r="I48" s="147" t="n">
        <x:v>44.800000000000004</x:v>
      </x:c>
      <x:c r="J48" s="147" t="n">
        <x:v>6.4</x:v>
      </x:c>
      <x:c r="K48" s="147" t="n">
        <x:v>6.4</x:v>
      </x:c>
      <x:c r="L48" s="147" t="str">
        <x:v>Versión de PCB/firmware y mediciones</x:v>
      </x:c>
      <x:c r="M48" s="147" t="str">
        <x:v>Evidencia contra requisito del ciclo; revisión cruzada y desvíos críticos documentados</x:v>
      </x:c>
    </x:row>
    <x:row r="49" ht="42" customHeight="1">
      <x:c r="A49" s="147" t="str">
        <x:v>T103</x:v>
      </x:c>
      <x:c r="B49" s="147" t="str">
        <x:v>Pulsera</x:v>
      </x:c>
      <x:c r="C49" s="147" t="str">
        <x:v>Firmware y gesto: verificación/corrección</x:v>
      </x:c>
      <x:c r="D49" s="147" t="n">
        <x:v>5</x:v>
      </x:c>
      <x:c r="E49" s="147" t="n">
        <x:v>10</x:v>
      </x:c>
      <x:c r="F49" s="147" t="str">
        <x:v>Técnico QA</x:v>
      </x:c>
      <x:c r="G49" s="147" t="str">
        <x:v>T093</x:v>
      </x:c>
      <x:c r="H49" s="147" t="n">
        <x:v>6.4</x:v>
      </x:c>
      <x:c r="I49" s="147" t="n">
        <x:v>6.4</x:v>
      </x:c>
      <x:c r="J49" s="147" t="n">
        <x:v>44.800000000000004</x:v>
      </x:c>
      <x:c r="K49" s="147" t="n">
        <x:v>6.4</x:v>
      </x:c>
      <x:c r="L49" s="147" t="str">
        <x:v>Versión de pulsera y reporte</x:v>
      </x:c>
      <x:c r="M49" s="147" t="str">
        <x:v>Evidencia contra requisito del ciclo; revisión cruzada y desvíos críticos documentados</x:v>
      </x:c>
    </x:row>
    <x:row r="50" ht="42" customHeight="1">
      <x:c r="A50" s="147" t="str">
        <x:v>T104</x:v>
      </x:c>
      <x:c r="B50" s="147" t="str">
        <x:v>Aplicación</x:v>
      </x:c>
      <x:c r="C50" s="147" t="str">
        <x:v>Historial y lector activo: verificación/corrección</x:v>
      </x:c>
      <x:c r="D50" s="147" t="n">
        <x:v>5</x:v>
      </x:c>
      <x:c r="E50" s="147" t="n">
        <x:v>10</x:v>
      </x:c>
      <x:c r="F50" s="147" t="str">
        <x:v>Ing. software</x:v>
      </x:c>
      <x:c r="G50" s="147" t="str">
        <x:v>T094</x:v>
      </x:c>
      <x:c r="H50" s="147" t="n">
        <x:v>44.800000000000004</x:v>
      </x:c>
      <x:c r="I50" s="147" t="n">
        <x:v>6.4</x:v>
      </x:c>
      <x:c r="J50" s="147" t="n">
        <x:v>6.4</x:v>
      </x:c>
      <x:c r="K50" s="147" t="n">
        <x:v>6.4</x:v>
      </x:c>
      <x:c r="L50" s="147" t="str">
        <x:v>Aplicación instalable y reporte</x:v>
      </x:c>
      <x:c r="M50" s="147" t="str">
        <x:v>Evidencia contra requisito del ciclo; revisión cruzada y desvíos críticos documentados</x:v>
      </x:c>
    </x:row>
    <x:row r="51" ht="42" customHeight="1">
      <x:c r="A51" s="147" t="str">
        <x:v>X10</x:v>
      </x:c>
      <x:c r="B51" s="147" t="str">
        <x:v>Transversal</x:v>
      </x:c>
      <x:c r="C51" s="147" t="str">
        <x:v>Coordinación, compras, QA, documentación</x:v>
      </x:c>
      <x:c r="D51" s="147" t="n">
        <x:v>5</x:v>
      </x:c>
      <x:c r="E51" s="147" t="n">
        <x:v>10</x:v>
      </x:c>
      <x:c r="F51" s="147" t="str">
        <x:v>Equipo; técnico laboratorio coordina</x:v>
      </x:c>
      <x:c r="G51" s="147" t="str">
        <x:v>X09</x:v>
      </x:c>
      <x:c r="H51" s="147" t="n">
        <x:v>16</x:v>
      </x:c>
      <x:c r="I51" s="147" t="n">
        <x:v>16</x:v>
      </x:c>
      <x:c r="J51" s="147" t="n">
        <x:v>16</x:v>
      </x:c>
      <x:c r="K51" s="147" t="n">
        <x:v>16</x:v>
      </x:c>
      <x:c r="L51" s="147" t="str">
        <x:v>Órdenes, actas, dossier y contactos</x:v>
      </x:c>
      <x:c r="M51" s="147" t="str">
        <x:v>Recepción trazable; revisión de riesgos; ensayos autorizados; siguiente acción con responsable</x:v>
      </x:c>
    </x:row>
    <x:row r="52" ht="42" customHeight="1">
      <x:c r="A52" s="147" t="str">
        <x:v>T111</x:v>
      </x:c>
      <x:c r="B52" s="147" t="str">
        <x:v>Parche descartable</x:v>
      </x:c>
      <x:c r="C52" s="147" t="str">
        <x:v>Calibración y estabilidad: preparación/ejecución</x:v>
      </x:c>
      <x:c r="D52" s="147" t="n">
        <x:v>6</x:v>
      </x:c>
      <x:c r="E52" s="147" t="n">
        <x:v>11</x:v>
      </x:c>
      <x:c r="F52" s="147" t="str">
        <x:v>Técnico laboratorio</x:v>
      </x:c>
      <x:c r="G52" s="147" t="str">
        <x:v>T101</x:v>
      </x:c>
      <x:c r="H52" s="147" t="n">
        <x:v>4.266666666666667</x:v>
      </x:c>
      <x:c r="I52" s="147" t="n">
        <x:v>4.266666666666667</x:v>
      </x:c>
      <x:c r="J52" s="147" t="n">
        <x:v>4.266666666666667</x:v>
      </x:c>
      <x:c r="K52" s="147" t="n">
        <x:v>29.86666666666667</x:v>
      </x:c>
      <x:c r="L52" s="147" t="str">
        <x:v>Muestras y protocolo por lote</x:v>
      </x:c>
      <x:c r="M52" s="147" t="str">
        <x:v>Evidencia contra requisito del ciclo; revisión cruzada y desvíos críticos documentados</x:v>
      </x:c>
    </x:row>
    <x:row r="53" ht="42" customHeight="1">
      <x:c r="A53" s="147" t="str">
        <x:v>T112</x:v>
      </x:c>
      <x:c r="B53" s="147" t="str">
        <x:v>Lector reutilizable</x:v>
      </x:c>
      <x:c r="C53" s="147" t="str">
        <x:v>Buffer y BLE simultáneo: preparación/ejecución</x:v>
      </x:c>
      <x:c r="D53" s="147" t="n">
        <x:v>6</x:v>
      </x:c>
      <x:c r="E53" s="147" t="n">
        <x:v>11</x:v>
      </x:c>
      <x:c r="F53" s="147" t="str">
        <x:v>Ing. embebidos</x:v>
      </x:c>
      <x:c r="G53" s="147" t="str">
        <x:v>T102</x:v>
      </x:c>
      <x:c r="H53" s="147" t="n">
        <x:v>4.266666666666667</x:v>
      </x:c>
      <x:c r="I53" s="147" t="n">
        <x:v>29.86666666666667</x:v>
      </x:c>
      <x:c r="J53" s="147" t="n">
        <x:v>4.266666666666667</x:v>
      </x:c>
      <x:c r="K53" s="147" t="n">
        <x:v>4.266666666666667</x:v>
      </x:c>
      <x:c r="L53" s="147" t="str">
        <x:v>Versión de PCB/firmware y mediciones</x:v>
      </x:c>
      <x:c r="M53" s="147" t="str">
        <x:v>Evidencia contra requisito del ciclo; revisión cruzada y desvíos críticos documentados</x:v>
      </x:c>
    </x:row>
    <x:row r="54" ht="42" customHeight="1">
      <x:c r="A54" s="147" t="str">
        <x:v>T113</x:v>
      </x:c>
      <x:c r="B54" s="147" t="str">
        <x:v>Pulsera</x:v>
      </x:c>
      <x:c r="C54" s="147" t="str">
        <x:v>BLE directo y semáforo: preparación/ejecución</x:v>
      </x:c>
      <x:c r="D54" s="147" t="n">
        <x:v>6</x:v>
      </x:c>
      <x:c r="E54" s="147" t="n">
        <x:v>11</x:v>
      </x:c>
      <x:c r="F54" s="147" t="str">
        <x:v>Técnico QA</x:v>
      </x:c>
      <x:c r="G54" s="147" t="str">
        <x:v>T103</x:v>
      </x:c>
      <x:c r="H54" s="147" t="n">
        <x:v>4.266666666666667</x:v>
      </x:c>
      <x:c r="I54" s="147" t="n">
        <x:v>4.266666666666667</x:v>
      </x:c>
      <x:c r="J54" s="147" t="n">
        <x:v>29.86666666666667</x:v>
      </x:c>
      <x:c r="K54" s="147" t="n">
        <x:v>4.266666666666667</x:v>
      </x:c>
      <x:c r="L54" s="147" t="str">
        <x:v>Versión de pulsera y reporte</x:v>
      </x:c>
      <x:c r="M54" s="147" t="str">
        <x:v>Evidencia contra requisito del ciclo; revisión cruzada y desvíos críticos documentados</x:v>
      </x:c>
    </x:row>
    <x:row r="55" ht="42" customHeight="1">
      <x:c r="A55" s="147" t="str">
        <x:v>T114</x:v>
      </x:c>
      <x:c r="B55" s="147" t="str">
        <x:v>Aplicación</x:v>
      </x:c>
      <x:c r="C55" s="147" t="str">
        <x:v>Recuperación sin duplicados: preparación/ejecución</x:v>
      </x:c>
      <x:c r="D55" s="147" t="n">
        <x:v>6</x:v>
      </x:c>
      <x:c r="E55" s="147" t="n">
        <x:v>11</x:v>
      </x:c>
      <x:c r="F55" s="147" t="str">
        <x:v>Ing. software</x:v>
      </x:c>
      <x:c r="G55" s="147" t="str">
        <x:v>T104</x:v>
      </x:c>
      <x:c r="H55" s="147" t="n">
        <x:v>29.86666666666667</x:v>
      </x:c>
      <x:c r="I55" s="147" t="n">
        <x:v>4.266666666666667</x:v>
      </x:c>
      <x:c r="J55" s="147" t="n">
        <x:v>4.266666666666667</x:v>
      </x:c>
      <x:c r="K55" s="147" t="n">
        <x:v>4.266666666666667</x:v>
      </x:c>
      <x:c r="L55" s="147" t="str">
        <x:v>Aplicación instalable y reporte</x:v>
      </x:c>
      <x:c r="M55" s="147" t="str">
        <x:v>Evidencia contra requisito del ciclo; revisión cruzada y desvíos críticos documentados</x:v>
      </x:c>
    </x:row>
    <x:row r="56" ht="42" customHeight="1">
      <x:c r="A56" s="147" t="str">
        <x:v>X11</x:v>
      </x:c>
      <x:c r="B56" s="147" t="str">
        <x:v>Transversal</x:v>
      </x:c>
      <x:c r="C56" s="147" t="str">
        <x:v>Coordinación, compras, QA, documentación</x:v>
      </x:c>
      <x:c r="D56" s="147" t="n">
        <x:v>6</x:v>
      </x:c>
      <x:c r="E56" s="147" t="n">
        <x:v>11</x:v>
      </x:c>
      <x:c r="F56" s="147" t="str">
        <x:v>Equipo; técnico laboratorio coordina</x:v>
      </x:c>
      <x:c r="G56" s="147" t="str">
        <x:v>X10</x:v>
      </x:c>
      <x:c r="H56" s="147" t="n">
        <x:v>10.666666666666668</x:v>
      </x:c>
      <x:c r="I56" s="147" t="n">
        <x:v>10.666666666666668</x:v>
      </x:c>
      <x:c r="J56" s="147" t="n">
        <x:v>10.666666666666668</x:v>
      </x:c>
      <x:c r="K56" s="147" t="n">
        <x:v>10.666666666666668</x:v>
      </x:c>
      <x:c r="L56" s="147" t="str">
        <x:v>Órdenes, actas, dossier y contactos</x:v>
      </x:c>
      <x:c r="M56" s="147" t="str">
        <x:v>Recepción trazable; revisión de riesgos; ensayos autorizados; siguiente acción con responsable</x:v>
      </x:c>
    </x:row>
    <x:row r="57" ht="42" customHeight="1">
      <x:c r="A57" s="147" t="str">
        <x:v>T121</x:v>
      </x:c>
      <x:c r="B57" s="147" t="str">
        <x:v>Parche descartable</x:v>
      </x:c>
      <x:c r="C57" s="147" t="str">
        <x:v>Calibración y estabilidad: verificación/corrección</x:v>
      </x:c>
      <x:c r="D57" s="147" t="n">
        <x:v>6</x:v>
      </x:c>
      <x:c r="E57" s="147" t="n">
        <x:v>12</x:v>
      </x:c>
      <x:c r="F57" s="147" t="str">
        <x:v>Técnico laboratorio</x:v>
      </x:c>
      <x:c r="G57" s="147" t="str">
        <x:v>T111</x:v>
      </x:c>
      <x:c r="H57" s="147" t="n">
        <x:v>4.266666666666667</x:v>
      </x:c>
      <x:c r="I57" s="147" t="n">
        <x:v>4.266666666666667</x:v>
      </x:c>
      <x:c r="J57" s="147" t="n">
        <x:v>4.266666666666667</x:v>
      </x:c>
      <x:c r="K57" s="147" t="n">
        <x:v>29.86666666666667</x:v>
      </x:c>
      <x:c r="L57" s="147" t="str">
        <x:v>Muestras y protocolo por lote</x:v>
      </x:c>
      <x:c r="M57" s="147" t="str">
        <x:v>Evidencia contra requisito del ciclo; revisión cruzada y desvíos críticos documentados</x:v>
      </x:c>
    </x:row>
    <x:row r="58" ht="42" customHeight="1">
      <x:c r="A58" s="147" t="str">
        <x:v>T122</x:v>
      </x:c>
      <x:c r="B58" s="147" t="str">
        <x:v>Lector reutilizable</x:v>
      </x:c>
      <x:c r="C58" s="147" t="str">
        <x:v>Buffer y BLE simultáneo: verificación/corrección</x:v>
      </x:c>
      <x:c r="D58" s="147" t="n">
        <x:v>6</x:v>
      </x:c>
      <x:c r="E58" s="147" t="n">
        <x:v>12</x:v>
      </x:c>
      <x:c r="F58" s="147" t="str">
        <x:v>Ing. embebidos</x:v>
      </x:c>
      <x:c r="G58" s="147" t="str">
        <x:v>T112</x:v>
      </x:c>
      <x:c r="H58" s="147" t="n">
        <x:v>4.266666666666667</x:v>
      </x:c>
      <x:c r="I58" s="147" t="n">
        <x:v>29.86666666666667</x:v>
      </x:c>
      <x:c r="J58" s="147" t="n">
        <x:v>4.266666666666667</x:v>
      </x:c>
      <x:c r="K58" s="147" t="n">
        <x:v>4.266666666666667</x:v>
      </x:c>
      <x:c r="L58" s="147" t="str">
        <x:v>Versión de PCB/firmware y mediciones</x:v>
      </x:c>
      <x:c r="M58" s="147" t="str">
        <x:v>Evidencia contra requisito del ciclo; revisión cruzada y desvíos críticos documentados</x:v>
      </x:c>
    </x:row>
    <x:row r="59" ht="42" customHeight="1">
      <x:c r="A59" s="147" t="str">
        <x:v>T123</x:v>
      </x:c>
      <x:c r="B59" s="147" t="str">
        <x:v>Pulsera</x:v>
      </x:c>
      <x:c r="C59" s="147" t="str">
        <x:v>BLE directo y semáforo: verificación/corrección</x:v>
      </x:c>
      <x:c r="D59" s="147" t="n">
        <x:v>6</x:v>
      </x:c>
      <x:c r="E59" s="147" t="n">
        <x:v>12</x:v>
      </x:c>
      <x:c r="F59" s="147" t="str">
        <x:v>Técnico QA</x:v>
      </x:c>
      <x:c r="G59" s="147" t="str">
        <x:v>T113</x:v>
      </x:c>
      <x:c r="H59" s="147" t="n">
        <x:v>4.266666666666667</x:v>
      </x:c>
      <x:c r="I59" s="147" t="n">
        <x:v>4.266666666666667</x:v>
      </x:c>
      <x:c r="J59" s="147" t="n">
        <x:v>29.86666666666667</x:v>
      </x:c>
      <x:c r="K59" s="147" t="n">
        <x:v>4.266666666666667</x:v>
      </x:c>
      <x:c r="L59" s="147" t="str">
        <x:v>Versión de pulsera y reporte</x:v>
      </x:c>
      <x:c r="M59" s="147" t="str">
        <x:v>Evidencia contra requisito del ciclo; revisión cruzada y desvíos críticos documentados</x:v>
      </x:c>
    </x:row>
    <x:row r="60" ht="42" customHeight="1">
      <x:c r="A60" s="147" t="str">
        <x:v>T124</x:v>
      </x:c>
      <x:c r="B60" s="147" t="str">
        <x:v>Aplicación</x:v>
      </x:c>
      <x:c r="C60" s="147" t="str">
        <x:v>Recuperación sin duplicados: verificación/corrección</x:v>
      </x:c>
      <x:c r="D60" s="147" t="n">
        <x:v>6</x:v>
      </x:c>
      <x:c r="E60" s="147" t="n">
        <x:v>12</x:v>
      </x:c>
      <x:c r="F60" s="147" t="str">
        <x:v>Ing. software</x:v>
      </x:c>
      <x:c r="G60" s="147" t="str">
        <x:v>T114</x:v>
      </x:c>
      <x:c r="H60" s="147" t="n">
        <x:v>29.86666666666667</x:v>
      </x:c>
      <x:c r="I60" s="147" t="n">
        <x:v>4.266666666666667</x:v>
      </x:c>
      <x:c r="J60" s="147" t="n">
        <x:v>4.266666666666667</x:v>
      </x:c>
      <x:c r="K60" s="147" t="n">
        <x:v>4.266666666666667</x:v>
      </x:c>
      <x:c r="L60" s="147" t="str">
        <x:v>Aplicación instalable y reporte</x:v>
      </x:c>
      <x:c r="M60" s="147" t="str">
        <x:v>Evidencia contra requisito del ciclo; revisión cruzada y desvíos críticos documentados</x:v>
      </x:c>
    </x:row>
    <x:row r="61" ht="42" customHeight="1">
      <x:c r="A61" s="147" t="str">
        <x:v>X12</x:v>
      </x:c>
      <x:c r="B61" s="147" t="str">
        <x:v>Transversal</x:v>
      </x:c>
      <x:c r="C61" s="147" t="str">
        <x:v>Coordinación, compras, QA, documentación</x:v>
      </x:c>
      <x:c r="D61" s="147" t="n">
        <x:v>6</x:v>
      </x:c>
      <x:c r="E61" s="147" t="n">
        <x:v>12</x:v>
      </x:c>
      <x:c r="F61" s="147" t="str">
        <x:v>Equipo; técnico laboratorio coordina</x:v>
      </x:c>
      <x:c r="G61" s="147" t="str">
        <x:v>X11</x:v>
      </x:c>
      <x:c r="H61" s="147" t="n">
        <x:v>10.666666666666668</x:v>
      </x:c>
      <x:c r="I61" s="147" t="n">
        <x:v>10.666666666666668</x:v>
      </x:c>
      <x:c r="J61" s="147" t="n">
        <x:v>10.666666666666668</x:v>
      </x:c>
      <x:c r="K61" s="147" t="n">
        <x:v>10.666666666666668</x:v>
      </x:c>
      <x:c r="L61" s="147" t="str">
        <x:v>Órdenes, actas, dossier y contactos</x:v>
      </x:c>
      <x:c r="M61" s="147" t="str">
        <x:v>Recepción trazable; revisión de riesgos; ensayos autorizados; siguiente acción con responsable</x:v>
      </x:c>
    </x:row>
    <x:row r="62" ht="42" customHeight="1">
      <x:c r="A62" s="147" t="str">
        <x:v>T131</x:v>
      </x:c>
      <x:c r="B62" s="147" t="str">
        <x:v>Parche descartable</x:v>
      </x:c>
      <x:c r="C62" s="147" t="str">
        <x:v>Calibración y estabilidad: repetición/cierre</x:v>
      </x:c>
      <x:c r="D62" s="147" t="n">
        <x:v>6</x:v>
      </x:c>
      <x:c r="E62" s="147" t="n">
        <x:v>13</x:v>
      </x:c>
      <x:c r="F62" s="147" t="str">
        <x:v>Técnico laboratorio</x:v>
      </x:c>
      <x:c r="G62" s="147" t="str">
        <x:v>T121</x:v>
      </x:c>
      <x:c r="H62" s="147" t="n">
        <x:v>4.266666666666667</x:v>
      </x:c>
      <x:c r="I62" s="147" t="n">
        <x:v>4.266666666666667</x:v>
      </x:c>
      <x:c r="J62" s="147" t="n">
        <x:v>4.266666666666667</x:v>
      </x:c>
      <x:c r="K62" s="147" t="n">
        <x:v>29.86666666666667</x:v>
      </x:c>
      <x:c r="L62" s="147" t="str">
        <x:v>Muestras y protocolo por lote</x:v>
      </x:c>
      <x:c r="M62" s="147" t="str">
        <x:v>Evidencia contra requisito del ciclo; revisión cruzada y desvíos críticos documentados</x:v>
      </x:c>
    </x:row>
    <x:row r="63" ht="42" customHeight="1">
      <x:c r="A63" s="147" t="str">
        <x:v>T132</x:v>
      </x:c>
      <x:c r="B63" s="147" t="str">
        <x:v>Lector reutilizable</x:v>
      </x:c>
      <x:c r="C63" s="147" t="str">
        <x:v>Buffer y BLE simultáneo: repetición/cierre</x:v>
      </x:c>
      <x:c r="D63" s="147" t="n">
        <x:v>6</x:v>
      </x:c>
      <x:c r="E63" s="147" t="n">
        <x:v>13</x:v>
      </x:c>
      <x:c r="F63" s="147" t="str">
        <x:v>Ing. embebidos</x:v>
      </x:c>
      <x:c r="G63" s="147" t="str">
        <x:v>T122</x:v>
      </x:c>
      <x:c r="H63" s="147" t="n">
        <x:v>4.266666666666667</x:v>
      </x:c>
      <x:c r="I63" s="147" t="n">
        <x:v>29.86666666666667</x:v>
      </x:c>
      <x:c r="J63" s="147" t="n">
        <x:v>4.266666666666667</x:v>
      </x:c>
      <x:c r="K63" s="147" t="n">
        <x:v>4.266666666666667</x:v>
      </x:c>
      <x:c r="L63" s="147" t="str">
        <x:v>Versión de PCB/firmware y mediciones</x:v>
      </x:c>
      <x:c r="M63" s="147" t="str">
        <x:v>Evidencia contra requisito del ciclo; revisión cruzada y desvíos críticos documentados</x:v>
      </x:c>
    </x:row>
    <x:row r="64" ht="42" customHeight="1">
      <x:c r="A64" s="147" t="str">
        <x:v>T133</x:v>
      </x:c>
      <x:c r="B64" s="147" t="str">
        <x:v>Pulsera</x:v>
      </x:c>
      <x:c r="C64" s="147" t="str">
        <x:v>BLE directo y semáforo: repetición/cierre</x:v>
      </x:c>
      <x:c r="D64" s="147" t="n">
        <x:v>6</x:v>
      </x:c>
      <x:c r="E64" s="147" t="n">
        <x:v>13</x:v>
      </x:c>
      <x:c r="F64" s="147" t="str">
        <x:v>Técnico QA</x:v>
      </x:c>
      <x:c r="G64" s="147" t="str">
        <x:v>T123</x:v>
      </x:c>
      <x:c r="H64" s="147" t="n">
        <x:v>4.266666666666667</x:v>
      </x:c>
      <x:c r="I64" s="147" t="n">
        <x:v>4.266666666666667</x:v>
      </x:c>
      <x:c r="J64" s="147" t="n">
        <x:v>29.86666666666667</x:v>
      </x:c>
      <x:c r="K64" s="147" t="n">
        <x:v>4.266666666666667</x:v>
      </x:c>
      <x:c r="L64" s="147" t="str">
        <x:v>Versión de pulsera y reporte</x:v>
      </x:c>
      <x:c r="M64" s="147" t="str">
        <x:v>Evidencia contra requisito del ciclo; revisión cruzada y desvíos críticos documentados</x:v>
      </x:c>
    </x:row>
    <x:row r="65" ht="42" customHeight="1">
      <x:c r="A65" s="147" t="str">
        <x:v>T134</x:v>
      </x:c>
      <x:c r="B65" s="147" t="str">
        <x:v>Aplicación</x:v>
      </x:c>
      <x:c r="C65" s="147" t="str">
        <x:v>Recuperación sin duplicados: repetición/cierre</x:v>
      </x:c>
      <x:c r="D65" s="147" t="n">
        <x:v>6</x:v>
      </x:c>
      <x:c r="E65" s="147" t="n">
        <x:v>13</x:v>
      </x:c>
      <x:c r="F65" s="147" t="str">
        <x:v>Ing. software</x:v>
      </x:c>
      <x:c r="G65" s="147" t="str">
        <x:v>T124</x:v>
      </x:c>
      <x:c r="H65" s="147" t="n">
        <x:v>29.86666666666667</x:v>
      </x:c>
      <x:c r="I65" s="147" t="n">
        <x:v>4.266666666666667</x:v>
      </x:c>
      <x:c r="J65" s="147" t="n">
        <x:v>4.266666666666667</x:v>
      </x:c>
      <x:c r="K65" s="147" t="n">
        <x:v>4.266666666666667</x:v>
      </x:c>
      <x:c r="L65" s="147" t="str">
        <x:v>Aplicación instalable y reporte</x:v>
      </x:c>
      <x:c r="M65" s="147" t="str">
        <x:v>Evidencia contra requisito del ciclo; revisión cruzada y desvíos críticos documentados</x:v>
      </x:c>
    </x:row>
    <x:row r="66" ht="42" customHeight="1">
      <x:c r="A66" s="147" t="str">
        <x:v>X13</x:v>
      </x:c>
      <x:c r="B66" s="147" t="str">
        <x:v>Transversal</x:v>
      </x:c>
      <x:c r="C66" s="147" t="str">
        <x:v>Coordinación, compras, QA, documentación</x:v>
      </x:c>
      <x:c r="D66" s="147" t="n">
        <x:v>6</x:v>
      </x:c>
      <x:c r="E66" s="147" t="n">
        <x:v>13</x:v>
      </x:c>
      <x:c r="F66" s="147" t="str">
        <x:v>Equipo; técnico laboratorio coordina</x:v>
      </x:c>
      <x:c r="G66" s="147" t="str">
        <x:v>X12</x:v>
      </x:c>
      <x:c r="H66" s="147" t="n">
        <x:v>10.666666666666668</x:v>
      </x:c>
      <x:c r="I66" s="147" t="n">
        <x:v>10.666666666666668</x:v>
      </x:c>
      <x:c r="J66" s="147" t="n">
        <x:v>10.666666666666668</x:v>
      </x:c>
      <x:c r="K66" s="147" t="n">
        <x:v>10.666666666666668</x:v>
      </x:c>
      <x:c r="L66" s="147" t="str">
        <x:v>Órdenes, actas, dossier y contactos</x:v>
      </x:c>
      <x:c r="M66" s="147" t="str">
        <x:v>Recepción trazable; revisión de riesgos; ensayos autorizados; siguiente acción con responsable</x:v>
      </x:c>
    </x:row>
    <x:row r="67" ht="42" customHeight="1">
      <x:c r="A67" s="147" t="str">
        <x:v>T141</x:v>
      </x:c>
      <x:c r="B67" s="147" t="str">
        <x:v>Parche descartable</x:v>
      </x:c>
      <x:c r="C67" s="147" t="str">
        <x:v>Acoplamiento e integración: preparación/ejecución</x:v>
      </x:c>
      <x:c r="D67" s="147" t="n">
        <x:v>7</x:v>
      </x:c>
      <x:c r="E67" s="147" t="n">
        <x:v>14</x:v>
      </x:c>
      <x:c r="F67" s="147" t="str">
        <x:v>Técnico laboratorio</x:v>
      </x:c>
      <x:c r="G67" s="147" t="str">
        <x:v>T131,T132,T133,T134</x:v>
      </x:c>
      <x:c r="H67" s="147" t="n">
        <x:v>6.4</x:v>
      </x:c>
      <x:c r="I67" s="147" t="n">
        <x:v>6.4</x:v>
      </x:c>
      <x:c r="J67" s="147" t="n">
        <x:v>6.4</x:v>
      </x:c>
      <x:c r="K67" s="147" t="n">
        <x:v>44.800000000000004</x:v>
      </x:c>
      <x:c r="L67" s="147" t="str">
        <x:v>Muestras y protocolo por lote</x:v>
      </x:c>
      <x:c r="M67" s="147" t="str">
        <x:v>Evidencia contra requisito del ciclo; revisión cruzada y desvíos críticos documentados</x:v>
      </x:c>
    </x:row>
    <x:row r="68" ht="42" customHeight="1">
      <x:c r="A68" s="147" t="str">
        <x:v>T142</x:v>
      </x:c>
      <x:c r="B68" s="147" t="str">
        <x:v>Lector reutilizable</x:v>
      </x:c>
      <x:c r="C68" s="147" t="str">
        <x:v>Integración de cuatro productos: preparación/ejecución</x:v>
      </x:c>
      <x:c r="D68" s="147" t="n">
        <x:v>7</x:v>
      </x:c>
      <x:c r="E68" s="147" t="n">
        <x:v>14</x:v>
      </x:c>
      <x:c r="F68" s="147" t="str">
        <x:v>Ing. embebidos</x:v>
      </x:c>
      <x:c r="G68" s="147" t="str">
        <x:v>T131,T132,T133,T134</x:v>
      </x:c>
      <x:c r="H68" s="147" t="n">
        <x:v>6.4</x:v>
      </x:c>
      <x:c r="I68" s="147" t="n">
        <x:v>44.800000000000004</x:v>
      </x:c>
      <x:c r="J68" s="147" t="n">
        <x:v>6.4</x:v>
      </x:c>
      <x:c r="K68" s="147" t="n">
        <x:v>6.4</x:v>
      </x:c>
      <x:c r="L68" s="147" t="str">
        <x:v>Versión de PCB/firmware y mediciones</x:v>
      </x:c>
      <x:c r="M68" s="147" t="str">
        <x:v>Evidencia contra requisito del ciclo; revisión cruzada y desvíos críticos documentados</x:v>
      </x:c>
    </x:row>
    <x:row r="69" ht="42" customHeight="1">
      <x:c r="A69" s="147" t="str">
        <x:v>T143</x:v>
      </x:c>
      <x:c r="B69" s="147" t="str">
        <x:v>Pulsera</x:v>
      </x:c>
      <x:c r="C69" s="147" t="str">
        <x:v>Integración de enlaces: preparación/ejecución</x:v>
      </x:c>
      <x:c r="D69" s="147" t="n">
        <x:v>7</x:v>
      </x:c>
      <x:c r="E69" s="147" t="n">
        <x:v>14</x:v>
      </x:c>
      <x:c r="F69" s="147" t="str">
        <x:v>Técnico QA</x:v>
      </x:c>
      <x:c r="G69" s="147" t="str">
        <x:v>T131,T132,T133,T134</x:v>
      </x:c>
      <x:c r="H69" s="147" t="n">
        <x:v>6.4</x:v>
      </x:c>
      <x:c r="I69" s="147" t="n">
        <x:v>6.4</x:v>
      </x:c>
      <x:c r="J69" s="147" t="n">
        <x:v>44.800000000000004</x:v>
      </x:c>
      <x:c r="K69" s="147" t="n">
        <x:v>6.4</x:v>
      </x:c>
      <x:c r="L69" s="147" t="str">
        <x:v>Versión de pulsera y reporte</x:v>
      </x:c>
      <x:c r="M69" s="147" t="str">
        <x:v>Evidencia contra requisito del ciclo; revisión cruzada y desvíos críticos documentados</x:v>
      </x:c>
    </x:row>
    <x:row r="70" ht="42" customHeight="1">
      <x:c r="A70" s="147" t="str">
        <x:v>T144</x:v>
      </x:c>
      <x:c r="B70" s="147" t="str">
        <x:v>Aplicación</x:v>
      </x:c>
      <x:c r="C70" s="147" t="str">
        <x:v>Integración completa: preparación/ejecución</x:v>
      </x:c>
      <x:c r="D70" s="147" t="n">
        <x:v>7</x:v>
      </x:c>
      <x:c r="E70" s="147" t="n">
        <x:v>14</x:v>
      </x:c>
      <x:c r="F70" s="147" t="str">
        <x:v>Ing. software</x:v>
      </x:c>
      <x:c r="G70" s="147" t="str">
        <x:v>T131,T132,T133,T134</x:v>
      </x:c>
      <x:c r="H70" s="147" t="n">
        <x:v>44.800000000000004</x:v>
      </x:c>
      <x:c r="I70" s="147" t="n">
        <x:v>6.4</x:v>
      </x:c>
      <x:c r="J70" s="147" t="n">
        <x:v>6.4</x:v>
      </x:c>
      <x:c r="K70" s="147" t="n">
        <x:v>6.4</x:v>
      </x:c>
      <x:c r="L70" s="147" t="str">
        <x:v>Aplicación instalable y reporte</x:v>
      </x:c>
      <x:c r="M70" s="147" t="str">
        <x:v>Evidencia contra requisito del ciclo; revisión cruzada y desvíos críticos documentados</x:v>
      </x:c>
    </x:row>
    <x:row r="71" ht="42" customHeight="1">
      <x:c r="A71" s="147" t="str">
        <x:v>X14</x:v>
      </x:c>
      <x:c r="B71" s="147" t="str">
        <x:v>Transversal</x:v>
      </x:c>
      <x:c r="C71" s="147" t="str">
        <x:v>Coordinación, compras, QA, documentación; evidencia clínica/regulatoria</x:v>
      </x:c>
      <x:c r="D71" s="147" t="n">
        <x:v>7</x:v>
      </x:c>
      <x:c r="E71" s="147" t="n">
        <x:v>14</x:v>
      </x:c>
      <x:c r="F71" s="147" t="str">
        <x:v>Equipo; técnico laboratorio coordina</x:v>
      </x:c>
      <x:c r="G71" s="147" t="str">
        <x:v>X13</x:v>
      </x:c>
      <x:c r="H71" s="147" t="n">
        <x:v>16</x:v>
      </x:c>
      <x:c r="I71" s="147" t="n">
        <x:v>16</x:v>
      </x:c>
      <x:c r="J71" s="147" t="n">
        <x:v>16</x:v>
      </x:c>
      <x:c r="K71" s="147" t="n">
        <x:v>16</x:v>
      </x:c>
      <x:c r="L71" s="147" t="str">
        <x:v>Órdenes, actas, dossier y contactos</x:v>
      </x:c>
      <x:c r="M71" s="147" t="str">
        <x:v>Recepción trazable; revisión de riesgos; ensayos autorizados; siguiente acción con responsable</x:v>
      </x:c>
    </x:row>
    <x:row r="72" ht="42" customHeight="1">
      <x:c r="A72" s="147" t="str">
        <x:v>T151</x:v>
      </x:c>
      <x:c r="B72" s="147" t="str">
        <x:v>Parche descartable</x:v>
      </x:c>
      <x:c r="C72" s="147" t="str">
        <x:v>Acoplamiento e integración: verificación/corrección</x:v>
      </x:c>
      <x:c r="D72" s="147" t="n">
        <x:v>7</x:v>
      </x:c>
      <x:c r="E72" s="147" t="n">
        <x:v>15</x:v>
      </x:c>
      <x:c r="F72" s="147" t="str">
        <x:v>Técnico laboratorio</x:v>
      </x:c>
      <x:c r="G72" s="147" t="str">
        <x:v>T141</x:v>
      </x:c>
      <x:c r="H72" s="147" t="n">
        <x:v>6.4</x:v>
      </x:c>
      <x:c r="I72" s="147" t="n">
        <x:v>6.4</x:v>
      </x:c>
      <x:c r="J72" s="147" t="n">
        <x:v>6.4</x:v>
      </x:c>
      <x:c r="K72" s="147" t="n">
        <x:v>44.800000000000004</x:v>
      </x:c>
      <x:c r="L72" s="147" t="str">
        <x:v>Muestras y protocolo por lote</x:v>
      </x:c>
      <x:c r="M72" s="147" t="str">
        <x:v>Evidencia contra requisito del ciclo; revisión cruzada y desvíos críticos documentados</x:v>
      </x:c>
    </x:row>
    <x:row r="73" ht="42" customHeight="1">
      <x:c r="A73" s="147" t="str">
        <x:v>T152</x:v>
      </x:c>
      <x:c r="B73" s="147" t="str">
        <x:v>Lector reutilizable</x:v>
      </x:c>
      <x:c r="C73" s="147" t="str">
        <x:v>Integración de cuatro productos: verificación/corrección</x:v>
      </x:c>
      <x:c r="D73" s="147" t="n">
        <x:v>7</x:v>
      </x:c>
      <x:c r="E73" s="147" t="n">
        <x:v>15</x:v>
      </x:c>
      <x:c r="F73" s="147" t="str">
        <x:v>Ing. embebidos</x:v>
      </x:c>
      <x:c r="G73" s="147" t="str">
        <x:v>T142</x:v>
      </x:c>
      <x:c r="H73" s="147" t="n">
        <x:v>6.4</x:v>
      </x:c>
      <x:c r="I73" s="147" t="n">
        <x:v>44.800000000000004</x:v>
      </x:c>
      <x:c r="J73" s="147" t="n">
        <x:v>6.4</x:v>
      </x:c>
      <x:c r="K73" s="147" t="n">
        <x:v>6.4</x:v>
      </x:c>
      <x:c r="L73" s="147" t="str">
        <x:v>Versión de PCB/firmware y mediciones</x:v>
      </x:c>
      <x:c r="M73" s="147" t="str">
        <x:v>Evidencia contra requisito del ciclo; revisión cruzada y desvíos críticos documentados</x:v>
      </x:c>
    </x:row>
    <x:row r="74" ht="42" customHeight="1">
      <x:c r="A74" s="147" t="str">
        <x:v>T153</x:v>
      </x:c>
      <x:c r="B74" s="147" t="str">
        <x:v>Pulsera</x:v>
      </x:c>
      <x:c r="C74" s="147" t="str">
        <x:v>Integración de enlaces: verificación/corrección</x:v>
      </x:c>
      <x:c r="D74" s="147" t="n">
        <x:v>7</x:v>
      </x:c>
      <x:c r="E74" s="147" t="n">
        <x:v>15</x:v>
      </x:c>
      <x:c r="F74" s="147" t="str">
        <x:v>Técnico QA</x:v>
      </x:c>
      <x:c r="G74" s="147" t="str">
        <x:v>T143</x:v>
      </x:c>
      <x:c r="H74" s="147" t="n">
        <x:v>6.4</x:v>
      </x:c>
      <x:c r="I74" s="147" t="n">
        <x:v>6.4</x:v>
      </x:c>
      <x:c r="J74" s="147" t="n">
        <x:v>44.800000000000004</x:v>
      </x:c>
      <x:c r="K74" s="147" t="n">
        <x:v>6.4</x:v>
      </x:c>
      <x:c r="L74" s="147" t="str">
        <x:v>Versión de pulsera y reporte</x:v>
      </x:c>
      <x:c r="M74" s="147" t="str">
        <x:v>Evidencia contra requisito del ciclo; revisión cruzada y desvíos críticos documentados</x:v>
      </x:c>
    </x:row>
    <x:row r="75" ht="42" customHeight="1">
      <x:c r="A75" s="147" t="str">
        <x:v>T154</x:v>
      </x:c>
      <x:c r="B75" s="147" t="str">
        <x:v>Aplicación</x:v>
      </x:c>
      <x:c r="C75" s="147" t="str">
        <x:v>Integración completa: verificación/corrección</x:v>
      </x:c>
      <x:c r="D75" s="147" t="n">
        <x:v>7</x:v>
      </x:c>
      <x:c r="E75" s="147" t="n">
        <x:v>15</x:v>
      </x:c>
      <x:c r="F75" s="147" t="str">
        <x:v>Ing. software</x:v>
      </x:c>
      <x:c r="G75" s="147" t="str">
        <x:v>T144</x:v>
      </x:c>
      <x:c r="H75" s="147" t="n">
        <x:v>44.800000000000004</x:v>
      </x:c>
      <x:c r="I75" s="147" t="n">
        <x:v>6.4</x:v>
      </x:c>
      <x:c r="J75" s="147" t="n">
        <x:v>6.4</x:v>
      </x:c>
      <x:c r="K75" s="147" t="n">
        <x:v>6.4</x:v>
      </x:c>
      <x:c r="L75" s="147" t="str">
        <x:v>Aplicación instalable y reporte</x:v>
      </x:c>
      <x:c r="M75" s="147" t="str">
        <x:v>Evidencia contra requisito del ciclo; revisión cruzada y desvíos críticos documentados</x:v>
      </x:c>
    </x:row>
    <x:row r="76" ht="42" customHeight="1">
      <x:c r="A76" s="147" t="str">
        <x:v>X15</x:v>
      </x:c>
      <x:c r="B76" s="147" t="str">
        <x:v>Transversal</x:v>
      </x:c>
      <x:c r="C76" s="147" t="str">
        <x:v>Coordinación, compras, QA, documentación; evidencia clínica/regulatoria</x:v>
      </x:c>
      <x:c r="D76" s="147" t="n">
        <x:v>7</x:v>
      </x:c>
      <x:c r="E76" s="147" t="n">
        <x:v>15</x:v>
      </x:c>
      <x:c r="F76" s="147" t="str">
        <x:v>Equipo; técnico laboratorio coordina</x:v>
      </x:c>
      <x:c r="G76" s="147" t="str">
        <x:v>X14</x:v>
      </x:c>
      <x:c r="H76" s="147" t="n">
        <x:v>16</x:v>
      </x:c>
      <x:c r="I76" s="147" t="n">
        <x:v>16</x:v>
      </x:c>
      <x:c r="J76" s="147" t="n">
        <x:v>16</x:v>
      </x:c>
      <x:c r="K76" s="147" t="n">
        <x:v>16</x:v>
      </x:c>
      <x:c r="L76" s="147" t="str">
        <x:v>Órdenes, actas, dossier y contactos</x:v>
      </x:c>
      <x:c r="M76" s="147" t="str">
        <x:v>Recepción trazable; revisión de riesgos; ensayos autorizados; siguiente acción con responsable</x:v>
      </x:c>
    </x:row>
    <x:row r="77" ht="42" customHeight="1">
      <x:c r="A77" s="147" t="str">
        <x:v>T161</x:v>
      </x:c>
      <x:c r="B77" s="147" t="str">
        <x:v>Parche descartable</x:v>
      </x:c>
      <x:c r="C77" s="147" t="str">
        <x:v>Repetibilidad por lote: preparación/ejecución</x:v>
      </x:c>
      <x:c r="D77" s="147" t="n">
        <x:v>8</x:v>
      </x:c>
      <x:c r="E77" s="147" t="n">
        <x:v>16</x:v>
      </x:c>
      <x:c r="F77" s="147" t="str">
        <x:v>Técnico laboratorio</x:v>
      </x:c>
      <x:c r="G77" s="147" t="str">
        <x:v>T151</x:v>
      </x:c>
      <x:c r="H77" s="147" t="n">
        <x:v>6.4</x:v>
      </x:c>
      <x:c r="I77" s="147" t="n">
        <x:v>6.4</x:v>
      </x:c>
      <x:c r="J77" s="147" t="n">
        <x:v>6.4</x:v>
      </x:c>
      <x:c r="K77" s="147" t="n">
        <x:v>44.800000000000004</x:v>
      </x:c>
      <x:c r="L77" s="147" t="str">
        <x:v>Muestras y protocolo por lote</x:v>
      </x:c>
      <x:c r="M77" s="147" t="str">
        <x:v>Evidencia contra requisito del ciclo; revisión cruzada y desvíos críticos documentados</x:v>
      </x:c>
    </x:row>
    <x:row r="78" ht="42" customHeight="1">
      <x:c r="A78" s="147" t="str">
        <x:v>T162</x:v>
      </x:c>
      <x:c r="B78" s="147" t="str">
        <x:v>Lector reutilizable</x:v>
      </x:c>
      <x:c r="C78" s="147" t="str">
        <x:v>Carga, consumo y memoria: preparación/ejecución</x:v>
      </x:c>
      <x:c r="D78" s="147" t="n">
        <x:v>8</x:v>
      </x:c>
      <x:c r="E78" s="147" t="n">
        <x:v>16</x:v>
      </x:c>
      <x:c r="F78" s="147" t="str">
        <x:v>Ing. embebidos</x:v>
      </x:c>
      <x:c r="G78" s="147" t="str">
        <x:v>T152</x:v>
      </x:c>
      <x:c r="H78" s="147" t="n">
        <x:v>6.4</x:v>
      </x:c>
      <x:c r="I78" s="147" t="n">
        <x:v>44.800000000000004</x:v>
      </x:c>
      <x:c r="J78" s="147" t="n">
        <x:v>6.4</x:v>
      </x:c>
      <x:c r="K78" s="147" t="n">
        <x:v>6.4</x:v>
      </x:c>
      <x:c r="L78" s="147" t="str">
        <x:v>Versión de PCB/firmware y mediciones</x:v>
      </x:c>
      <x:c r="M78" s="147" t="str">
        <x:v>Evidencia contra requisito del ciclo; revisión cruzada y desvíos críticos documentados</x:v>
      </x:c>
    </x:row>
    <x:row r="79" ht="42" customHeight="1">
      <x:c r="A79" s="147" t="str">
        <x:v>T163</x:v>
      </x:c>
      <x:c r="B79" s="147" t="str">
        <x:v>Pulsera</x:v>
      </x:c>
      <x:c r="C79" s="147" t="str">
        <x:v>LED, consumo y caducidad: preparación/ejecución</x:v>
      </x:c>
      <x:c r="D79" s="147" t="n">
        <x:v>8</x:v>
      </x:c>
      <x:c r="E79" s="147" t="n">
        <x:v>16</x:v>
      </x:c>
      <x:c r="F79" s="147" t="str">
        <x:v>Técnico QA</x:v>
      </x:c>
      <x:c r="G79" s="147" t="str">
        <x:v>T153</x:v>
      </x:c>
      <x:c r="H79" s="147" t="n">
        <x:v>6.4</x:v>
      </x:c>
      <x:c r="I79" s="147" t="n">
        <x:v>6.4</x:v>
      </x:c>
      <x:c r="J79" s="147" t="n">
        <x:v>44.800000000000004</x:v>
      </x:c>
      <x:c r="K79" s="147" t="n">
        <x:v>6.4</x:v>
      </x:c>
      <x:c r="L79" s="147" t="str">
        <x:v>Versión de pulsera y reporte</x:v>
      </x:c>
      <x:c r="M79" s="147" t="str">
        <x:v>Evidencia contra requisito del ciclo; revisión cruzada y desvíos críticos documentados</x:v>
      </x:c>
    </x:row>
    <x:row r="80" ht="42" customHeight="1">
      <x:c r="A80" s="147" t="str">
        <x:v>T164</x:v>
      </x:c>
      <x:c r="B80" s="147" t="str">
        <x:v>Aplicación</x:v>
      </x:c>
      <x:c r="C80" s="147" t="str">
        <x:v>Evaluación de modelos: preparación/ejecución</x:v>
      </x:c>
      <x:c r="D80" s="147" t="n">
        <x:v>8</x:v>
      </x:c>
      <x:c r="E80" s="147" t="n">
        <x:v>16</x:v>
      </x:c>
      <x:c r="F80" s="147" t="str">
        <x:v>Ing. software</x:v>
      </x:c>
      <x:c r="G80" s="147" t="str">
        <x:v>T154</x:v>
      </x:c>
      <x:c r="H80" s="147" t="n">
        <x:v>44.800000000000004</x:v>
      </x:c>
      <x:c r="I80" s="147" t="n">
        <x:v>6.4</x:v>
      </x:c>
      <x:c r="J80" s="147" t="n">
        <x:v>6.4</x:v>
      </x:c>
      <x:c r="K80" s="147" t="n">
        <x:v>6.4</x:v>
      </x:c>
      <x:c r="L80" s="147" t="str">
        <x:v>Aplicación instalable y reporte</x:v>
      </x:c>
      <x:c r="M80" s="147" t="str">
        <x:v>Evidencia contra requisito del ciclo; revisión cruzada y desvíos críticos documentados</x:v>
      </x:c>
    </x:row>
    <x:row r="81" ht="42" customHeight="1">
      <x:c r="A81" s="147" t="str">
        <x:v>X16</x:v>
      </x:c>
      <x:c r="B81" s="147" t="str">
        <x:v>Transversal</x:v>
      </x:c>
      <x:c r="C81" s="147" t="str">
        <x:v>Coordinación, compras, QA, documentación; evidencia clínica/regulatoria</x:v>
      </x:c>
      <x:c r="D81" s="147" t="n">
        <x:v>8</x:v>
      </x:c>
      <x:c r="E81" s="147" t="n">
        <x:v>16</x:v>
      </x:c>
      <x:c r="F81" s="147" t="str">
        <x:v>Equipo; técnico laboratorio coordina</x:v>
      </x:c>
      <x:c r="G81" s="147" t="str">
        <x:v>X15</x:v>
      </x:c>
      <x:c r="H81" s="147" t="n">
        <x:v>16</x:v>
      </x:c>
      <x:c r="I81" s="147" t="n">
        <x:v>16</x:v>
      </x:c>
      <x:c r="J81" s="147" t="n">
        <x:v>16</x:v>
      </x:c>
      <x:c r="K81" s="147" t="n">
        <x:v>16</x:v>
      </x:c>
      <x:c r="L81" s="147" t="str">
        <x:v>Órdenes, actas, dossier y contactos</x:v>
      </x:c>
      <x:c r="M81" s="147" t="str">
        <x:v>Recepción trazable; revisión de riesgos; ensayos autorizados; siguiente acción con responsable</x:v>
      </x:c>
    </x:row>
    <x:row r="82" ht="42" customHeight="1">
      <x:c r="A82" s="147" t="str">
        <x:v>T171</x:v>
      </x:c>
      <x:c r="B82" s="147" t="str">
        <x:v>Parche descartable</x:v>
      </x:c>
      <x:c r="C82" s="147" t="str">
        <x:v>Repetibilidad por lote: verificación/corrección</x:v>
      </x:c>
      <x:c r="D82" s="147" t="n">
        <x:v>8</x:v>
      </x:c>
      <x:c r="E82" s="147" t="n">
        <x:v>17</x:v>
      </x:c>
      <x:c r="F82" s="147" t="str">
        <x:v>Técnico laboratorio</x:v>
      </x:c>
      <x:c r="G82" s="147" t="str">
        <x:v>T161</x:v>
      </x:c>
      <x:c r="H82" s="147" t="n">
        <x:v>6.4</x:v>
      </x:c>
      <x:c r="I82" s="147" t="n">
        <x:v>6.4</x:v>
      </x:c>
      <x:c r="J82" s="147" t="n">
        <x:v>6.4</x:v>
      </x:c>
      <x:c r="K82" s="147" t="n">
        <x:v>44.800000000000004</x:v>
      </x:c>
      <x:c r="L82" s="147" t="str">
        <x:v>Muestras y protocolo por lote</x:v>
      </x:c>
      <x:c r="M82" s="147" t="str">
        <x:v>Evidencia contra requisito del ciclo; revisión cruzada y desvíos críticos documentados</x:v>
      </x:c>
    </x:row>
    <x:row r="83" ht="42" customHeight="1">
      <x:c r="A83" s="147" t="str">
        <x:v>T172</x:v>
      </x:c>
      <x:c r="B83" s="147" t="str">
        <x:v>Lector reutilizable</x:v>
      </x:c>
      <x:c r="C83" s="147" t="str">
        <x:v>Carga, consumo y memoria: verificación/corrección</x:v>
      </x:c>
      <x:c r="D83" s="147" t="n">
        <x:v>8</x:v>
      </x:c>
      <x:c r="E83" s="147" t="n">
        <x:v>17</x:v>
      </x:c>
      <x:c r="F83" s="147" t="str">
        <x:v>Ing. embebidos</x:v>
      </x:c>
      <x:c r="G83" s="147" t="str">
        <x:v>T162</x:v>
      </x:c>
      <x:c r="H83" s="147" t="n">
        <x:v>6.4</x:v>
      </x:c>
      <x:c r="I83" s="147" t="n">
        <x:v>44.800000000000004</x:v>
      </x:c>
      <x:c r="J83" s="147" t="n">
        <x:v>6.4</x:v>
      </x:c>
      <x:c r="K83" s="147" t="n">
        <x:v>6.4</x:v>
      </x:c>
      <x:c r="L83" s="147" t="str">
        <x:v>Versión de PCB/firmware y mediciones</x:v>
      </x:c>
      <x:c r="M83" s="147" t="str">
        <x:v>Evidencia contra requisito del ciclo; revisión cruzada y desvíos críticos documentados</x:v>
      </x:c>
    </x:row>
    <x:row r="84" ht="42" customHeight="1">
      <x:c r="A84" s="147" t="str">
        <x:v>T173</x:v>
      </x:c>
      <x:c r="B84" s="147" t="str">
        <x:v>Pulsera</x:v>
      </x:c>
      <x:c r="C84" s="147" t="str">
        <x:v>LED, consumo y caducidad: verificación/corrección</x:v>
      </x:c>
      <x:c r="D84" s="147" t="n">
        <x:v>8</x:v>
      </x:c>
      <x:c r="E84" s="147" t="n">
        <x:v>17</x:v>
      </x:c>
      <x:c r="F84" s="147" t="str">
        <x:v>Técnico QA</x:v>
      </x:c>
      <x:c r="G84" s="147" t="str">
        <x:v>T163</x:v>
      </x:c>
      <x:c r="H84" s="147" t="n">
        <x:v>6.4</x:v>
      </x:c>
      <x:c r="I84" s="147" t="n">
        <x:v>6.4</x:v>
      </x:c>
      <x:c r="J84" s="147" t="n">
        <x:v>44.800000000000004</x:v>
      </x:c>
      <x:c r="K84" s="147" t="n">
        <x:v>6.4</x:v>
      </x:c>
      <x:c r="L84" s="147" t="str">
        <x:v>Versión de pulsera y reporte</x:v>
      </x:c>
      <x:c r="M84" s="147" t="str">
        <x:v>Evidencia contra requisito del ciclo; revisión cruzada y desvíos críticos documentados</x:v>
      </x:c>
    </x:row>
    <x:row r="85" ht="42" customHeight="1">
      <x:c r="A85" s="147" t="str">
        <x:v>T174</x:v>
      </x:c>
      <x:c r="B85" s="147" t="str">
        <x:v>Aplicación</x:v>
      </x:c>
      <x:c r="C85" s="147" t="str">
        <x:v>Evaluación de modelos: verificación/corrección</x:v>
      </x:c>
      <x:c r="D85" s="147" t="n">
        <x:v>8</x:v>
      </x:c>
      <x:c r="E85" s="147" t="n">
        <x:v>17</x:v>
      </x:c>
      <x:c r="F85" s="147" t="str">
        <x:v>Ing. software</x:v>
      </x:c>
      <x:c r="G85" s="147" t="str">
        <x:v>T164</x:v>
      </x:c>
      <x:c r="H85" s="147" t="n">
        <x:v>44.800000000000004</x:v>
      </x:c>
      <x:c r="I85" s="147" t="n">
        <x:v>6.4</x:v>
      </x:c>
      <x:c r="J85" s="147" t="n">
        <x:v>6.4</x:v>
      </x:c>
      <x:c r="K85" s="147" t="n">
        <x:v>6.4</x:v>
      </x:c>
      <x:c r="L85" s="147" t="str">
        <x:v>Aplicación instalable y reporte</x:v>
      </x:c>
      <x:c r="M85" s="147" t="str">
        <x:v>Evidencia contra requisito del ciclo; revisión cruzada y desvíos críticos documentados</x:v>
      </x:c>
    </x:row>
    <x:row r="86" ht="42" customHeight="1">
      <x:c r="A86" s="147" t="str">
        <x:v>X17</x:v>
      </x:c>
      <x:c r="B86" s="147" t="str">
        <x:v>Transversal</x:v>
      </x:c>
      <x:c r="C86" s="147" t="str">
        <x:v>Coordinación, compras, QA, documentación; evidencia clínica/regulatoria</x:v>
      </x:c>
      <x:c r="D86" s="147" t="n">
        <x:v>8</x:v>
      </x:c>
      <x:c r="E86" s="147" t="n">
        <x:v>17</x:v>
      </x:c>
      <x:c r="F86" s="147" t="str">
        <x:v>Equipo; técnico laboratorio coordina</x:v>
      </x:c>
      <x:c r="G86" s="147" t="str">
        <x:v>X16</x:v>
      </x:c>
      <x:c r="H86" s="147" t="n">
        <x:v>16</x:v>
      </x:c>
      <x:c r="I86" s="147" t="n">
        <x:v>16</x:v>
      </x:c>
      <x:c r="J86" s="147" t="n">
        <x:v>16</x:v>
      </x:c>
      <x:c r="K86" s="147" t="n">
        <x:v>16</x:v>
      </x:c>
      <x:c r="L86" s="147" t="str">
        <x:v>Órdenes, actas, dossier y contactos</x:v>
      </x:c>
      <x:c r="M86" s="147" t="str">
        <x:v>Recepción trazable; revisión de riesgos; ensayos autorizados; siguiente acción con responsable</x:v>
      </x:c>
    </x:row>
    <x:row r="87" ht="42" customHeight="1">
      <x:c r="A87" s="147" t="str">
        <x:v>T181</x:v>
      </x:c>
      <x:c r="B87" s="147" t="str">
        <x:v>Parche descartable</x:v>
      </x:c>
      <x:c r="C87" s="147" t="str">
        <x:v>Sudor, adhesión y recambio: preparación/ejecución</x:v>
      </x:c>
      <x:c r="D87" s="147" t="n">
        <x:v>9</x:v>
      </x:c>
      <x:c r="E87" s="147" t="n">
        <x:v>18</x:v>
      </x:c>
      <x:c r="F87" s="147" t="str">
        <x:v>Técnico laboratorio</x:v>
      </x:c>
      <x:c r="G87" s="147" t="str">
        <x:v>T171</x:v>
      </x:c>
      <x:c r="H87" s="147" t="n">
        <x:v>4.266666666666667</x:v>
      </x:c>
      <x:c r="I87" s="147" t="n">
        <x:v>4.266666666666667</x:v>
      </x:c>
      <x:c r="J87" s="147" t="n">
        <x:v>4.266666666666667</x:v>
      </x:c>
      <x:c r="K87" s="147" t="n">
        <x:v>29.86666666666667</x:v>
      </x:c>
      <x:c r="L87" s="147" t="str">
        <x:v>Muestras y protocolo por lote</x:v>
      </x:c>
      <x:c r="M87" s="147" t="str">
        <x:v>Evidencia contra requisito del ciclo; revisión cruzada y desvíos críticos documentados</x:v>
      </x:c>
    </x:row>
    <x:row r="88" ht="42" customHeight="1">
      <x:c r="A88" s="147" t="str">
        <x:v>T182</x:v>
      </x:c>
      <x:c r="B88" s="147" t="str">
        <x:v>Lector reutilizable</x:v>
      </x:c>
      <x:c r="C88" s="147" t="str">
        <x:v>IP68 y alternancia: preparación/ejecución</x:v>
      </x:c>
      <x:c r="D88" s="147" t="n">
        <x:v>9</x:v>
      </x:c>
      <x:c r="E88" s="147" t="n">
        <x:v>18</x:v>
      </x:c>
      <x:c r="F88" s="147" t="str">
        <x:v>Ing. embebidos</x:v>
      </x:c>
      <x:c r="G88" s="147" t="str">
        <x:v>T172</x:v>
      </x:c>
      <x:c r="H88" s="147" t="n">
        <x:v>4.266666666666667</x:v>
      </x:c>
      <x:c r="I88" s="147" t="n">
        <x:v>29.86666666666667</x:v>
      </x:c>
      <x:c r="J88" s="147" t="n">
        <x:v>4.266666666666667</x:v>
      </x:c>
      <x:c r="K88" s="147" t="n">
        <x:v>4.266666666666667</x:v>
      </x:c>
      <x:c r="L88" s="147" t="str">
        <x:v>Versión de PCB/firmware y mediciones</x:v>
      </x:c>
      <x:c r="M88" s="147" t="str">
        <x:v>Evidencia contra requisito del ciclo; revisión cruzada y desvíos críticos documentados</x:v>
      </x:c>
    </x:row>
    <x:row r="89" ht="42" customHeight="1">
      <x:c r="A89" s="147" t="str">
        <x:v>T183</x:v>
      </x:c>
      <x:c r="B89" s="147" t="str">
        <x:v>Pulsera</x:v>
      </x:c>
      <x:c r="C89" s="147" t="str">
        <x:v>IP68 y sudor: preparación/ejecución</x:v>
      </x:c>
      <x:c r="D89" s="147" t="n">
        <x:v>9</x:v>
      </x:c>
      <x:c r="E89" s="147" t="n">
        <x:v>18</x:v>
      </x:c>
      <x:c r="F89" s="147" t="str">
        <x:v>Técnico QA</x:v>
      </x:c>
      <x:c r="G89" s="147" t="str">
        <x:v>T173</x:v>
      </x:c>
      <x:c r="H89" s="147" t="n">
        <x:v>4.266666666666667</x:v>
      </x:c>
      <x:c r="I89" s="147" t="n">
        <x:v>4.266666666666667</x:v>
      </x:c>
      <x:c r="J89" s="147" t="n">
        <x:v>29.86666666666667</x:v>
      </x:c>
      <x:c r="K89" s="147" t="n">
        <x:v>4.266666666666667</x:v>
      </x:c>
      <x:c r="L89" s="147" t="str">
        <x:v>Versión de pulsera y reporte</x:v>
      </x:c>
      <x:c r="M89" s="147" t="str">
        <x:v>Evidencia contra requisito del ciclo; revisión cruzada y desvíos críticos documentados</x:v>
      </x:c>
    </x:row>
    <x:row r="90" ht="42" customHeight="1">
      <x:c r="A90" s="147" t="str">
        <x:v>T184</x:v>
      </x:c>
      <x:c r="B90" s="147" t="str">
        <x:v>Aplicación</x:v>
      </x:c>
      <x:c r="C90" s="147" t="str">
        <x:v>Avisos actuales y predictivos: preparación/ejecución</x:v>
      </x:c>
      <x:c r="D90" s="147" t="n">
        <x:v>9</x:v>
      </x:c>
      <x:c r="E90" s="147" t="n">
        <x:v>18</x:v>
      </x:c>
      <x:c r="F90" s="147" t="str">
        <x:v>Ing. software</x:v>
      </x:c>
      <x:c r="G90" s="147" t="str">
        <x:v>T174</x:v>
      </x:c>
      <x:c r="H90" s="147" t="n">
        <x:v>29.86666666666667</x:v>
      </x:c>
      <x:c r="I90" s="147" t="n">
        <x:v>4.266666666666667</x:v>
      </x:c>
      <x:c r="J90" s="147" t="n">
        <x:v>4.266666666666667</x:v>
      </x:c>
      <x:c r="K90" s="147" t="n">
        <x:v>4.266666666666667</x:v>
      </x:c>
      <x:c r="L90" s="147" t="str">
        <x:v>Aplicación instalable y reporte</x:v>
      </x:c>
      <x:c r="M90" s="147" t="str">
        <x:v>Evidencia contra requisito del ciclo; revisión cruzada y desvíos críticos documentados</x:v>
      </x:c>
    </x:row>
    <x:row r="91" ht="42" customHeight="1">
      <x:c r="A91" s="147" t="str">
        <x:v>X18</x:v>
      </x:c>
      <x:c r="B91" s="147" t="str">
        <x:v>Transversal</x:v>
      </x:c>
      <x:c r="C91" s="147" t="str">
        <x:v>Coordinación, compras, QA, documentación; evidencia clínica/regulatoria; captación de aliados</x:v>
      </x:c>
      <x:c r="D91" s="147" t="n">
        <x:v>9</x:v>
      </x:c>
      <x:c r="E91" s="147" t="n">
        <x:v>18</x:v>
      </x:c>
      <x:c r="F91" s="147" t="str">
        <x:v>Equipo; técnico laboratorio coordina</x:v>
      </x:c>
      <x:c r="G91" s="147" t="str">
        <x:v>X17</x:v>
      </x:c>
      <x:c r="H91" s="147" t="n">
        <x:v>10.666666666666668</x:v>
      </x:c>
      <x:c r="I91" s="147" t="n">
        <x:v>10.666666666666668</x:v>
      </x:c>
      <x:c r="J91" s="147" t="n">
        <x:v>10.666666666666668</x:v>
      </x:c>
      <x:c r="K91" s="147" t="n">
        <x:v>10.666666666666668</x:v>
      </x:c>
      <x:c r="L91" s="147" t="str">
        <x:v>Órdenes, actas, dossier y contactos</x:v>
      </x:c>
      <x:c r="M91" s="147" t="str">
        <x:v>Recepción trazable; revisión de riesgos; ensayos autorizados; siguiente acción con responsable</x:v>
      </x:c>
    </x:row>
    <x:row r="92" ht="42" customHeight="1">
      <x:c r="A92" s="147" t="str">
        <x:v>T191</x:v>
      </x:c>
      <x:c r="B92" s="147" t="str">
        <x:v>Parche descartable</x:v>
      </x:c>
      <x:c r="C92" s="147" t="str">
        <x:v>Sudor, adhesión y recambio: verificación/corrección</x:v>
      </x:c>
      <x:c r="D92" s="147" t="n">
        <x:v>9</x:v>
      </x:c>
      <x:c r="E92" s="147" t="n">
        <x:v>19</x:v>
      </x:c>
      <x:c r="F92" s="147" t="str">
        <x:v>Técnico laboratorio</x:v>
      </x:c>
      <x:c r="G92" s="147" t="str">
        <x:v>T181</x:v>
      </x:c>
      <x:c r="H92" s="147" t="n">
        <x:v>4.266666666666667</x:v>
      </x:c>
      <x:c r="I92" s="147" t="n">
        <x:v>4.266666666666667</x:v>
      </x:c>
      <x:c r="J92" s="147" t="n">
        <x:v>4.266666666666667</x:v>
      </x:c>
      <x:c r="K92" s="147" t="n">
        <x:v>29.86666666666667</x:v>
      </x:c>
      <x:c r="L92" s="147" t="str">
        <x:v>Muestras y protocolo por lote</x:v>
      </x:c>
      <x:c r="M92" s="147" t="str">
        <x:v>Evidencia contra requisito del ciclo; revisión cruzada y desvíos críticos documentados</x:v>
      </x:c>
    </x:row>
    <x:row r="93" ht="42" customHeight="1">
      <x:c r="A93" s="147" t="str">
        <x:v>T192</x:v>
      </x:c>
      <x:c r="B93" s="147" t="str">
        <x:v>Lector reutilizable</x:v>
      </x:c>
      <x:c r="C93" s="147" t="str">
        <x:v>IP68 y alternancia: verificación/corrección</x:v>
      </x:c>
      <x:c r="D93" s="147" t="n">
        <x:v>9</x:v>
      </x:c>
      <x:c r="E93" s="147" t="n">
        <x:v>19</x:v>
      </x:c>
      <x:c r="F93" s="147" t="str">
        <x:v>Ing. embebidos</x:v>
      </x:c>
      <x:c r="G93" s="147" t="str">
        <x:v>T182</x:v>
      </x:c>
      <x:c r="H93" s="147" t="n">
        <x:v>4.266666666666667</x:v>
      </x:c>
      <x:c r="I93" s="147" t="n">
        <x:v>29.86666666666667</x:v>
      </x:c>
      <x:c r="J93" s="147" t="n">
        <x:v>4.266666666666667</x:v>
      </x:c>
      <x:c r="K93" s="147" t="n">
        <x:v>4.266666666666667</x:v>
      </x:c>
      <x:c r="L93" s="147" t="str">
        <x:v>Versión de PCB/firmware y mediciones</x:v>
      </x:c>
      <x:c r="M93" s="147" t="str">
        <x:v>Evidencia contra requisito del ciclo; revisión cruzada y desvíos críticos documentados</x:v>
      </x:c>
    </x:row>
    <x:row r="94" ht="42" customHeight="1">
      <x:c r="A94" s="147" t="str">
        <x:v>T193</x:v>
      </x:c>
      <x:c r="B94" s="147" t="str">
        <x:v>Pulsera</x:v>
      </x:c>
      <x:c r="C94" s="147" t="str">
        <x:v>IP68 y sudor: verificación/corrección</x:v>
      </x:c>
      <x:c r="D94" s="147" t="n">
        <x:v>9</x:v>
      </x:c>
      <x:c r="E94" s="147" t="n">
        <x:v>19</x:v>
      </x:c>
      <x:c r="F94" s="147" t="str">
        <x:v>Técnico QA</x:v>
      </x:c>
      <x:c r="G94" s="147" t="str">
        <x:v>T183</x:v>
      </x:c>
      <x:c r="H94" s="147" t="n">
        <x:v>4.266666666666667</x:v>
      </x:c>
      <x:c r="I94" s="147" t="n">
        <x:v>4.266666666666667</x:v>
      </x:c>
      <x:c r="J94" s="147" t="n">
        <x:v>29.86666666666667</x:v>
      </x:c>
      <x:c r="K94" s="147" t="n">
        <x:v>4.266666666666667</x:v>
      </x:c>
      <x:c r="L94" s="147" t="str">
        <x:v>Versión de pulsera y reporte</x:v>
      </x:c>
      <x:c r="M94" s="147" t="str">
        <x:v>Evidencia contra requisito del ciclo; revisión cruzada y desvíos críticos documentados</x:v>
      </x:c>
    </x:row>
    <x:row r="95" ht="42" customHeight="1">
      <x:c r="A95" s="147" t="str">
        <x:v>T194</x:v>
      </x:c>
      <x:c r="B95" s="147" t="str">
        <x:v>Aplicación</x:v>
      </x:c>
      <x:c r="C95" s="147" t="str">
        <x:v>Avisos actuales y predictivos: verificación/corrección</x:v>
      </x:c>
      <x:c r="D95" s="147" t="n">
        <x:v>9</x:v>
      </x:c>
      <x:c r="E95" s="147" t="n">
        <x:v>19</x:v>
      </x:c>
      <x:c r="F95" s="147" t="str">
        <x:v>Ing. software</x:v>
      </x:c>
      <x:c r="G95" s="147" t="str">
        <x:v>T184</x:v>
      </x:c>
      <x:c r="H95" s="147" t="n">
        <x:v>29.86666666666667</x:v>
      </x:c>
      <x:c r="I95" s="147" t="n">
        <x:v>4.266666666666667</x:v>
      </x:c>
      <x:c r="J95" s="147" t="n">
        <x:v>4.266666666666667</x:v>
      </x:c>
      <x:c r="K95" s="147" t="n">
        <x:v>4.266666666666667</x:v>
      </x:c>
      <x:c r="L95" s="147" t="str">
        <x:v>Aplicación instalable y reporte</x:v>
      </x:c>
      <x:c r="M95" s="147" t="str">
        <x:v>Evidencia contra requisito del ciclo; revisión cruzada y desvíos críticos documentados</x:v>
      </x:c>
    </x:row>
    <x:row r="96" ht="42" customHeight="1">
      <x:c r="A96" s="147" t="str">
        <x:v>X19</x:v>
      </x:c>
      <x:c r="B96" s="147" t="str">
        <x:v>Transversal</x:v>
      </x:c>
      <x:c r="C96" s="147" t="str">
        <x:v>Coordinación, compras, QA, documentación; evidencia clínica/regulatoria; captación de aliados</x:v>
      </x:c>
      <x:c r="D96" s="147" t="n">
        <x:v>9</x:v>
      </x:c>
      <x:c r="E96" s="147" t="n">
        <x:v>19</x:v>
      </x:c>
      <x:c r="F96" s="147" t="str">
        <x:v>Equipo; técnico laboratorio coordina</x:v>
      </x:c>
      <x:c r="G96" s="147" t="str">
        <x:v>X18</x:v>
      </x:c>
      <x:c r="H96" s="147" t="n">
        <x:v>10.666666666666668</x:v>
      </x:c>
      <x:c r="I96" s="147" t="n">
        <x:v>10.666666666666668</x:v>
      </x:c>
      <x:c r="J96" s="147" t="n">
        <x:v>10.666666666666668</x:v>
      </x:c>
      <x:c r="K96" s="147" t="n">
        <x:v>10.666666666666668</x:v>
      </x:c>
      <x:c r="L96" s="147" t="str">
        <x:v>Órdenes, actas, dossier y contactos</x:v>
      </x:c>
      <x:c r="M96" s="147" t="str">
        <x:v>Recepción trazable; revisión de riesgos; ensayos autorizados; siguiente acción con responsable</x:v>
      </x:c>
    </x:row>
    <x:row r="97" ht="42" customHeight="1">
      <x:c r="A97" s="147" t="str">
        <x:v>T201</x:v>
      </x:c>
      <x:c r="B97" s="147" t="str">
        <x:v>Parche descartable</x:v>
      </x:c>
      <x:c r="C97" s="147" t="str">
        <x:v>Sudor, adhesión y recambio: repetición/cierre</x:v>
      </x:c>
      <x:c r="D97" s="147" t="n">
        <x:v>9</x:v>
      </x:c>
      <x:c r="E97" s="147" t="n">
        <x:v>20</x:v>
      </x:c>
      <x:c r="F97" s="147" t="str">
        <x:v>Técnico laboratorio</x:v>
      </x:c>
      <x:c r="G97" s="147" t="str">
        <x:v>T191</x:v>
      </x:c>
      <x:c r="H97" s="147" t="n">
        <x:v>4.266666666666667</x:v>
      </x:c>
      <x:c r="I97" s="147" t="n">
        <x:v>4.266666666666667</x:v>
      </x:c>
      <x:c r="J97" s="147" t="n">
        <x:v>4.266666666666667</x:v>
      </x:c>
      <x:c r="K97" s="147" t="n">
        <x:v>29.86666666666667</x:v>
      </x:c>
      <x:c r="L97" s="147" t="str">
        <x:v>Muestras y protocolo por lote</x:v>
      </x:c>
      <x:c r="M97" s="147" t="str">
        <x:v>Evidencia contra requisito del ciclo; revisión cruzada y desvíos críticos documentados</x:v>
      </x:c>
    </x:row>
    <x:row r="98" ht="42" customHeight="1">
      <x:c r="A98" s="147" t="str">
        <x:v>T202</x:v>
      </x:c>
      <x:c r="B98" s="147" t="str">
        <x:v>Lector reutilizable</x:v>
      </x:c>
      <x:c r="C98" s="147" t="str">
        <x:v>IP68 y alternancia: repetición/cierre</x:v>
      </x:c>
      <x:c r="D98" s="147" t="n">
        <x:v>9</x:v>
      </x:c>
      <x:c r="E98" s="147" t="n">
        <x:v>20</x:v>
      </x:c>
      <x:c r="F98" s="147" t="str">
        <x:v>Ing. embebidos</x:v>
      </x:c>
      <x:c r="G98" s="147" t="str">
        <x:v>T192</x:v>
      </x:c>
      <x:c r="H98" s="147" t="n">
        <x:v>4.266666666666667</x:v>
      </x:c>
      <x:c r="I98" s="147" t="n">
        <x:v>29.86666666666667</x:v>
      </x:c>
      <x:c r="J98" s="147" t="n">
        <x:v>4.266666666666667</x:v>
      </x:c>
      <x:c r="K98" s="147" t="n">
        <x:v>4.266666666666667</x:v>
      </x:c>
      <x:c r="L98" s="147" t="str">
        <x:v>Versión de PCB/firmware y mediciones</x:v>
      </x:c>
      <x:c r="M98" s="147" t="str">
        <x:v>Evidencia contra requisito del ciclo; revisión cruzada y desvíos críticos documentados</x:v>
      </x:c>
    </x:row>
    <x:row r="99" ht="42" customHeight="1">
      <x:c r="A99" s="147" t="str">
        <x:v>T203</x:v>
      </x:c>
      <x:c r="B99" s="147" t="str">
        <x:v>Pulsera</x:v>
      </x:c>
      <x:c r="C99" s="147" t="str">
        <x:v>IP68 y sudor: repetición/cierre</x:v>
      </x:c>
      <x:c r="D99" s="147" t="n">
        <x:v>9</x:v>
      </x:c>
      <x:c r="E99" s="147" t="n">
        <x:v>20</x:v>
      </x:c>
      <x:c r="F99" s="147" t="str">
        <x:v>Técnico QA</x:v>
      </x:c>
      <x:c r="G99" s="147" t="str">
        <x:v>T193</x:v>
      </x:c>
      <x:c r="H99" s="147" t="n">
        <x:v>4.266666666666667</x:v>
      </x:c>
      <x:c r="I99" s="147" t="n">
        <x:v>4.266666666666667</x:v>
      </x:c>
      <x:c r="J99" s="147" t="n">
        <x:v>29.86666666666667</x:v>
      </x:c>
      <x:c r="K99" s="147" t="n">
        <x:v>4.266666666666667</x:v>
      </x:c>
      <x:c r="L99" s="147" t="str">
        <x:v>Versión de pulsera y reporte</x:v>
      </x:c>
      <x:c r="M99" s="147" t="str">
        <x:v>Evidencia contra requisito del ciclo; revisión cruzada y desvíos críticos documentados</x:v>
      </x:c>
    </x:row>
    <x:row r="100" ht="42" customHeight="1">
      <x:c r="A100" s="147" t="str">
        <x:v>T204</x:v>
      </x:c>
      <x:c r="B100" s="147" t="str">
        <x:v>Aplicación</x:v>
      </x:c>
      <x:c r="C100" s="147" t="str">
        <x:v>Avisos actuales y predictivos: repetición/cierre</x:v>
      </x:c>
      <x:c r="D100" s="147" t="n">
        <x:v>9</x:v>
      </x:c>
      <x:c r="E100" s="147" t="n">
        <x:v>20</x:v>
      </x:c>
      <x:c r="F100" s="147" t="str">
        <x:v>Ing. software</x:v>
      </x:c>
      <x:c r="G100" s="147" t="str">
        <x:v>T194</x:v>
      </x:c>
      <x:c r="H100" s="147" t="n">
        <x:v>29.86666666666667</x:v>
      </x:c>
      <x:c r="I100" s="147" t="n">
        <x:v>4.266666666666667</x:v>
      </x:c>
      <x:c r="J100" s="147" t="n">
        <x:v>4.266666666666667</x:v>
      </x:c>
      <x:c r="K100" s="147" t="n">
        <x:v>4.266666666666667</x:v>
      </x:c>
      <x:c r="L100" s="147" t="str">
        <x:v>Aplicación instalable y reporte</x:v>
      </x:c>
      <x:c r="M100" s="147" t="str">
        <x:v>Evidencia contra requisito del ciclo; revisión cruzada y desvíos críticos documentados</x:v>
      </x:c>
    </x:row>
    <x:row r="101" ht="42" customHeight="1">
      <x:c r="A101" s="147" t="str">
        <x:v>X20</x:v>
      </x:c>
      <x:c r="B101" s="147" t="str">
        <x:v>Transversal</x:v>
      </x:c>
      <x:c r="C101" s="147" t="str">
        <x:v>Coordinación, compras, QA, documentación; evidencia clínica/regulatoria; captación de aliados</x:v>
      </x:c>
      <x:c r="D101" s="147" t="n">
        <x:v>9</x:v>
      </x:c>
      <x:c r="E101" s="147" t="n">
        <x:v>20</x:v>
      </x:c>
      <x:c r="F101" s="147" t="str">
        <x:v>Equipo; técnico laboratorio coordina</x:v>
      </x:c>
      <x:c r="G101" s="147" t="str">
        <x:v>X19</x:v>
      </x:c>
      <x:c r="H101" s="147" t="n">
        <x:v>10.666666666666668</x:v>
      </x:c>
      <x:c r="I101" s="147" t="n">
        <x:v>10.666666666666668</x:v>
      </x:c>
      <x:c r="J101" s="147" t="n">
        <x:v>10.666666666666668</x:v>
      </x:c>
      <x:c r="K101" s="147" t="n">
        <x:v>10.666666666666668</x:v>
      </x:c>
      <x:c r="L101" s="147" t="str">
        <x:v>Órdenes, actas, dossier y contactos</x:v>
      </x:c>
      <x:c r="M101" s="147" t="str">
        <x:v>Recepción trazable; revisión de riesgos; ensayos autorizados; siguiente acción con responsable</x:v>
      </x:c>
    </x:row>
    <x:row r="102" ht="42" customHeight="1">
      <x:c r="A102" s="147" t="str">
        <x:v>T211</x:v>
      </x:c>
      <x:c r="B102" s="147" t="str">
        <x:v>Parche descartable</x:v>
      </x:c>
      <x:c r="C102" s="147" t="str">
        <x:v>Corrección de formulación: preparación/ejecución</x:v>
      </x:c>
      <x:c r="D102" s="147" t="n">
        <x:v>10</x:v>
      </x:c>
      <x:c r="E102" s="147" t="n">
        <x:v>21</x:v>
      </x:c>
      <x:c r="F102" s="147" t="str">
        <x:v>Técnico laboratorio</x:v>
      </x:c>
      <x:c r="G102" s="147" t="str">
        <x:v>T201</x:v>
      </x:c>
      <x:c r="H102" s="147" t="n">
        <x:v>6.4</x:v>
      </x:c>
      <x:c r="I102" s="147" t="n">
        <x:v>6.4</x:v>
      </x:c>
      <x:c r="J102" s="147" t="n">
        <x:v>6.4</x:v>
      </x:c>
      <x:c r="K102" s="147" t="n">
        <x:v>44.800000000000004</x:v>
      </x:c>
      <x:c r="L102" s="147" t="str">
        <x:v>Muestras y protocolo por lote</x:v>
      </x:c>
      <x:c r="M102" s="147" t="str">
        <x:v>Evidencia contra requisito del ciclo; revisión cruzada y desvíos críticos documentados</x:v>
      </x:c>
    </x:row>
    <x:row r="103" ht="42" customHeight="1">
      <x:c r="A103" s="147" t="str">
        <x:v>T212</x:v>
      </x:c>
      <x:c r="B103" s="147" t="str">
        <x:v>Lector reutilizable</x:v>
      </x:c>
      <x:c r="C103" s="147" t="str">
        <x:v>Correcciones PCB/firmware: preparación/ejecución</x:v>
      </x:c>
      <x:c r="D103" s="147" t="n">
        <x:v>10</x:v>
      </x:c>
      <x:c r="E103" s="147" t="n">
        <x:v>21</x:v>
      </x:c>
      <x:c r="F103" s="147" t="str">
        <x:v>Ing. embebidos</x:v>
      </x:c>
      <x:c r="G103" s="147" t="str">
        <x:v>T202</x:v>
      </x:c>
      <x:c r="H103" s="147" t="n">
        <x:v>6.4</x:v>
      </x:c>
      <x:c r="I103" s="147" t="n">
        <x:v>44.800000000000004</x:v>
      </x:c>
      <x:c r="J103" s="147" t="n">
        <x:v>6.4</x:v>
      </x:c>
      <x:c r="K103" s="147" t="n">
        <x:v>6.4</x:v>
      </x:c>
      <x:c r="L103" s="147" t="str">
        <x:v>Versión de PCB/firmware y mediciones</x:v>
      </x:c>
      <x:c r="M103" s="147" t="str">
        <x:v>Evidencia contra requisito del ciclo; revisión cruzada y desvíos críticos documentados</x:v>
      </x:c>
    </x:row>
    <x:row r="104" ht="42" customHeight="1">
      <x:c r="A104" s="147" t="str">
        <x:v>T213</x:v>
      </x:c>
      <x:c r="B104" s="147" t="str">
        <x:v>Pulsera</x:v>
      </x:c>
      <x:c r="C104" s="147" t="str">
        <x:v>Correcciones: preparación/ejecución</x:v>
      </x:c>
      <x:c r="D104" s="147" t="n">
        <x:v>10</x:v>
      </x:c>
      <x:c r="E104" s="147" t="n">
        <x:v>21</x:v>
      </x:c>
      <x:c r="F104" s="147" t="str">
        <x:v>Técnico QA</x:v>
      </x:c>
      <x:c r="G104" s="147" t="str">
        <x:v>T203</x:v>
      </x:c>
      <x:c r="H104" s="147" t="n">
        <x:v>6.4</x:v>
      </x:c>
      <x:c r="I104" s="147" t="n">
        <x:v>6.4</x:v>
      </x:c>
      <x:c r="J104" s="147" t="n">
        <x:v>44.800000000000004</x:v>
      </x:c>
      <x:c r="K104" s="147" t="n">
        <x:v>6.4</x:v>
      </x:c>
      <x:c r="L104" s="147" t="str">
        <x:v>Versión de pulsera y reporte</x:v>
      </x:c>
      <x:c r="M104" s="147" t="str">
        <x:v>Evidencia contra requisito del ciclo; revisión cruzada y desvíos críticos documentados</x:v>
      </x:c>
    </x:row>
    <x:row r="105" ht="42" customHeight="1">
      <x:c r="A105" s="147" t="str">
        <x:v>T214</x:v>
      </x:c>
      <x:c r="B105" s="147" t="str">
        <x:v>Aplicación</x:v>
      </x:c>
      <x:c r="C105" s="147" t="str">
        <x:v>Usabilidad y fallas: preparación/ejecución</x:v>
      </x:c>
      <x:c r="D105" s="147" t="n">
        <x:v>10</x:v>
      </x:c>
      <x:c r="E105" s="147" t="n">
        <x:v>21</x:v>
      </x:c>
      <x:c r="F105" s="147" t="str">
        <x:v>Ing. software</x:v>
      </x:c>
      <x:c r="G105" s="147" t="str">
        <x:v>T204</x:v>
      </x:c>
      <x:c r="H105" s="147" t="n">
        <x:v>44.800000000000004</x:v>
      </x:c>
      <x:c r="I105" s="147" t="n">
        <x:v>6.4</x:v>
      </x:c>
      <x:c r="J105" s="147" t="n">
        <x:v>6.4</x:v>
      </x:c>
      <x:c r="K105" s="147" t="n">
        <x:v>6.4</x:v>
      </x:c>
      <x:c r="L105" s="147" t="str">
        <x:v>Aplicación instalable y reporte</x:v>
      </x:c>
      <x:c r="M105" s="147" t="str">
        <x:v>Evidencia contra requisito del ciclo; revisión cruzada y desvíos críticos documentados</x:v>
      </x:c>
    </x:row>
    <x:row r="106" ht="42" customHeight="1">
      <x:c r="A106" s="147" t="str">
        <x:v>X21</x:v>
      </x:c>
      <x:c r="B106" s="147" t="str">
        <x:v>Transversal</x:v>
      </x:c>
      <x:c r="C106" s="147" t="str">
        <x:v>Coordinación, compras, QA, documentación; evidencia clínica/regulatoria; captación de aliados</x:v>
      </x:c>
      <x:c r="D106" s="147" t="n">
        <x:v>10</x:v>
      </x:c>
      <x:c r="E106" s="147" t="n">
        <x:v>21</x:v>
      </x:c>
      <x:c r="F106" s="147" t="str">
        <x:v>Equipo; técnico laboratorio coordina</x:v>
      </x:c>
      <x:c r="G106" s="147" t="str">
        <x:v>X20</x:v>
      </x:c>
      <x:c r="H106" s="147" t="n">
        <x:v>16</x:v>
      </x:c>
      <x:c r="I106" s="147" t="n">
        <x:v>16</x:v>
      </x:c>
      <x:c r="J106" s="147" t="n">
        <x:v>16</x:v>
      </x:c>
      <x:c r="K106" s="147" t="n">
        <x:v>16</x:v>
      </x:c>
      <x:c r="L106" s="147" t="str">
        <x:v>Órdenes, actas, dossier y contactos</x:v>
      </x:c>
      <x:c r="M106" s="147" t="str">
        <x:v>Recepción trazable; revisión de riesgos; ensayos autorizados; siguiente acción con responsable</x:v>
      </x:c>
    </x:row>
    <x:row r="107" ht="42" customHeight="1">
      <x:c r="A107" s="147" t="str">
        <x:v>T221</x:v>
      </x:c>
      <x:c r="B107" s="147" t="str">
        <x:v>Parche descartable</x:v>
      </x:c>
      <x:c r="C107" s="147" t="str">
        <x:v>Corrección de formulación: verificación/corrección</x:v>
      </x:c>
      <x:c r="D107" s="147" t="n">
        <x:v>10</x:v>
      </x:c>
      <x:c r="E107" s="147" t="n">
        <x:v>22</x:v>
      </x:c>
      <x:c r="F107" s="147" t="str">
        <x:v>Técnico laboratorio</x:v>
      </x:c>
      <x:c r="G107" s="147" t="str">
        <x:v>T211</x:v>
      </x:c>
      <x:c r="H107" s="147" t="n">
        <x:v>6.4</x:v>
      </x:c>
      <x:c r="I107" s="147" t="n">
        <x:v>6.4</x:v>
      </x:c>
      <x:c r="J107" s="147" t="n">
        <x:v>6.4</x:v>
      </x:c>
      <x:c r="K107" s="147" t="n">
        <x:v>44.800000000000004</x:v>
      </x:c>
      <x:c r="L107" s="147" t="str">
        <x:v>Muestras y protocolo por lote</x:v>
      </x:c>
      <x:c r="M107" s="147" t="str">
        <x:v>Evidencia contra requisito del ciclo; revisión cruzada y desvíos críticos documentados</x:v>
      </x:c>
    </x:row>
    <x:row r="108" ht="42" customHeight="1">
      <x:c r="A108" s="147" t="str">
        <x:v>T222</x:v>
      </x:c>
      <x:c r="B108" s="147" t="str">
        <x:v>Lector reutilizable</x:v>
      </x:c>
      <x:c r="C108" s="147" t="str">
        <x:v>Correcciones PCB/firmware: verificación/corrección</x:v>
      </x:c>
      <x:c r="D108" s="147" t="n">
        <x:v>10</x:v>
      </x:c>
      <x:c r="E108" s="147" t="n">
        <x:v>22</x:v>
      </x:c>
      <x:c r="F108" s="147" t="str">
        <x:v>Ing. embebidos</x:v>
      </x:c>
      <x:c r="G108" s="147" t="str">
        <x:v>T212</x:v>
      </x:c>
      <x:c r="H108" s="147" t="n">
        <x:v>6.4</x:v>
      </x:c>
      <x:c r="I108" s="147" t="n">
        <x:v>44.800000000000004</x:v>
      </x:c>
      <x:c r="J108" s="147" t="n">
        <x:v>6.4</x:v>
      </x:c>
      <x:c r="K108" s="147" t="n">
        <x:v>6.4</x:v>
      </x:c>
      <x:c r="L108" s="147" t="str">
        <x:v>Versión de PCB/firmware y mediciones</x:v>
      </x:c>
      <x:c r="M108" s="147" t="str">
        <x:v>Evidencia contra requisito del ciclo; revisión cruzada y desvíos críticos documentados</x:v>
      </x:c>
    </x:row>
    <x:row r="109" ht="42" customHeight="1">
      <x:c r="A109" s="147" t="str">
        <x:v>T223</x:v>
      </x:c>
      <x:c r="B109" s="147" t="str">
        <x:v>Pulsera</x:v>
      </x:c>
      <x:c r="C109" s="147" t="str">
        <x:v>Correcciones: verificación/corrección</x:v>
      </x:c>
      <x:c r="D109" s="147" t="n">
        <x:v>10</x:v>
      </x:c>
      <x:c r="E109" s="147" t="n">
        <x:v>22</x:v>
      </x:c>
      <x:c r="F109" s="147" t="str">
        <x:v>Técnico QA</x:v>
      </x:c>
      <x:c r="G109" s="147" t="str">
        <x:v>T213</x:v>
      </x:c>
      <x:c r="H109" s="147" t="n">
        <x:v>6.4</x:v>
      </x:c>
      <x:c r="I109" s="147" t="n">
        <x:v>6.4</x:v>
      </x:c>
      <x:c r="J109" s="147" t="n">
        <x:v>44.800000000000004</x:v>
      </x:c>
      <x:c r="K109" s="147" t="n">
        <x:v>6.4</x:v>
      </x:c>
      <x:c r="L109" s="147" t="str">
        <x:v>Versión de pulsera y reporte</x:v>
      </x:c>
      <x:c r="M109" s="147" t="str">
        <x:v>Evidencia contra requisito del ciclo; revisión cruzada y desvíos críticos documentados</x:v>
      </x:c>
    </x:row>
    <x:row r="110" ht="42" customHeight="1">
      <x:c r="A110" s="147" t="str">
        <x:v>T224</x:v>
      </x:c>
      <x:c r="B110" s="147" t="str">
        <x:v>Aplicación</x:v>
      </x:c>
      <x:c r="C110" s="147" t="str">
        <x:v>Usabilidad y fallas: verificación/corrección</x:v>
      </x:c>
      <x:c r="D110" s="147" t="n">
        <x:v>10</x:v>
      </x:c>
      <x:c r="E110" s="147" t="n">
        <x:v>22</x:v>
      </x:c>
      <x:c r="F110" s="147" t="str">
        <x:v>Ing. software</x:v>
      </x:c>
      <x:c r="G110" s="147" t="str">
        <x:v>T214</x:v>
      </x:c>
      <x:c r="H110" s="147" t="n">
        <x:v>44.800000000000004</x:v>
      </x:c>
      <x:c r="I110" s="147" t="n">
        <x:v>6.4</x:v>
      </x:c>
      <x:c r="J110" s="147" t="n">
        <x:v>6.4</x:v>
      </x:c>
      <x:c r="K110" s="147" t="n">
        <x:v>6.4</x:v>
      </x:c>
      <x:c r="L110" s="147" t="str">
        <x:v>Aplicación instalable y reporte</x:v>
      </x:c>
      <x:c r="M110" s="147" t="str">
        <x:v>Evidencia contra requisito del ciclo; revisión cruzada y desvíos críticos documentados</x:v>
      </x:c>
    </x:row>
    <x:row r="111" ht="42" customHeight="1">
      <x:c r="A111" s="147" t="str">
        <x:v>X22</x:v>
      </x:c>
      <x:c r="B111" s="147" t="str">
        <x:v>Transversal</x:v>
      </x:c>
      <x:c r="C111" s="147" t="str">
        <x:v>Coordinación, compras, QA, documentación; evidencia clínica/regulatoria; captación de aliados</x:v>
      </x:c>
      <x:c r="D111" s="147" t="n">
        <x:v>10</x:v>
      </x:c>
      <x:c r="E111" s="147" t="n">
        <x:v>22</x:v>
      </x:c>
      <x:c r="F111" s="147" t="str">
        <x:v>Equipo; técnico laboratorio coordina</x:v>
      </x:c>
      <x:c r="G111" s="147" t="str">
        <x:v>X21</x:v>
      </x:c>
      <x:c r="H111" s="147" t="n">
        <x:v>16</x:v>
      </x:c>
      <x:c r="I111" s="147" t="n">
        <x:v>16</x:v>
      </x:c>
      <x:c r="J111" s="147" t="n">
        <x:v>16</x:v>
      </x:c>
      <x:c r="K111" s="147" t="n">
        <x:v>16</x:v>
      </x:c>
      <x:c r="L111" s="147" t="str">
        <x:v>Órdenes, actas, dossier y contactos</x:v>
      </x:c>
      <x:c r="M111" s="147" t="str">
        <x:v>Recepción trazable; revisión de riesgos; ensayos autorizados; siguiente acción con responsable</x:v>
      </x:c>
    </x:row>
    <x:row r="112" ht="42" customHeight="1">
      <x:c r="A112" s="147" t="str">
        <x:v>T231</x:v>
      </x:c>
      <x:c r="B112" s="147" t="str">
        <x:v>Parche descartable</x:v>
      </x:c>
      <x:c r="C112" s="147" t="str">
        <x:v>Documentación de fabricación: preparación/ejecución</x:v>
      </x:c>
      <x:c r="D112" s="147" t="n">
        <x:v>11</x:v>
      </x:c>
      <x:c r="E112" s="147" t="n">
        <x:v>23</x:v>
      </x:c>
      <x:c r="F112" s="147" t="str">
        <x:v>Técnico laboratorio</x:v>
      </x:c>
      <x:c r="G112" s="147" t="str">
        <x:v>T221</x:v>
      </x:c>
      <x:c r="H112" s="147" t="n">
        <x:v>6.4</x:v>
      </x:c>
      <x:c r="I112" s="147" t="n">
        <x:v>6.4</x:v>
      </x:c>
      <x:c r="J112" s="147" t="n">
        <x:v>6.4</x:v>
      </x:c>
      <x:c r="K112" s="147" t="n">
        <x:v>44.800000000000004</x:v>
      </x:c>
      <x:c r="L112" s="147" t="str">
        <x:v>Muestras y protocolo por lote</x:v>
      </x:c>
      <x:c r="M112" s="147" t="str">
        <x:v>Evidencia contra requisito del ciclo; revisión cruzada y desvíos críticos documentados</x:v>
      </x:c>
    </x:row>
    <x:row r="113" ht="42" customHeight="1">
      <x:c r="A113" s="147" t="str">
        <x:v>T232</x:v>
      </x:c>
      <x:c r="B113" s="147" t="str">
        <x:v>Lector reutilizable</x:v>
      </x:c>
      <x:c r="C113" s="147" t="str">
        <x:v>Candidata y trazabilidad: preparación/ejecución</x:v>
      </x:c>
      <x:c r="D113" s="147" t="n">
        <x:v>11</x:v>
      </x:c>
      <x:c r="E113" s="147" t="n">
        <x:v>23</x:v>
      </x:c>
      <x:c r="F113" s="147" t="str">
        <x:v>Ing. embebidos</x:v>
      </x:c>
      <x:c r="G113" s="147" t="str">
        <x:v>T222</x:v>
      </x:c>
      <x:c r="H113" s="147" t="n">
        <x:v>6.4</x:v>
      </x:c>
      <x:c r="I113" s="147" t="n">
        <x:v>44.800000000000004</x:v>
      </x:c>
      <x:c r="J113" s="147" t="n">
        <x:v>6.4</x:v>
      </x:c>
      <x:c r="K113" s="147" t="n">
        <x:v>6.4</x:v>
      </x:c>
      <x:c r="L113" s="147" t="str">
        <x:v>Versión de PCB/firmware y mediciones</x:v>
      </x:c>
      <x:c r="M113" s="147" t="str">
        <x:v>Evidencia contra requisito del ciclo; revisión cruzada y desvíos críticos documentados</x:v>
      </x:c>
    </x:row>
    <x:row r="114" ht="42" customHeight="1">
      <x:c r="A114" s="147" t="str">
        <x:v>T233</x:v>
      </x:c>
      <x:c r="B114" s="147" t="str">
        <x:v>Pulsera</x:v>
      </x:c>
      <x:c r="C114" s="147" t="str">
        <x:v>Guía de carga: preparación/ejecución</x:v>
      </x:c>
      <x:c r="D114" s="147" t="n">
        <x:v>11</x:v>
      </x:c>
      <x:c r="E114" s="147" t="n">
        <x:v>23</x:v>
      </x:c>
      <x:c r="F114" s="147" t="str">
        <x:v>Técnico QA</x:v>
      </x:c>
      <x:c r="G114" s="147" t="str">
        <x:v>T223</x:v>
      </x:c>
      <x:c r="H114" s="147" t="n">
        <x:v>6.4</x:v>
      </x:c>
      <x:c r="I114" s="147" t="n">
        <x:v>6.4</x:v>
      </x:c>
      <x:c r="J114" s="147" t="n">
        <x:v>44.800000000000004</x:v>
      </x:c>
      <x:c r="K114" s="147" t="n">
        <x:v>6.4</x:v>
      </x:c>
      <x:c r="L114" s="147" t="str">
        <x:v>Versión de pulsera y reporte</x:v>
      </x:c>
      <x:c r="M114" s="147" t="str">
        <x:v>Evidencia contra requisito del ciclo; revisión cruzada y desvíos críticos documentados</x:v>
      </x:c>
    </x:row>
    <x:row r="115" ht="42" customHeight="1">
      <x:c r="A115" s="147" t="str">
        <x:v>T234</x:v>
      </x:c>
      <x:c r="B115" s="147" t="str">
        <x:v>Aplicación</x:v>
      </x:c>
      <x:c r="C115" s="147" t="str">
        <x:v>Candidata y ayuda: preparación/ejecución</x:v>
      </x:c>
      <x:c r="D115" s="147" t="n">
        <x:v>11</x:v>
      </x:c>
      <x:c r="E115" s="147" t="n">
        <x:v>23</x:v>
      </x:c>
      <x:c r="F115" s="147" t="str">
        <x:v>Ing. software</x:v>
      </x:c>
      <x:c r="G115" s="147" t="str">
        <x:v>T224</x:v>
      </x:c>
      <x:c r="H115" s="147" t="n">
        <x:v>44.800000000000004</x:v>
      </x:c>
      <x:c r="I115" s="147" t="n">
        <x:v>6.4</x:v>
      </x:c>
      <x:c r="J115" s="147" t="n">
        <x:v>6.4</x:v>
      </x:c>
      <x:c r="K115" s="147" t="n">
        <x:v>6.4</x:v>
      </x:c>
      <x:c r="L115" s="147" t="str">
        <x:v>Aplicación instalable y reporte</x:v>
      </x:c>
      <x:c r="M115" s="147" t="str">
        <x:v>Evidencia contra requisito del ciclo; revisión cruzada y desvíos críticos documentados</x:v>
      </x:c>
    </x:row>
    <x:row r="116" ht="42" customHeight="1">
      <x:c r="A116" s="147" t="str">
        <x:v>X23</x:v>
      </x:c>
      <x:c r="B116" s="147" t="str">
        <x:v>Transversal</x:v>
      </x:c>
      <x:c r="C116" s="147" t="str">
        <x:v>Coordinación, compras, QA, documentación; evidencia clínica/regulatoria; captación de aliados</x:v>
      </x:c>
      <x:c r="D116" s="147" t="n">
        <x:v>11</x:v>
      </x:c>
      <x:c r="E116" s="147" t="n">
        <x:v>23</x:v>
      </x:c>
      <x:c r="F116" s="147" t="str">
        <x:v>Equipo; técnico laboratorio coordina</x:v>
      </x:c>
      <x:c r="G116" s="147" t="str">
        <x:v>X22</x:v>
      </x:c>
      <x:c r="H116" s="147" t="n">
        <x:v>16</x:v>
      </x:c>
      <x:c r="I116" s="147" t="n">
        <x:v>16</x:v>
      </x:c>
      <x:c r="J116" s="147" t="n">
        <x:v>16</x:v>
      </x:c>
      <x:c r="K116" s="147" t="n">
        <x:v>16</x:v>
      </x:c>
      <x:c r="L116" s="147" t="str">
        <x:v>Órdenes, actas, dossier y contactos</x:v>
      </x:c>
      <x:c r="M116" s="147" t="str">
        <x:v>Recepción trazable; revisión de riesgos; ensayos autorizados; siguiente acción con responsable</x:v>
      </x:c>
    </x:row>
    <x:row r="117" ht="42" customHeight="1">
      <x:c r="A117" s="147" t="str">
        <x:v>T241</x:v>
      </x:c>
      <x:c r="B117" s="147" t="str">
        <x:v>Parche descartable</x:v>
      </x:c>
      <x:c r="C117" s="147" t="str">
        <x:v>Documentación de fabricación: verificación/corrección</x:v>
      </x:c>
      <x:c r="D117" s="147" t="n">
        <x:v>11</x:v>
      </x:c>
      <x:c r="E117" s="147" t="n">
        <x:v>24</x:v>
      </x:c>
      <x:c r="F117" s="147" t="str">
        <x:v>Técnico laboratorio</x:v>
      </x:c>
      <x:c r="G117" s="147" t="str">
        <x:v>T231</x:v>
      </x:c>
      <x:c r="H117" s="147" t="n">
        <x:v>6.4</x:v>
      </x:c>
      <x:c r="I117" s="147" t="n">
        <x:v>6.4</x:v>
      </x:c>
      <x:c r="J117" s="147" t="n">
        <x:v>6.4</x:v>
      </x:c>
      <x:c r="K117" s="147" t="n">
        <x:v>44.800000000000004</x:v>
      </x:c>
      <x:c r="L117" s="147" t="str">
        <x:v>Muestras y protocolo por lote</x:v>
      </x:c>
      <x:c r="M117" s="147" t="str">
        <x:v>Evidencia contra requisito del ciclo; revisión cruzada y desvíos críticos documentados</x:v>
      </x:c>
    </x:row>
    <x:row r="118" ht="42" customHeight="1">
      <x:c r="A118" s="147" t="str">
        <x:v>T242</x:v>
      </x:c>
      <x:c r="B118" s="147" t="str">
        <x:v>Lector reutilizable</x:v>
      </x:c>
      <x:c r="C118" s="147" t="str">
        <x:v>Candidata y trazabilidad: verificación/corrección</x:v>
      </x:c>
      <x:c r="D118" s="147" t="n">
        <x:v>11</x:v>
      </x:c>
      <x:c r="E118" s="147" t="n">
        <x:v>24</x:v>
      </x:c>
      <x:c r="F118" s="147" t="str">
        <x:v>Ing. embebidos</x:v>
      </x:c>
      <x:c r="G118" s="147" t="str">
        <x:v>T232</x:v>
      </x:c>
      <x:c r="H118" s="147" t="n">
        <x:v>6.4</x:v>
      </x:c>
      <x:c r="I118" s="147" t="n">
        <x:v>44.800000000000004</x:v>
      </x:c>
      <x:c r="J118" s="147" t="n">
        <x:v>6.4</x:v>
      </x:c>
      <x:c r="K118" s="147" t="n">
        <x:v>6.4</x:v>
      </x:c>
      <x:c r="L118" s="147" t="str">
        <x:v>Versión de PCB/firmware y mediciones</x:v>
      </x:c>
      <x:c r="M118" s="147" t="str">
        <x:v>Evidencia contra requisito del ciclo; revisión cruzada y desvíos críticos documentados</x:v>
      </x:c>
    </x:row>
    <x:row r="119" ht="42" customHeight="1">
      <x:c r="A119" s="147" t="str">
        <x:v>T243</x:v>
      </x:c>
      <x:c r="B119" s="147" t="str">
        <x:v>Pulsera</x:v>
      </x:c>
      <x:c r="C119" s="147" t="str">
        <x:v>Guía de carga: verificación/corrección</x:v>
      </x:c>
      <x:c r="D119" s="147" t="n">
        <x:v>11</x:v>
      </x:c>
      <x:c r="E119" s="147" t="n">
        <x:v>24</x:v>
      </x:c>
      <x:c r="F119" s="147" t="str">
        <x:v>Técnico QA</x:v>
      </x:c>
      <x:c r="G119" s="147" t="str">
        <x:v>T233</x:v>
      </x:c>
      <x:c r="H119" s="147" t="n">
        <x:v>6.4</x:v>
      </x:c>
      <x:c r="I119" s="147" t="n">
        <x:v>6.4</x:v>
      </x:c>
      <x:c r="J119" s="147" t="n">
        <x:v>44.800000000000004</x:v>
      </x:c>
      <x:c r="K119" s="147" t="n">
        <x:v>6.4</x:v>
      </x:c>
      <x:c r="L119" s="147" t="str">
        <x:v>Versión de pulsera y reporte</x:v>
      </x:c>
      <x:c r="M119" s="147" t="str">
        <x:v>Evidencia contra requisito del ciclo; revisión cruzada y desvíos críticos documentados</x:v>
      </x:c>
    </x:row>
    <x:row r="120" ht="42" customHeight="1">
      <x:c r="A120" s="147" t="str">
        <x:v>T244</x:v>
      </x:c>
      <x:c r="B120" s="147" t="str">
        <x:v>Aplicación</x:v>
      </x:c>
      <x:c r="C120" s="147" t="str">
        <x:v>Candidata y ayuda: verificación/corrección</x:v>
      </x:c>
      <x:c r="D120" s="147" t="n">
        <x:v>11</x:v>
      </x:c>
      <x:c r="E120" s="147" t="n">
        <x:v>24</x:v>
      </x:c>
      <x:c r="F120" s="147" t="str">
        <x:v>Ing. software</x:v>
      </x:c>
      <x:c r="G120" s="147" t="str">
        <x:v>T234</x:v>
      </x:c>
      <x:c r="H120" s="147" t="n">
        <x:v>44.800000000000004</x:v>
      </x:c>
      <x:c r="I120" s="147" t="n">
        <x:v>6.4</x:v>
      </x:c>
      <x:c r="J120" s="147" t="n">
        <x:v>6.4</x:v>
      </x:c>
      <x:c r="K120" s="147" t="n">
        <x:v>6.4</x:v>
      </x:c>
      <x:c r="L120" s="147" t="str">
        <x:v>Aplicación instalable y reporte</x:v>
      </x:c>
      <x:c r="M120" s="147" t="str">
        <x:v>Evidencia contra requisito del ciclo; revisión cruzada y desvíos críticos documentados</x:v>
      </x:c>
    </x:row>
    <x:row r="121" ht="42" customHeight="1">
      <x:c r="A121" s="147" t="str">
        <x:v>X24</x:v>
      </x:c>
      <x:c r="B121" s="147" t="str">
        <x:v>Transversal</x:v>
      </x:c>
      <x:c r="C121" s="147" t="str">
        <x:v>Coordinación, compras, QA, documentación; evidencia clínica/regulatoria; captación de aliados</x:v>
      </x:c>
      <x:c r="D121" s="147" t="n">
        <x:v>11</x:v>
      </x:c>
      <x:c r="E121" s="147" t="n">
        <x:v>24</x:v>
      </x:c>
      <x:c r="F121" s="147" t="str">
        <x:v>Equipo; técnico laboratorio coordina</x:v>
      </x:c>
      <x:c r="G121" s="147" t="str">
        <x:v>X23</x:v>
      </x:c>
      <x:c r="H121" s="147" t="n">
        <x:v>16</x:v>
      </x:c>
      <x:c r="I121" s="147" t="n">
        <x:v>16</x:v>
      </x:c>
      <x:c r="J121" s="147" t="n">
        <x:v>16</x:v>
      </x:c>
      <x:c r="K121" s="147" t="n">
        <x:v>16</x:v>
      </x:c>
      <x:c r="L121" s="147" t="str">
        <x:v>Órdenes, actas, dossier y contactos</x:v>
      </x:c>
      <x:c r="M121" s="147" t="str">
        <x:v>Recepción trazable; revisión de riesgos; ensayos autorizados; siguiente acción con responsable</x:v>
      </x:c>
    </x:row>
    <x:row r="122" ht="42" customHeight="1">
      <x:c r="A122" s="147" t="str">
        <x:v>T251</x:v>
      </x:c>
      <x:c r="B122" s="147" t="str">
        <x:v>Parche descartable</x:v>
      </x:c>
      <x:c r="C122" s="147" t="str">
        <x:v>Aceptación MVP: preparación/ejecución</x:v>
      </x:c>
      <x:c r="D122" s="147" t="n">
        <x:v>12</x:v>
      </x:c>
      <x:c r="E122" s="147" t="n">
        <x:v>25</x:v>
      </x:c>
      <x:c r="F122" s="147" t="str">
        <x:v>Técnico laboratorio</x:v>
      </x:c>
      <x:c r="G122" s="147" t="str">
        <x:v>T241</x:v>
      </x:c>
      <x:c r="H122" s="147" t="n">
        <x:v>6.4</x:v>
      </x:c>
      <x:c r="I122" s="147" t="n">
        <x:v>6.4</x:v>
      </x:c>
      <x:c r="J122" s="147" t="n">
        <x:v>6.4</x:v>
      </x:c>
      <x:c r="K122" s="147" t="n">
        <x:v>44.800000000000004</x:v>
      </x:c>
      <x:c r="L122" s="147" t="str">
        <x:v>Muestras y protocolo por lote</x:v>
      </x:c>
      <x:c r="M122" s="147" t="str">
        <x:v>Evidencia contra requisito del ciclo; revisión cruzada y desvíos críticos documentados</x:v>
      </x:c>
    </x:row>
    <x:row r="123" ht="42" customHeight="1">
      <x:c r="A123" s="147" t="str">
        <x:v>T252</x:v>
      </x:c>
      <x:c r="B123" s="147" t="str">
        <x:v>Lector reutilizable</x:v>
      </x:c>
      <x:c r="C123" s="147" t="str">
        <x:v>MVP documentado: preparación/ejecución</x:v>
      </x:c>
      <x:c r="D123" s="147" t="n">
        <x:v>12</x:v>
      </x:c>
      <x:c r="E123" s="147" t="n">
        <x:v>25</x:v>
      </x:c>
      <x:c r="F123" s="147" t="str">
        <x:v>Ing. embebidos</x:v>
      </x:c>
      <x:c r="G123" s="147" t="str">
        <x:v>T242</x:v>
      </x:c>
      <x:c r="H123" s="147" t="n">
        <x:v>6.4</x:v>
      </x:c>
      <x:c r="I123" s="147" t="n">
        <x:v>44.800000000000004</x:v>
      </x:c>
      <x:c r="J123" s="147" t="n">
        <x:v>6.4</x:v>
      </x:c>
      <x:c r="K123" s="147" t="n">
        <x:v>6.4</x:v>
      </x:c>
      <x:c r="L123" s="147" t="str">
        <x:v>Versión de PCB/firmware y mediciones</x:v>
      </x:c>
      <x:c r="M123" s="147" t="str">
        <x:v>Evidencia contra requisito del ciclo; revisión cruzada y desvíos críticos documentados</x:v>
      </x:c>
    </x:row>
    <x:row r="124" ht="42" customHeight="1">
      <x:c r="A124" s="147" t="str">
        <x:v>T253</x:v>
      </x:c>
      <x:c r="B124" s="147" t="str">
        <x:v>Pulsera</x:v>
      </x:c>
      <x:c r="C124" s="147" t="str">
        <x:v>Aceptación MVP: preparación/ejecución</x:v>
      </x:c>
      <x:c r="D124" s="147" t="n">
        <x:v>12</x:v>
      </x:c>
      <x:c r="E124" s="147" t="n">
        <x:v>25</x:v>
      </x:c>
      <x:c r="F124" s="147" t="str">
        <x:v>Técnico QA</x:v>
      </x:c>
      <x:c r="G124" s="147" t="str">
        <x:v>T243</x:v>
      </x:c>
      <x:c r="H124" s="147" t="n">
        <x:v>6.4</x:v>
      </x:c>
      <x:c r="I124" s="147" t="n">
        <x:v>6.4</x:v>
      </x:c>
      <x:c r="J124" s="147" t="n">
        <x:v>44.800000000000004</x:v>
      </x:c>
      <x:c r="K124" s="147" t="n">
        <x:v>6.4</x:v>
      </x:c>
      <x:c r="L124" s="147" t="str">
        <x:v>Versión de pulsera y reporte</x:v>
      </x:c>
      <x:c r="M124" s="147" t="str">
        <x:v>Evidencia contra requisito del ciclo; revisión cruzada y desvíos críticos documentados</x:v>
      </x:c>
    </x:row>
    <x:row r="125" ht="42" customHeight="1">
      <x:c r="A125" s="147" t="str">
        <x:v>T254</x:v>
      </x:c>
      <x:c r="B125" s="147" t="str">
        <x:v>Aplicación</x:v>
      </x:c>
      <x:c r="C125" s="147" t="str">
        <x:v>MVP documentado: preparación/ejecución</x:v>
      </x:c>
      <x:c r="D125" s="147" t="n">
        <x:v>12</x:v>
      </x:c>
      <x:c r="E125" s="147" t="n">
        <x:v>25</x:v>
      </x:c>
      <x:c r="F125" s="147" t="str">
        <x:v>Ing. software</x:v>
      </x:c>
      <x:c r="G125" s="147" t="str">
        <x:v>T244</x:v>
      </x:c>
      <x:c r="H125" s="147" t="n">
        <x:v>44.800000000000004</x:v>
      </x:c>
      <x:c r="I125" s="147" t="n">
        <x:v>6.4</x:v>
      </x:c>
      <x:c r="J125" s="147" t="n">
        <x:v>6.4</x:v>
      </x:c>
      <x:c r="K125" s="147" t="n">
        <x:v>6.4</x:v>
      </x:c>
      <x:c r="L125" s="147" t="str">
        <x:v>Aplicación instalable y reporte</x:v>
      </x:c>
      <x:c r="M125" s="147" t="str">
        <x:v>Evidencia contra requisito del ciclo; revisión cruzada y desvíos críticos documentados</x:v>
      </x:c>
    </x:row>
    <x:row r="126" ht="42" customHeight="1">
      <x:c r="A126" s="147" t="str">
        <x:v>X25</x:v>
      </x:c>
      <x:c r="B126" s="147" t="str">
        <x:v>Transversal</x:v>
      </x:c>
      <x:c r="C126" s="147" t="str">
        <x:v>Coordinación, compras, QA, documentación; evidencia clínica/regulatoria; captación de aliados</x:v>
      </x:c>
      <x:c r="D126" s="147" t="n">
        <x:v>12</x:v>
      </x:c>
      <x:c r="E126" s="147" t="n">
        <x:v>25</x:v>
      </x:c>
      <x:c r="F126" s="147" t="str">
        <x:v>Equipo; técnico laboratorio coordina</x:v>
      </x:c>
      <x:c r="G126" s="147" t="str">
        <x:v>X24</x:v>
      </x:c>
      <x:c r="H126" s="147" t="n">
        <x:v>16</x:v>
      </x:c>
      <x:c r="I126" s="147" t="n">
        <x:v>16</x:v>
      </x:c>
      <x:c r="J126" s="147" t="n">
        <x:v>16</x:v>
      </x:c>
      <x:c r="K126" s="147" t="n">
        <x:v>16</x:v>
      </x:c>
      <x:c r="L126" s="147" t="str">
        <x:v>Órdenes, actas, dossier y contactos</x:v>
      </x:c>
      <x:c r="M126" s="147" t="str">
        <x:v>Recepción trazable; revisión de riesgos; ensayos autorizados; siguiente acción con responsable</x:v>
      </x:c>
    </x:row>
    <x:row r="127" ht="42" customHeight="1">
      <x:c r="A127" s="147" t="str">
        <x:v>T261</x:v>
      </x:c>
      <x:c r="B127" s="147" t="str">
        <x:v>Parche descartable</x:v>
      </x:c>
      <x:c r="C127" s="147" t="str">
        <x:v>Aceptación MVP: verificación/corrección</x:v>
      </x:c>
      <x:c r="D127" s="147" t="n">
        <x:v>12</x:v>
      </x:c>
      <x:c r="E127" s="147" t="n">
        <x:v>26</x:v>
      </x:c>
      <x:c r="F127" s="147" t="str">
        <x:v>Técnico laboratorio</x:v>
      </x:c>
      <x:c r="G127" s="147" t="str">
        <x:v>T251</x:v>
      </x:c>
      <x:c r="H127" s="147" t="n">
        <x:v>6.4</x:v>
      </x:c>
      <x:c r="I127" s="147" t="n">
        <x:v>6.4</x:v>
      </x:c>
      <x:c r="J127" s="147" t="n">
        <x:v>6.4</x:v>
      </x:c>
      <x:c r="K127" s="147" t="n">
        <x:v>44.800000000000004</x:v>
      </x:c>
      <x:c r="L127" s="147" t="str">
        <x:v>Muestras y protocolo por lote</x:v>
      </x:c>
      <x:c r="M127" s="147" t="str">
        <x:v>Evidencia contra requisito del ciclo; revisión cruzada y desvíos críticos documentados</x:v>
      </x:c>
    </x:row>
    <x:row r="128" ht="42" customHeight="1">
      <x:c r="A128" s="147" t="str">
        <x:v>T262</x:v>
      </x:c>
      <x:c r="B128" s="147" t="str">
        <x:v>Lector reutilizable</x:v>
      </x:c>
      <x:c r="C128" s="147" t="str">
        <x:v>MVP documentado: verificación/corrección</x:v>
      </x:c>
      <x:c r="D128" s="147" t="n">
        <x:v>12</x:v>
      </x:c>
      <x:c r="E128" s="147" t="n">
        <x:v>26</x:v>
      </x:c>
      <x:c r="F128" s="147" t="str">
        <x:v>Ing. embebidos</x:v>
      </x:c>
      <x:c r="G128" s="147" t="str">
        <x:v>T252</x:v>
      </x:c>
      <x:c r="H128" s="147" t="n">
        <x:v>6.4</x:v>
      </x:c>
      <x:c r="I128" s="147" t="n">
        <x:v>44.800000000000004</x:v>
      </x:c>
      <x:c r="J128" s="147" t="n">
        <x:v>6.4</x:v>
      </x:c>
      <x:c r="K128" s="147" t="n">
        <x:v>6.4</x:v>
      </x:c>
      <x:c r="L128" s="147" t="str">
        <x:v>Versión de PCB/firmware y mediciones</x:v>
      </x:c>
      <x:c r="M128" s="147" t="str">
        <x:v>Evidencia contra requisito del ciclo; revisión cruzada y desvíos críticos documentados</x:v>
      </x:c>
    </x:row>
    <x:row r="129" ht="42" customHeight="1">
      <x:c r="A129" s="147" t="str">
        <x:v>T263</x:v>
      </x:c>
      <x:c r="B129" s="147" t="str">
        <x:v>Pulsera</x:v>
      </x:c>
      <x:c r="C129" s="147" t="str">
        <x:v>Aceptación MVP: verificación/corrección</x:v>
      </x:c>
      <x:c r="D129" s="147" t="n">
        <x:v>12</x:v>
      </x:c>
      <x:c r="E129" s="147" t="n">
        <x:v>26</x:v>
      </x:c>
      <x:c r="F129" s="147" t="str">
        <x:v>Técnico QA</x:v>
      </x:c>
      <x:c r="G129" s="147" t="str">
        <x:v>T253</x:v>
      </x:c>
      <x:c r="H129" s="147" t="n">
        <x:v>6.4</x:v>
      </x:c>
      <x:c r="I129" s="147" t="n">
        <x:v>6.4</x:v>
      </x:c>
      <x:c r="J129" s="147" t="n">
        <x:v>44.800000000000004</x:v>
      </x:c>
      <x:c r="K129" s="147" t="n">
        <x:v>6.4</x:v>
      </x:c>
      <x:c r="L129" s="147" t="str">
        <x:v>Versión de pulsera y reporte</x:v>
      </x:c>
      <x:c r="M129" s="147" t="str">
        <x:v>Evidencia contra requisito del ciclo; revisión cruzada y desvíos críticos documentados</x:v>
      </x:c>
    </x:row>
    <x:row r="130" ht="42" customHeight="1">
      <x:c r="A130" s="147" t="str">
        <x:v>T264</x:v>
      </x:c>
      <x:c r="B130" s="147" t="str">
        <x:v>Aplicación</x:v>
      </x:c>
      <x:c r="C130" s="147" t="str">
        <x:v>MVP documentado: verificación/corrección</x:v>
      </x:c>
      <x:c r="D130" s="147" t="n">
        <x:v>12</x:v>
      </x:c>
      <x:c r="E130" s="147" t="n">
        <x:v>26</x:v>
      </x:c>
      <x:c r="F130" s="147" t="str">
        <x:v>Ing. software</x:v>
      </x:c>
      <x:c r="G130" s="147" t="str">
        <x:v>T254</x:v>
      </x:c>
      <x:c r="H130" s="147" t="n">
        <x:v>44.800000000000004</x:v>
      </x:c>
      <x:c r="I130" s="147" t="n">
        <x:v>6.4</x:v>
      </x:c>
      <x:c r="J130" s="147" t="n">
        <x:v>6.4</x:v>
      </x:c>
      <x:c r="K130" s="147" t="n">
        <x:v>6.4</x:v>
      </x:c>
      <x:c r="L130" s="147" t="str">
        <x:v>Aplicación instalable y reporte</x:v>
      </x:c>
      <x:c r="M130" s="147" t="str">
        <x:v>Evidencia contra requisito del ciclo; revisión cruzada y desvíos críticos documentados</x:v>
      </x:c>
    </x:row>
    <x:row r="131" ht="42" customHeight="1">
      <x:c r="A131" s="147" t="str">
        <x:v>X26</x:v>
      </x:c>
      <x:c r="B131" s="147" t="str">
        <x:v>Transversal</x:v>
      </x:c>
      <x:c r="C131" s="147" t="str">
        <x:v>Coordinación, compras, QA, documentación; evidencia clínica/regulatoria; captación de aliados</x:v>
      </x:c>
      <x:c r="D131" s="147" t="n">
        <x:v>12</x:v>
      </x:c>
      <x:c r="E131" s="147" t="n">
        <x:v>26</x:v>
      </x:c>
      <x:c r="F131" s="147" t="str">
        <x:v>Equipo; técnico laboratorio coordina</x:v>
      </x:c>
      <x:c r="G131" s="147" t="str">
        <x:v>X25</x:v>
      </x:c>
      <x:c r="H131" s="147" t="n">
        <x:v>16</x:v>
      </x:c>
      <x:c r="I131" s="147" t="n">
        <x:v>16</x:v>
      </x:c>
      <x:c r="J131" s="147" t="n">
        <x:v>16</x:v>
      </x:c>
      <x:c r="K131" s="147" t="n">
        <x:v>16</x:v>
      </x:c>
      <x:c r="L131" s="147" t="str">
        <x:v>Órdenes, actas, dossier y contactos</x:v>
      </x:c>
      <x:c r="M131" s="147" t="str">
        <x:v>Recepción trazable; revisión de riesgos; ensayos autorizados; siguiente acción con responsable</x:v>
      </x:c>
    </x:row>
    <x:row r="132" ht="42" customHeight="1">
      <x:c r="A132" s="147" t="str">
        <x:v>T271</x:v>
      </x:c>
      <x:c r="B132" s="147" t="str">
        <x:v>Parche descartable</x:v>
      </x:c>
      <x:c r="C132" s="147" t="str">
        <x:v>Referencias clínicas: preparación/ejecución</x:v>
      </x:c>
      <x:c r="D132" s="147" t="n">
        <x:v>13</x:v>
      </x:c>
      <x:c r="E132" s="147" t="n">
        <x:v>27</x:v>
      </x:c>
      <x:c r="F132" s="147" t="str">
        <x:v>Técnico laboratorio</x:v>
      </x:c>
      <x:c r="G132" s="147" t="str">
        <x:v>T261</x:v>
      </x:c>
      <x:c r="H132" s="147" t="n">
        <x:v>6.4</x:v>
      </x:c>
      <x:c r="I132" s="147" t="n">
        <x:v>6.4</x:v>
      </x:c>
      <x:c r="J132" s="147" t="n">
        <x:v>6.4</x:v>
      </x:c>
      <x:c r="K132" s="147" t="n">
        <x:v>44.800000000000004</x:v>
      </x:c>
      <x:c r="L132" s="147" t="str">
        <x:v>Muestras y protocolo por lote</x:v>
      </x:c>
      <x:c r="M132" s="147" t="str">
        <x:v>Evidencia contra requisito del ciclo; revisión cruzada y desvíos críticos documentados</x:v>
      </x:c>
    </x:row>
    <x:row r="133" ht="42" customHeight="1">
      <x:c r="A133" s="147" t="str">
        <x:v>T272</x:v>
      </x:c>
      <x:c r="B133" s="147" t="str">
        <x:v>Lector reutilizable</x:v>
      </x:c>
      <x:c r="C133" s="147" t="str">
        <x:v>Versión clínica: preparación/ejecución</x:v>
      </x:c>
      <x:c r="D133" s="147" t="n">
        <x:v>13</x:v>
      </x:c>
      <x:c r="E133" s="147" t="n">
        <x:v>27</x:v>
      </x:c>
      <x:c r="F133" s="147" t="str">
        <x:v>Ing. embebidos</x:v>
      </x:c>
      <x:c r="G133" s="147" t="str">
        <x:v>T262</x:v>
      </x:c>
      <x:c r="H133" s="147" t="n">
        <x:v>6.4</x:v>
      </x:c>
      <x:c r="I133" s="147" t="n">
        <x:v>44.800000000000004</x:v>
      </x:c>
      <x:c r="J133" s="147" t="n">
        <x:v>6.4</x:v>
      </x:c>
      <x:c r="K133" s="147" t="n">
        <x:v>6.4</x:v>
      </x:c>
      <x:c r="L133" s="147" t="str">
        <x:v>Versión de PCB/firmware y mediciones</x:v>
      </x:c>
      <x:c r="M133" s="147" t="str">
        <x:v>Evidencia contra requisito del ciclo; revisión cruzada y desvíos críticos documentados</x:v>
      </x:c>
    </x:row>
    <x:row r="134" ht="42" customHeight="1">
      <x:c r="A134" s="147" t="str">
        <x:v>T273</x:v>
      </x:c>
      <x:c r="B134" s="147" t="str">
        <x:v>Pulsera</x:v>
      </x:c>
      <x:c r="C134" s="147" t="str">
        <x:v>Versión clínica: preparación/ejecución</x:v>
      </x:c>
      <x:c r="D134" s="147" t="n">
        <x:v>13</x:v>
      </x:c>
      <x:c r="E134" s="147" t="n">
        <x:v>27</x:v>
      </x:c>
      <x:c r="F134" s="147" t="str">
        <x:v>Técnico QA</x:v>
      </x:c>
      <x:c r="G134" s="147" t="str">
        <x:v>T263</x:v>
      </x:c>
      <x:c r="H134" s="147" t="n">
        <x:v>6.4</x:v>
      </x:c>
      <x:c r="I134" s="147" t="n">
        <x:v>6.4</x:v>
      </x:c>
      <x:c r="J134" s="147" t="n">
        <x:v>44.800000000000004</x:v>
      </x:c>
      <x:c r="K134" s="147" t="n">
        <x:v>6.4</x:v>
      </x:c>
      <x:c r="L134" s="147" t="str">
        <x:v>Versión de pulsera y reporte</x:v>
      </x:c>
      <x:c r="M134" s="147" t="str">
        <x:v>Evidencia contra requisito del ciclo; revisión cruzada y desvíos críticos documentados</x:v>
      </x:c>
    </x:row>
    <x:row r="135" ht="42" customHeight="1">
      <x:c r="A135" s="147" t="str">
        <x:v>T274</x:v>
      </x:c>
      <x:c r="B135" s="147" t="str">
        <x:v>Aplicación</x:v>
      </x:c>
      <x:c r="C135" s="147" t="str">
        <x:v>Datos clínicos: preparación/ejecución</x:v>
      </x:c>
      <x:c r="D135" s="147" t="n">
        <x:v>13</x:v>
      </x:c>
      <x:c r="E135" s="147" t="n">
        <x:v>27</x:v>
      </x:c>
      <x:c r="F135" s="147" t="str">
        <x:v>Ing. software</x:v>
      </x:c>
      <x:c r="G135" s="147" t="str">
        <x:v>T264</x:v>
      </x:c>
      <x:c r="H135" s="147" t="n">
        <x:v>44.800000000000004</x:v>
      </x:c>
      <x:c r="I135" s="147" t="n">
        <x:v>6.4</x:v>
      </x:c>
      <x:c r="J135" s="147" t="n">
        <x:v>6.4</x:v>
      </x:c>
      <x:c r="K135" s="147" t="n">
        <x:v>6.4</x:v>
      </x:c>
      <x:c r="L135" s="147" t="str">
        <x:v>Aplicación instalable y reporte</x:v>
      </x:c>
      <x:c r="M135" s="147" t="str">
        <x:v>Evidencia contra requisito del ciclo; revisión cruzada y desvíos críticos documentados</x:v>
      </x:c>
    </x:row>
    <x:row r="136" ht="42" customHeight="1">
      <x:c r="A136" s="147" t="str">
        <x:v>X27</x:v>
      </x:c>
      <x:c r="B136" s="147" t="str">
        <x:v>Transversal</x:v>
      </x:c>
      <x:c r="C136" s="147" t="str">
        <x:v>Coordinación, compras, QA, documentación; evidencia clínica/regulatoria; captación de aliados</x:v>
      </x:c>
      <x:c r="D136" s="147" t="n">
        <x:v>13</x:v>
      </x:c>
      <x:c r="E136" s="147" t="n">
        <x:v>27</x:v>
      </x:c>
      <x:c r="F136" s="147" t="str">
        <x:v>Equipo; técnico laboratorio coordina</x:v>
      </x:c>
      <x:c r="G136" s="147" t="str">
        <x:v>X26</x:v>
      </x:c>
      <x:c r="H136" s="147" t="n">
        <x:v>16</x:v>
      </x:c>
      <x:c r="I136" s="147" t="n">
        <x:v>16</x:v>
      </x:c>
      <x:c r="J136" s="147" t="n">
        <x:v>16</x:v>
      </x:c>
      <x:c r="K136" s="147" t="n">
        <x:v>16</x:v>
      </x:c>
      <x:c r="L136" s="147" t="str">
        <x:v>Órdenes, actas, dossier y contactos</x:v>
      </x:c>
      <x:c r="M136" s="147" t="str">
        <x:v>Recepción trazable; revisión de riesgos; ensayos autorizados; siguiente acción con responsable</x:v>
      </x:c>
    </x:row>
    <x:row r="137" ht="42" customHeight="1">
      <x:c r="A137" s="147" t="str">
        <x:v>T281</x:v>
      </x:c>
      <x:c r="B137" s="147" t="str">
        <x:v>Parche descartable</x:v>
      </x:c>
      <x:c r="C137" s="147" t="str">
        <x:v>Referencias clínicas: verificación/corrección</x:v>
      </x:c>
      <x:c r="D137" s="147" t="n">
        <x:v>13</x:v>
      </x:c>
      <x:c r="E137" s="147" t="n">
        <x:v>28</x:v>
      </x:c>
      <x:c r="F137" s="147" t="str">
        <x:v>Técnico laboratorio</x:v>
      </x:c>
      <x:c r="G137" s="147" t="str">
        <x:v>T271</x:v>
      </x:c>
      <x:c r="H137" s="147" t="n">
        <x:v>6.4</x:v>
      </x:c>
      <x:c r="I137" s="147" t="n">
        <x:v>6.4</x:v>
      </x:c>
      <x:c r="J137" s="147" t="n">
        <x:v>6.4</x:v>
      </x:c>
      <x:c r="K137" s="147" t="n">
        <x:v>44.800000000000004</x:v>
      </x:c>
      <x:c r="L137" s="147" t="str">
        <x:v>Muestras y protocolo por lote</x:v>
      </x:c>
      <x:c r="M137" s="147" t="str">
        <x:v>Evidencia contra requisito del ciclo; revisión cruzada y desvíos críticos documentados</x:v>
      </x:c>
    </x:row>
    <x:row r="138" ht="42" customHeight="1">
      <x:c r="A138" s="147" t="str">
        <x:v>T282</x:v>
      </x:c>
      <x:c r="B138" s="147" t="str">
        <x:v>Lector reutilizable</x:v>
      </x:c>
      <x:c r="C138" s="147" t="str">
        <x:v>Versión clínica: verificación/corrección</x:v>
      </x:c>
      <x:c r="D138" s="147" t="n">
        <x:v>13</x:v>
      </x:c>
      <x:c r="E138" s="147" t="n">
        <x:v>28</x:v>
      </x:c>
      <x:c r="F138" s="147" t="str">
        <x:v>Ing. embebidos</x:v>
      </x:c>
      <x:c r="G138" s="147" t="str">
        <x:v>T272</x:v>
      </x:c>
      <x:c r="H138" s="147" t="n">
        <x:v>6.4</x:v>
      </x:c>
      <x:c r="I138" s="147" t="n">
        <x:v>44.800000000000004</x:v>
      </x:c>
      <x:c r="J138" s="147" t="n">
        <x:v>6.4</x:v>
      </x:c>
      <x:c r="K138" s="147" t="n">
        <x:v>6.4</x:v>
      </x:c>
      <x:c r="L138" s="147" t="str">
        <x:v>Versión de PCB/firmware y mediciones</x:v>
      </x:c>
      <x:c r="M138" s="147" t="str">
        <x:v>Evidencia contra requisito del ciclo; revisión cruzada y desvíos críticos documentados</x:v>
      </x:c>
    </x:row>
    <x:row r="139" ht="42" customHeight="1">
      <x:c r="A139" s="147" t="str">
        <x:v>T283</x:v>
      </x:c>
      <x:c r="B139" s="147" t="str">
        <x:v>Pulsera</x:v>
      </x:c>
      <x:c r="C139" s="147" t="str">
        <x:v>Versión clínica: verificación/corrección</x:v>
      </x:c>
      <x:c r="D139" s="147" t="n">
        <x:v>13</x:v>
      </x:c>
      <x:c r="E139" s="147" t="n">
        <x:v>28</x:v>
      </x:c>
      <x:c r="F139" s="147" t="str">
        <x:v>Técnico QA</x:v>
      </x:c>
      <x:c r="G139" s="147" t="str">
        <x:v>T273</x:v>
      </x:c>
      <x:c r="H139" s="147" t="n">
        <x:v>6.4</x:v>
      </x:c>
      <x:c r="I139" s="147" t="n">
        <x:v>6.4</x:v>
      </x:c>
      <x:c r="J139" s="147" t="n">
        <x:v>44.800000000000004</x:v>
      </x:c>
      <x:c r="K139" s="147" t="n">
        <x:v>6.4</x:v>
      </x:c>
      <x:c r="L139" s="147" t="str">
        <x:v>Versión de pulsera y reporte</x:v>
      </x:c>
      <x:c r="M139" s="147" t="str">
        <x:v>Evidencia contra requisito del ciclo; revisión cruzada y desvíos críticos documentados</x:v>
      </x:c>
    </x:row>
    <x:row r="140" ht="42" customHeight="1">
      <x:c r="A140" s="147" t="str">
        <x:v>T284</x:v>
      </x:c>
      <x:c r="B140" s="147" t="str">
        <x:v>Aplicación</x:v>
      </x:c>
      <x:c r="C140" s="147" t="str">
        <x:v>Datos clínicos: verificación/corrección</x:v>
      </x:c>
      <x:c r="D140" s="147" t="n">
        <x:v>13</x:v>
      </x:c>
      <x:c r="E140" s="147" t="n">
        <x:v>28</x:v>
      </x:c>
      <x:c r="F140" s="147" t="str">
        <x:v>Ing. software</x:v>
      </x:c>
      <x:c r="G140" s="147" t="str">
        <x:v>T274</x:v>
      </x:c>
      <x:c r="H140" s="147" t="n">
        <x:v>44.800000000000004</x:v>
      </x:c>
      <x:c r="I140" s="147" t="n">
        <x:v>6.4</x:v>
      </x:c>
      <x:c r="J140" s="147" t="n">
        <x:v>6.4</x:v>
      </x:c>
      <x:c r="K140" s="147" t="n">
        <x:v>6.4</x:v>
      </x:c>
      <x:c r="L140" s="147" t="str">
        <x:v>Aplicación instalable y reporte</x:v>
      </x:c>
      <x:c r="M140" s="147" t="str">
        <x:v>Evidencia contra requisito del ciclo; revisión cruzada y desvíos críticos documentados</x:v>
      </x:c>
    </x:row>
    <x:row r="141" ht="42" customHeight="1">
      <x:c r="A141" s="147" t="str">
        <x:v>X28</x:v>
      </x:c>
      <x:c r="B141" s="147" t="str">
        <x:v>Transversal</x:v>
      </x:c>
      <x:c r="C141" s="147" t="str">
        <x:v>Coordinación, compras, QA, documentación; evidencia clínica/regulatoria; captación de aliados</x:v>
      </x:c>
      <x:c r="D141" s="147" t="n">
        <x:v>13</x:v>
      </x:c>
      <x:c r="E141" s="147" t="n">
        <x:v>28</x:v>
      </x:c>
      <x:c r="F141" s="147" t="str">
        <x:v>Equipo; técnico laboratorio coordina</x:v>
      </x:c>
      <x:c r="G141" s="147" t="str">
        <x:v>X27</x:v>
      </x:c>
      <x:c r="H141" s="147" t="n">
        <x:v>16</x:v>
      </x:c>
      <x:c r="I141" s="147" t="n">
        <x:v>16</x:v>
      </x:c>
      <x:c r="J141" s="147" t="n">
        <x:v>16</x:v>
      </x:c>
      <x:c r="K141" s="147" t="n">
        <x:v>16</x:v>
      </x:c>
      <x:c r="L141" s="147" t="str">
        <x:v>Órdenes, actas, dossier y contactos</x:v>
      </x:c>
      <x:c r="M141" s="147" t="str">
        <x:v>Recepción trazable; revisión de riesgos; ensayos autorizados; siguiente acción con responsable</x:v>
      </x:c>
    </x:row>
    <x:row r="142" ht="42" customHeight="1">
      <x:c r="A142" s="147" t="str">
        <x:v>T291</x:v>
      </x:c>
      <x:c r="B142" s="147" t="str">
        <x:v>Parche descartable</x:v>
      </x:c>
      <x:c r="C142" s="147" t="str">
        <x:v>Desvíos de desempeño: preparación/ejecución</x:v>
      </x:c>
      <x:c r="D142" s="147" t="n">
        <x:v>14</x:v>
      </x:c>
      <x:c r="E142" s="147" t="n">
        <x:v>29</x:v>
      </x:c>
      <x:c r="F142" s="147" t="str">
        <x:v>Técnico laboratorio</x:v>
      </x:c>
      <x:c r="G142" s="147" t="str">
        <x:v>T281</x:v>
      </x:c>
      <x:c r="H142" s="147" t="n">
        <x:v>6.4</x:v>
      </x:c>
      <x:c r="I142" s="147" t="n">
        <x:v>6.4</x:v>
      </x:c>
      <x:c r="J142" s="147" t="n">
        <x:v>6.4</x:v>
      </x:c>
      <x:c r="K142" s="147" t="n">
        <x:v>44.800000000000004</x:v>
      </x:c>
      <x:c r="L142" s="147" t="str">
        <x:v>Muestras y protocolo por lote</x:v>
      </x:c>
      <x:c r="M142" s="147" t="str">
        <x:v>Evidencia contra requisito del ciclo; revisión cruzada y desvíos críticos documentados</x:v>
      </x:c>
    </x:row>
    <x:row r="143" ht="42" customHeight="1">
      <x:c r="A143" s="147" t="str">
        <x:v>T292</x:v>
      </x:c>
      <x:c r="B143" s="147" t="str">
        <x:v>Lector reutilizable</x:v>
      </x:c>
      <x:c r="C143" s="147" t="str">
        <x:v>Análisis de registros: preparación/ejecución</x:v>
      </x:c>
      <x:c r="D143" s="147" t="n">
        <x:v>14</x:v>
      </x:c>
      <x:c r="E143" s="147" t="n">
        <x:v>29</x:v>
      </x:c>
      <x:c r="F143" s="147" t="str">
        <x:v>Ing. embebidos</x:v>
      </x:c>
      <x:c r="G143" s="147" t="str">
        <x:v>T282</x:v>
      </x:c>
      <x:c r="H143" s="147" t="n">
        <x:v>6.4</x:v>
      </x:c>
      <x:c r="I143" s="147" t="n">
        <x:v>44.800000000000004</x:v>
      </x:c>
      <x:c r="J143" s="147" t="n">
        <x:v>6.4</x:v>
      </x:c>
      <x:c r="K143" s="147" t="n">
        <x:v>6.4</x:v>
      </x:c>
      <x:c r="L143" s="147" t="str">
        <x:v>Versión de PCB/firmware y mediciones</x:v>
      </x:c>
      <x:c r="M143" s="147" t="str">
        <x:v>Evidencia contra requisito del ciclo; revisión cruzada y desvíos críticos documentados</x:v>
      </x:c>
    </x:row>
    <x:row r="144" ht="42" customHeight="1">
      <x:c r="A144" s="147" t="str">
        <x:v>T293</x:v>
      </x:c>
      <x:c r="B144" s="147" t="str">
        <x:v>Pulsera</x:v>
      </x:c>
      <x:c r="C144" s="147" t="str">
        <x:v>Observaciones de uso: preparación/ejecución</x:v>
      </x:c>
      <x:c r="D144" s="147" t="n">
        <x:v>14</x:v>
      </x:c>
      <x:c r="E144" s="147" t="n">
        <x:v>29</x:v>
      </x:c>
      <x:c r="F144" s="147" t="str">
        <x:v>Técnico QA</x:v>
      </x:c>
      <x:c r="G144" s="147" t="str">
        <x:v>T283</x:v>
      </x:c>
      <x:c r="H144" s="147" t="n">
        <x:v>6.4</x:v>
      </x:c>
      <x:c r="I144" s="147" t="n">
        <x:v>6.4</x:v>
      </x:c>
      <x:c r="J144" s="147" t="n">
        <x:v>44.800000000000004</x:v>
      </x:c>
      <x:c r="K144" s="147" t="n">
        <x:v>6.4</x:v>
      </x:c>
      <x:c r="L144" s="147" t="str">
        <x:v>Versión de pulsera y reporte</x:v>
      </x:c>
      <x:c r="M144" s="147" t="str">
        <x:v>Evidencia contra requisito del ciclo; revisión cruzada y desvíos críticos documentados</x:v>
      </x:c>
    </x:row>
    <x:row r="145" ht="42" customHeight="1">
      <x:c r="A145" s="147" t="str">
        <x:v>T294</x:v>
      </x:c>
      <x:c r="B145" s="147" t="str">
        <x:v>Aplicación</x:v>
      </x:c>
      <x:c r="C145" s="147" t="str">
        <x:v>Exactitud y alertas: preparación/ejecución</x:v>
      </x:c>
      <x:c r="D145" s="147" t="n">
        <x:v>14</x:v>
      </x:c>
      <x:c r="E145" s="147" t="n">
        <x:v>29</x:v>
      </x:c>
      <x:c r="F145" s="147" t="str">
        <x:v>Ing. software</x:v>
      </x:c>
      <x:c r="G145" s="147" t="str">
        <x:v>T284</x:v>
      </x:c>
      <x:c r="H145" s="147" t="n">
        <x:v>44.800000000000004</x:v>
      </x:c>
      <x:c r="I145" s="147" t="n">
        <x:v>6.4</x:v>
      </x:c>
      <x:c r="J145" s="147" t="n">
        <x:v>6.4</x:v>
      </x:c>
      <x:c r="K145" s="147" t="n">
        <x:v>6.4</x:v>
      </x:c>
      <x:c r="L145" s="147" t="str">
        <x:v>Aplicación instalable y reporte</x:v>
      </x:c>
      <x:c r="M145" s="147" t="str">
        <x:v>Evidencia contra requisito del ciclo; revisión cruzada y desvíos críticos documentados</x:v>
      </x:c>
    </x:row>
    <x:row r="146" ht="42" customHeight="1">
      <x:c r="A146" s="147" t="str">
        <x:v>X29</x:v>
      </x:c>
      <x:c r="B146" s="147" t="str">
        <x:v>Transversal</x:v>
      </x:c>
      <x:c r="C146" s="147" t="str">
        <x:v>Coordinación, compras, QA, documentación; evidencia clínica/regulatoria; captación de aliados</x:v>
      </x:c>
      <x:c r="D146" s="147" t="n">
        <x:v>14</x:v>
      </x:c>
      <x:c r="E146" s="147" t="n">
        <x:v>29</x:v>
      </x:c>
      <x:c r="F146" s="147" t="str">
        <x:v>Equipo; técnico laboratorio coordina</x:v>
      </x:c>
      <x:c r="G146" s="147" t="str">
        <x:v>X28</x:v>
      </x:c>
      <x:c r="H146" s="147" t="n">
        <x:v>16</x:v>
      </x:c>
      <x:c r="I146" s="147" t="n">
        <x:v>16</x:v>
      </x:c>
      <x:c r="J146" s="147" t="n">
        <x:v>16</x:v>
      </x:c>
      <x:c r="K146" s="147" t="n">
        <x:v>16</x:v>
      </x:c>
      <x:c r="L146" s="147" t="str">
        <x:v>Órdenes, actas, dossier y contactos</x:v>
      </x:c>
      <x:c r="M146" s="147" t="str">
        <x:v>Recepción trazable; revisión de riesgos; ensayos autorizados; siguiente acción con responsable</x:v>
      </x:c>
    </x:row>
    <x:row r="147" ht="42" customHeight="1">
      <x:c r="A147" s="147" t="str">
        <x:v>T301</x:v>
      </x:c>
      <x:c r="B147" s="147" t="str">
        <x:v>Parche descartable</x:v>
      </x:c>
      <x:c r="C147" s="147" t="str">
        <x:v>Desvíos de desempeño: verificación/corrección</x:v>
      </x:c>
      <x:c r="D147" s="147" t="n">
        <x:v>14</x:v>
      </x:c>
      <x:c r="E147" s="147" t="n">
        <x:v>30</x:v>
      </x:c>
      <x:c r="F147" s="147" t="str">
        <x:v>Técnico laboratorio</x:v>
      </x:c>
      <x:c r="G147" s="147" t="str">
        <x:v>T291</x:v>
      </x:c>
      <x:c r="H147" s="147" t="n">
        <x:v>6.4</x:v>
      </x:c>
      <x:c r="I147" s="147" t="n">
        <x:v>6.4</x:v>
      </x:c>
      <x:c r="J147" s="147" t="n">
        <x:v>6.4</x:v>
      </x:c>
      <x:c r="K147" s="147" t="n">
        <x:v>44.800000000000004</x:v>
      </x:c>
      <x:c r="L147" s="147" t="str">
        <x:v>Muestras y protocolo por lote</x:v>
      </x:c>
      <x:c r="M147" s="147" t="str">
        <x:v>Evidencia contra requisito del ciclo; revisión cruzada y desvíos críticos documentados</x:v>
      </x:c>
    </x:row>
    <x:row r="148" ht="42" customHeight="1">
      <x:c r="A148" s="147" t="str">
        <x:v>T302</x:v>
      </x:c>
      <x:c r="B148" s="147" t="str">
        <x:v>Lector reutilizable</x:v>
      </x:c>
      <x:c r="C148" s="147" t="str">
        <x:v>Análisis de registros: verificación/corrección</x:v>
      </x:c>
      <x:c r="D148" s="147" t="n">
        <x:v>14</x:v>
      </x:c>
      <x:c r="E148" s="147" t="n">
        <x:v>30</x:v>
      </x:c>
      <x:c r="F148" s="147" t="str">
        <x:v>Ing. embebidos</x:v>
      </x:c>
      <x:c r="G148" s="147" t="str">
        <x:v>T292</x:v>
      </x:c>
      <x:c r="H148" s="147" t="n">
        <x:v>6.4</x:v>
      </x:c>
      <x:c r="I148" s="147" t="n">
        <x:v>44.800000000000004</x:v>
      </x:c>
      <x:c r="J148" s="147" t="n">
        <x:v>6.4</x:v>
      </x:c>
      <x:c r="K148" s="147" t="n">
        <x:v>6.4</x:v>
      </x:c>
      <x:c r="L148" s="147" t="str">
        <x:v>Versión de PCB/firmware y mediciones</x:v>
      </x:c>
      <x:c r="M148" s="147" t="str">
        <x:v>Evidencia contra requisito del ciclo; revisión cruzada y desvíos críticos documentados</x:v>
      </x:c>
    </x:row>
    <x:row r="149" ht="42" customHeight="1">
      <x:c r="A149" s="147" t="str">
        <x:v>T303</x:v>
      </x:c>
      <x:c r="B149" s="147" t="str">
        <x:v>Pulsera</x:v>
      </x:c>
      <x:c r="C149" s="147" t="str">
        <x:v>Observaciones de uso: verificación/corrección</x:v>
      </x:c>
      <x:c r="D149" s="147" t="n">
        <x:v>14</x:v>
      </x:c>
      <x:c r="E149" s="147" t="n">
        <x:v>30</x:v>
      </x:c>
      <x:c r="F149" s="147" t="str">
        <x:v>Técnico QA</x:v>
      </x:c>
      <x:c r="G149" s="147" t="str">
        <x:v>T293</x:v>
      </x:c>
      <x:c r="H149" s="147" t="n">
        <x:v>6.4</x:v>
      </x:c>
      <x:c r="I149" s="147" t="n">
        <x:v>6.4</x:v>
      </x:c>
      <x:c r="J149" s="147" t="n">
        <x:v>44.800000000000004</x:v>
      </x:c>
      <x:c r="K149" s="147" t="n">
        <x:v>6.4</x:v>
      </x:c>
      <x:c r="L149" s="147" t="str">
        <x:v>Versión de pulsera y reporte</x:v>
      </x:c>
      <x:c r="M149" s="147" t="str">
        <x:v>Evidencia contra requisito del ciclo; revisión cruzada y desvíos críticos documentados</x:v>
      </x:c>
    </x:row>
    <x:row r="150" ht="42" customHeight="1">
      <x:c r="A150" s="147" t="str">
        <x:v>T304</x:v>
      </x:c>
      <x:c r="B150" s="147" t="str">
        <x:v>Aplicación</x:v>
      </x:c>
      <x:c r="C150" s="147" t="str">
        <x:v>Exactitud y alertas: verificación/corrección</x:v>
      </x:c>
      <x:c r="D150" s="147" t="n">
        <x:v>14</x:v>
      </x:c>
      <x:c r="E150" s="147" t="n">
        <x:v>30</x:v>
      </x:c>
      <x:c r="F150" s="147" t="str">
        <x:v>Ing. software</x:v>
      </x:c>
      <x:c r="G150" s="147" t="str">
        <x:v>T294</x:v>
      </x:c>
      <x:c r="H150" s="147" t="n">
        <x:v>44.800000000000004</x:v>
      </x:c>
      <x:c r="I150" s="147" t="n">
        <x:v>6.4</x:v>
      </x:c>
      <x:c r="J150" s="147" t="n">
        <x:v>6.4</x:v>
      </x:c>
      <x:c r="K150" s="147" t="n">
        <x:v>6.4</x:v>
      </x:c>
      <x:c r="L150" s="147" t="str">
        <x:v>Aplicación instalable y reporte</x:v>
      </x:c>
      <x:c r="M150" s="147" t="str">
        <x:v>Evidencia contra requisito del ciclo; revisión cruzada y desvíos críticos documentados</x:v>
      </x:c>
    </x:row>
    <x:row r="151" ht="42" customHeight="1">
      <x:c r="A151" s="147" t="str">
        <x:v>X30</x:v>
      </x:c>
      <x:c r="B151" s="147" t="str">
        <x:v>Transversal</x:v>
      </x:c>
      <x:c r="C151" s="147" t="str">
        <x:v>Coordinación, compras, QA, documentación; evidencia clínica/regulatoria; captación de aliados</x:v>
      </x:c>
      <x:c r="D151" s="147" t="n">
        <x:v>14</x:v>
      </x:c>
      <x:c r="E151" s="147" t="n">
        <x:v>30</x:v>
      </x:c>
      <x:c r="F151" s="147" t="str">
        <x:v>Equipo; técnico laboratorio coordina</x:v>
      </x:c>
      <x:c r="G151" s="147" t="str">
        <x:v>X29</x:v>
      </x:c>
      <x:c r="H151" s="147" t="n">
        <x:v>16</x:v>
      </x:c>
      <x:c r="I151" s="147" t="n">
        <x:v>16</x:v>
      </x:c>
      <x:c r="J151" s="147" t="n">
        <x:v>16</x:v>
      </x:c>
      <x:c r="K151" s="147" t="n">
        <x:v>16</x:v>
      </x:c>
      <x:c r="L151" s="147" t="str">
        <x:v>Órdenes, actas, dossier y contactos</x:v>
      </x:c>
      <x:c r="M151" s="147" t="str">
        <x:v>Recepción trazable; revisión de riesgos; ensayos autorizados; siguiente acción con responsable</x:v>
      </x:c>
    </x:row>
    <x:row r="152" ht="42" customHeight="1">
      <x:c r="A152" s="147" t="str">
        <x:v>T311</x:v>
      </x:c>
      <x:c r="B152" s="147" t="str">
        <x:v>Parche descartable</x:v>
      </x:c>
      <x:c r="C152" s="147" t="str">
        <x:v>Repetición de controles: preparación/ejecución</x:v>
      </x:c>
      <x:c r="D152" s="147" t="n">
        <x:v>15</x:v>
      </x:c>
      <x:c r="E152" s="147" t="n">
        <x:v>31</x:v>
      </x:c>
      <x:c r="F152" s="147" t="str">
        <x:v>Técnico laboratorio</x:v>
      </x:c>
      <x:c r="G152" s="147" t="str">
        <x:v>T301</x:v>
      </x:c>
      <x:c r="H152" s="147" t="n">
        <x:v>6.4</x:v>
      </x:c>
      <x:c r="I152" s="147" t="n">
        <x:v>6.4</x:v>
      </x:c>
      <x:c r="J152" s="147" t="n">
        <x:v>6.4</x:v>
      </x:c>
      <x:c r="K152" s="147" t="n">
        <x:v>44.800000000000004</x:v>
      </x:c>
      <x:c r="L152" s="147" t="str">
        <x:v>Muestras y protocolo por lote</x:v>
      </x:c>
      <x:c r="M152" s="147" t="str">
        <x:v>Evidencia contra requisito del ciclo; revisión cruzada y desvíos críticos documentados</x:v>
      </x:c>
    </x:row>
    <x:row r="153" ht="42" customHeight="1">
      <x:c r="A153" s="147" t="str">
        <x:v>T312</x:v>
      </x:c>
      <x:c r="B153" s="147" t="str">
        <x:v>Lector reutilizable</x:v>
      </x:c>
      <x:c r="C153" s="147" t="str">
        <x:v>Control de cambios: preparación/ejecución</x:v>
      </x:c>
      <x:c r="D153" s="147" t="n">
        <x:v>15</x:v>
      </x:c>
      <x:c r="E153" s="147" t="n">
        <x:v>31</x:v>
      </x:c>
      <x:c r="F153" s="147" t="str">
        <x:v>Ing. embebidos</x:v>
      </x:c>
      <x:c r="G153" s="147" t="str">
        <x:v>T302</x:v>
      </x:c>
      <x:c r="H153" s="147" t="n">
        <x:v>6.4</x:v>
      </x:c>
      <x:c r="I153" s="147" t="n">
        <x:v>44.800000000000004</x:v>
      </x:c>
      <x:c r="J153" s="147" t="n">
        <x:v>6.4</x:v>
      </x:c>
      <x:c r="K153" s="147" t="n">
        <x:v>6.4</x:v>
      </x:c>
      <x:c r="L153" s="147" t="str">
        <x:v>Versión de PCB/firmware y mediciones</x:v>
      </x:c>
      <x:c r="M153" s="147" t="str">
        <x:v>Evidencia contra requisito del ciclo; revisión cruzada y desvíos críticos documentados</x:v>
      </x:c>
    </x:row>
    <x:row r="154" ht="42" customHeight="1">
      <x:c r="A154" s="147" t="str">
        <x:v>T313</x:v>
      </x:c>
      <x:c r="B154" s="147" t="str">
        <x:v>Pulsera</x:v>
      </x:c>
      <x:c r="C154" s="147" t="str">
        <x:v>Regresión: preparación/ejecución</x:v>
      </x:c>
      <x:c r="D154" s="147" t="n">
        <x:v>15</x:v>
      </x:c>
      <x:c r="E154" s="147" t="n">
        <x:v>31</x:v>
      </x:c>
      <x:c r="F154" s="147" t="str">
        <x:v>Técnico QA</x:v>
      </x:c>
      <x:c r="G154" s="147" t="str">
        <x:v>T303</x:v>
      </x:c>
      <x:c r="H154" s="147" t="n">
        <x:v>6.4</x:v>
      </x:c>
      <x:c r="I154" s="147" t="n">
        <x:v>6.4</x:v>
      </x:c>
      <x:c r="J154" s="147" t="n">
        <x:v>44.800000000000004</x:v>
      </x:c>
      <x:c r="K154" s="147" t="n">
        <x:v>6.4</x:v>
      </x:c>
      <x:c r="L154" s="147" t="str">
        <x:v>Versión de pulsera y reporte</x:v>
      </x:c>
      <x:c r="M154" s="147" t="str">
        <x:v>Evidencia contra requisito del ciclo; revisión cruzada y desvíos críticos documentados</x:v>
      </x:c>
    </x:row>
    <x:row r="155" ht="42" customHeight="1">
      <x:c r="A155" s="147" t="str">
        <x:v>T314</x:v>
      </x:c>
      <x:c r="B155" s="147" t="str">
        <x:v>Aplicación</x:v>
      </x:c>
      <x:c r="C155" s="147" t="str">
        <x:v>Validación independiente: preparación/ejecución</x:v>
      </x:c>
      <x:c r="D155" s="147" t="n">
        <x:v>15</x:v>
      </x:c>
      <x:c r="E155" s="147" t="n">
        <x:v>31</x:v>
      </x:c>
      <x:c r="F155" s="147" t="str">
        <x:v>Ing. software</x:v>
      </x:c>
      <x:c r="G155" s="147" t="str">
        <x:v>T304</x:v>
      </x:c>
      <x:c r="H155" s="147" t="n">
        <x:v>44.800000000000004</x:v>
      </x:c>
      <x:c r="I155" s="147" t="n">
        <x:v>6.4</x:v>
      </x:c>
      <x:c r="J155" s="147" t="n">
        <x:v>6.4</x:v>
      </x:c>
      <x:c r="K155" s="147" t="n">
        <x:v>6.4</x:v>
      </x:c>
      <x:c r="L155" s="147" t="str">
        <x:v>Aplicación instalable y reporte</x:v>
      </x:c>
      <x:c r="M155" s="147" t="str">
        <x:v>Evidencia contra requisito del ciclo; revisión cruzada y desvíos críticos documentados</x:v>
      </x:c>
    </x:row>
    <x:row r="156" ht="42" customHeight="1">
      <x:c r="A156" s="147" t="str">
        <x:v>X31</x:v>
      </x:c>
      <x:c r="B156" s="147" t="str">
        <x:v>Transversal</x:v>
      </x:c>
      <x:c r="C156" s="147" t="str">
        <x:v>Coordinación, compras, QA, documentación; evidencia clínica/regulatoria; captación de aliados</x:v>
      </x:c>
      <x:c r="D156" s="147" t="n">
        <x:v>15</x:v>
      </x:c>
      <x:c r="E156" s="147" t="n">
        <x:v>31</x:v>
      </x:c>
      <x:c r="F156" s="147" t="str">
        <x:v>Equipo; técnico laboratorio coordina</x:v>
      </x:c>
      <x:c r="G156" s="147" t="str">
        <x:v>X30</x:v>
      </x:c>
      <x:c r="H156" s="147" t="n">
        <x:v>16</x:v>
      </x:c>
      <x:c r="I156" s="147" t="n">
        <x:v>16</x:v>
      </x:c>
      <x:c r="J156" s="147" t="n">
        <x:v>16</x:v>
      </x:c>
      <x:c r="K156" s="147" t="n">
        <x:v>16</x:v>
      </x:c>
      <x:c r="L156" s="147" t="str">
        <x:v>Órdenes, actas, dossier y contactos</x:v>
      </x:c>
      <x:c r="M156" s="147" t="str">
        <x:v>Recepción trazable; revisión de riesgos; ensayos autorizados; siguiente acción con responsable</x:v>
      </x:c>
    </x:row>
    <x:row r="157" ht="42" customHeight="1">
      <x:c r="A157" s="147" t="str">
        <x:v>T321</x:v>
      </x:c>
      <x:c r="B157" s="147" t="str">
        <x:v>Parche descartable</x:v>
      </x:c>
      <x:c r="C157" s="147" t="str">
        <x:v>Repetición de controles: verificación/corrección</x:v>
      </x:c>
      <x:c r="D157" s="147" t="n">
        <x:v>15</x:v>
      </x:c>
      <x:c r="E157" s="147" t="n">
        <x:v>32</x:v>
      </x:c>
      <x:c r="F157" s="147" t="str">
        <x:v>Técnico laboratorio</x:v>
      </x:c>
      <x:c r="G157" s="147" t="str">
        <x:v>T311</x:v>
      </x:c>
      <x:c r="H157" s="147" t="n">
        <x:v>6.4</x:v>
      </x:c>
      <x:c r="I157" s="147" t="n">
        <x:v>6.4</x:v>
      </x:c>
      <x:c r="J157" s="147" t="n">
        <x:v>6.4</x:v>
      </x:c>
      <x:c r="K157" s="147" t="n">
        <x:v>44.800000000000004</x:v>
      </x:c>
      <x:c r="L157" s="147" t="str">
        <x:v>Muestras y protocolo por lote</x:v>
      </x:c>
      <x:c r="M157" s="147" t="str">
        <x:v>Evidencia contra requisito del ciclo; revisión cruzada y desvíos críticos documentados</x:v>
      </x:c>
    </x:row>
    <x:row r="158" ht="42" customHeight="1">
      <x:c r="A158" s="147" t="str">
        <x:v>T322</x:v>
      </x:c>
      <x:c r="B158" s="147" t="str">
        <x:v>Lector reutilizable</x:v>
      </x:c>
      <x:c r="C158" s="147" t="str">
        <x:v>Control de cambios: verificación/corrección</x:v>
      </x:c>
      <x:c r="D158" s="147" t="n">
        <x:v>15</x:v>
      </x:c>
      <x:c r="E158" s="147" t="n">
        <x:v>32</x:v>
      </x:c>
      <x:c r="F158" s="147" t="str">
        <x:v>Ing. embebidos</x:v>
      </x:c>
      <x:c r="G158" s="147" t="str">
        <x:v>T312</x:v>
      </x:c>
      <x:c r="H158" s="147" t="n">
        <x:v>6.4</x:v>
      </x:c>
      <x:c r="I158" s="147" t="n">
        <x:v>44.800000000000004</x:v>
      </x:c>
      <x:c r="J158" s="147" t="n">
        <x:v>6.4</x:v>
      </x:c>
      <x:c r="K158" s="147" t="n">
        <x:v>6.4</x:v>
      </x:c>
      <x:c r="L158" s="147" t="str">
        <x:v>Versión de PCB/firmware y mediciones</x:v>
      </x:c>
      <x:c r="M158" s="147" t="str">
        <x:v>Evidencia contra requisito del ciclo; revisión cruzada y desvíos críticos documentados</x:v>
      </x:c>
    </x:row>
    <x:row r="159" ht="42" customHeight="1">
      <x:c r="A159" s="147" t="str">
        <x:v>T323</x:v>
      </x:c>
      <x:c r="B159" s="147" t="str">
        <x:v>Pulsera</x:v>
      </x:c>
      <x:c r="C159" s="147" t="str">
        <x:v>Regresión: verificación/corrección</x:v>
      </x:c>
      <x:c r="D159" s="147" t="n">
        <x:v>15</x:v>
      </x:c>
      <x:c r="E159" s="147" t="n">
        <x:v>32</x:v>
      </x:c>
      <x:c r="F159" s="147" t="str">
        <x:v>Técnico QA</x:v>
      </x:c>
      <x:c r="G159" s="147" t="str">
        <x:v>T313</x:v>
      </x:c>
      <x:c r="H159" s="147" t="n">
        <x:v>6.4</x:v>
      </x:c>
      <x:c r="I159" s="147" t="n">
        <x:v>6.4</x:v>
      </x:c>
      <x:c r="J159" s="147" t="n">
        <x:v>44.800000000000004</x:v>
      </x:c>
      <x:c r="K159" s="147" t="n">
        <x:v>6.4</x:v>
      </x:c>
      <x:c r="L159" s="147" t="str">
        <x:v>Versión de pulsera y reporte</x:v>
      </x:c>
      <x:c r="M159" s="147" t="str">
        <x:v>Evidencia contra requisito del ciclo; revisión cruzada y desvíos críticos documentados</x:v>
      </x:c>
    </x:row>
    <x:row r="160" ht="42" customHeight="1">
      <x:c r="A160" s="147" t="str">
        <x:v>T324</x:v>
      </x:c>
      <x:c r="B160" s="147" t="str">
        <x:v>Aplicación</x:v>
      </x:c>
      <x:c r="C160" s="147" t="str">
        <x:v>Validación independiente: verificación/corrección</x:v>
      </x:c>
      <x:c r="D160" s="147" t="n">
        <x:v>15</x:v>
      </x:c>
      <x:c r="E160" s="147" t="n">
        <x:v>32</x:v>
      </x:c>
      <x:c r="F160" s="147" t="str">
        <x:v>Ing. software</x:v>
      </x:c>
      <x:c r="G160" s="147" t="str">
        <x:v>T314</x:v>
      </x:c>
      <x:c r="H160" s="147" t="n">
        <x:v>44.800000000000004</x:v>
      </x:c>
      <x:c r="I160" s="147" t="n">
        <x:v>6.4</x:v>
      </x:c>
      <x:c r="J160" s="147" t="n">
        <x:v>6.4</x:v>
      </x:c>
      <x:c r="K160" s="147" t="n">
        <x:v>6.4</x:v>
      </x:c>
      <x:c r="L160" s="147" t="str">
        <x:v>Aplicación instalable y reporte</x:v>
      </x:c>
      <x:c r="M160" s="147" t="str">
        <x:v>Evidencia contra requisito del ciclo; revisión cruzada y desvíos críticos documentados</x:v>
      </x:c>
    </x:row>
    <x:row r="161" ht="42" customHeight="1">
      <x:c r="A161" s="147" t="str">
        <x:v>X32</x:v>
      </x:c>
      <x:c r="B161" s="147" t="str">
        <x:v>Transversal</x:v>
      </x:c>
      <x:c r="C161" s="147" t="str">
        <x:v>Coordinación, compras, QA, documentación; evidencia clínica/regulatoria; captación de aliados</x:v>
      </x:c>
      <x:c r="D161" s="147" t="n">
        <x:v>15</x:v>
      </x:c>
      <x:c r="E161" s="147" t="n">
        <x:v>32</x:v>
      </x:c>
      <x:c r="F161" s="147" t="str">
        <x:v>Equipo; técnico laboratorio coordina</x:v>
      </x:c>
      <x:c r="G161" s="147" t="str">
        <x:v>X31</x:v>
      </x:c>
      <x:c r="H161" s="147" t="n">
        <x:v>16</x:v>
      </x:c>
      <x:c r="I161" s="147" t="n">
        <x:v>16</x:v>
      </x:c>
      <x:c r="J161" s="147" t="n">
        <x:v>16</x:v>
      </x:c>
      <x:c r="K161" s="147" t="n">
        <x:v>16</x:v>
      </x:c>
      <x:c r="L161" s="147" t="str">
        <x:v>Órdenes, actas, dossier y contactos</x:v>
      </x:c>
      <x:c r="M161" s="147" t="str">
        <x:v>Recepción trazable; revisión de riesgos; ensayos autorizados; siguiente acción con responsable</x:v>
      </x:c>
    </x:row>
    <x:row r="162" ht="42" customHeight="1">
      <x:c r="A162" s="147" t="str">
        <x:v>T331</x:v>
      </x:c>
      <x:c r="B162" s="147" t="str">
        <x:v>Parche descartable</x:v>
      </x:c>
      <x:c r="C162" s="147" t="str">
        <x:v>Preparación de producción: preparación/ejecución</x:v>
      </x:c>
      <x:c r="D162" s="147" t="n">
        <x:v>16</x:v>
      </x:c>
      <x:c r="E162" s="147" t="n">
        <x:v>33</x:v>
      </x:c>
      <x:c r="F162" s="147" t="str">
        <x:v>Técnico laboratorio</x:v>
      </x:c>
      <x:c r="G162" s="147" t="str">
        <x:v>T321</x:v>
      </x:c>
      <x:c r="H162" s="147" t="n">
        <x:v>6.4</x:v>
      </x:c>
      <x:c r="I162" s="147" t="n">
        <x:v>6.4</x:v>
      </x:c>
      <x:c r="J162" s="147" t="n">
        <x:v>6.4</x:v>
      </x:c>
      <x:c r="K162" s="147" t="n">
        <x:v>44.800000000000004</x:v>
      </x:c>
      <x:c r="L162" s="147" t="str">
        <x:v>Muestras y protocolo por lote</x:v>
      </x:c>
      <x:c r="M162" s="147" t="str">
        <x:v>Evidencia contra requisito del ciclo; revisión cruzada y desvíos críticos documentados</x:v>
      </x:c>
    </x:row>
    <x:row r="163" ht="42" customHeight="1">
      <x:c r="A163" s="147" t="str">
        <x:v>T332</x:v>
      </x:c>
      <x:c r="B163" s="147" t="str">
        <x:v>Lector reutilizable</x:v>
      </x:c>
      <x:c r="C163" s="147" t="str">
        <x:v>Fixtures: preparación/ejecución</x:v>
      </x:c>
      <x:c r="D163" s="147" t="n">
        <x:v>16</x:v>
      </x:c>
      <x:c r="E163" s="147" t="n">
        <x:v>33</x:v>
      </x:c>
      <x:c r="F163" s="147" t="str">
        <x:v>Ing. embebidos</x:v>
      </x:c>
      <x:c r="G163" s="147" t="str">
        <x:v>T322</x:v>
      </x:c>
      <x:c r="H163" s="147" t="n">
        <x:v>6.4</x:v>
      </x:c>
      <x:c r="I163" s="147" t="n">
        <x:v>44.800000000000004</x:v>
      </x:c>
      <x:c r="J163" s="147" t="n">
        <x:v>6.4</x:v>
      </x:c>
      <x:c r="K163" s="147" t="n">
        <x:v>6.4</x:v>
      </x:c>
      <x:c r="L163" s="147" t="str">
        <x:v>Versión de PCB/firmware y mediciones</x:v>
      </x:c>
      <x:c r="M163" s="147" t="str">
        <x:v>Evidencia contra requisito del ciclo; revisión cruzada y desvíos críticos documentados</x:v>
      </x:c>
    </x:row>
    <x:row r="164" ht="42" customHeight="1">
      <x:c r="A164" s="147" t="str">
        <x:v>T333</x:v>
      </x:c>
      <x:c r="B164" s="147" t="str">
        <x:v>Pulsera</x:v>
      </x:c>
      <x:c r="C164" s="147" t="str">
        <x:v>Control de fabricación: preparación/ejecución</x:v>
      </x:c>
      <x:c r="D164" s="147" t="n">
        <x:v>16</x:v>
      </x:c>
      <x:c r="E164" s="147" t="n">
        <x:v>33</x:v>
      </x:c>
      <x:c r="F164" s="147" t="str">
        <x:v>Técnico QA</x:v>
      </x:c>
      <x:c r="G164" s="147" t="str">
        <x:v>T323</x:v>
      </x:c>
      <x:c r="H164" s="147" t="n">
        <x:v>6.4</x:v>
      </x:c>
      <x:c r="I164" s="147" t="n">
        <x:v>6.4</x:v>
      </x:c>
      <x:c r="J164" s="147" t="n">
        <x:v>44.800000000000004</x:v>
      </x:c>
      <x:c r="K164" s="147" t="n">
        <x:v>6.4</x:v>
      </x:c>
      <x:c r="L164" s="147" t="str">
        <x:v>Versión de pulsera y reporte</x:v>
      </x:c>
      <x:c r="M164" s="147" t="str">
        <x:v>Evidencia contra requisito del ciclo; revisión cruzada y desvíos críticos documentados</x:v>
      </x:c>
    </x:row>
    <x:row r="165" ht="42" customHeight="1">
      <x:c r="A165" s="147" t="str">
        <x:v>T334</x:v>
      </x:c>
      <x:c r="B165" s="147" t="str">
        <x:v>Aplicación</x:v>
      </x:c>
      <x:c r="C165" s="147" t="str">
        <x:v>Soporte y distribución: preparación/ejecución</x:v>
      </x:c>
      <x:c r="D165" s="147" t="n">
        <x:v>16</x:v>
      </x:c>
      <x:c r="E165" s="147" t="n">
        <x:v>33</x:v>
      </x:c>
      <x:c r="F165" s="147" t="str">
        <x:v>Ing. software</x:v>
      </x:c>
      <x:c r="G165" s="147" t="str">
        <x:v>T324</x:v>
      </x:c>
      <x:c r="H165" s="147" t="n">
        <x:v>44.800000000000004</x:v>
      </x:c>
      <x:c r="I165" s="147" t="n">
        <x:v>6.4</x:v>
      </x:c>
      <x:c r="J165" s="147" t="n">
        <x:v>6.4</x:v>
      </x:c>
      <x:c r="K165" s="147" t="n">
        <x:v>6.4</x:v>
      </x:c>
      <x:c r="L165" s="147" t="str">
        <x:v>Aplicación instalable y reporte</x:v>
      </x:c>
      <x:c r="M165" s="147" t="str">
        <x:v>Evidencia contra requisito del ciclo; revisión cruzada y desvíos críticos documentados</x:v>
      </x:c>
    </x:row>
    <x:row r="166" ht="42" customHeight="1">
      <x:c r="A166" s="147" t="str">
        <x:v>X33</x:v>
      </x:c>
      <x:c r="B166" s="147" t="str">
        <x:v>Transversal</x:v>
      </x:c>
      <x:c r="C166" s="147" t="str">
        <x:v>Coordinación, compras, QA, documentación; evidencia clínica/regulatoria; captación de aliados</x:v>
      </x:c>
      <x:c r="D166" s="147" t="n">
        <x:v>16</x:v>
      </x:c>
      <x:c r="E166" s="147" t="n">
        <x:v>33</x:v>
      </x:c>
      <x:c r="F166" s="147" t="str">
        <x:v>Equipo; técnico laboratorio coordina</x:v>
      </x:c>
      <x:c r="G166" s="147" t="str">
        <x:v>X32</x:v>
      </x:c>
      <x:c r="H166" s="147" t="n">
        <x:v>16</x:v>
      </x:c>
      <x:c r="I166" s="147" t="n">
        <x:v>16</x:v>
      </x:c>
      <x:c r="J166" s="147" t="n">
        <x:v>16</x:v>
      </x:c>
      <x:c r="K166" s="147" t="n">
        <x:v>16</x:v>
      </x:c>
      <x:c r="L166" s="147" t="str">
        <x:v>Órdenes, actas, dossier y contactos</x:v>
      </x:c>
      <x:c r="M166" s="147" t="str">
        <x:v>Recepción trazable; revisión de riesgos; ensayos autorizados; siguiente acción con responsable</x:v>
      </x:c>
    </x:row>
    <x:row r="167" ht="42" customHeight="1">
      <x:c r="A167" s="147" t="str">
        <x:v>T341</x:v>
      </x:c>
      <x:c r="B167" s="147" t="str">
        <x:v>Parche descartable</x:v>
      </x:c>
      <x:c r="C167" s="147" t="str">
        <x:v>Preparación de producción: verificación/corrección</x:v>
      </x:c>
      <x:c r="D167" s="147" t="n">
        <x:v>16</x:v>
      </x:c>
      <x:c r="E167" s="147" t="n">
        <x:v>34</x:v>
      </x:c>
      <x:c r="F167" s="147" t="str">
        <x:v>Técnico laboratorio</x:v>
      </x:c>
      <x:c r="G167" s="147" t="str">
        <x:v>T331</x:v>
      </x:c>
      <x:c r="H167" s="147" t="n">
        <x:v>6.4</x:v>
      </x:c>
      <x:c r="I167" s="147" t="n">
        <x:v>6.4</x:v>
      </x:c>
      <x:c r="J167" s="147" t="n">
        <x:v>6.4</x:v>
      </x:c>
      <x:c r="K167" s="147" t="n">
        <x:v>44.800000000000004</x:v>
      </x:c>
      <x:c r="L167" s="147" t="str">
        <x:v>Muestras y protocolo por lote</x:v>
      </x:c>
      <x:c r="M167" s="147" t="str">
        <x:v>Evidencia contra requisito del ciclo; revisión cruzada y desvíos críticos documentados</x:v>
      </x:c>
    </x:row>
    <x:row r="168" ht="42" customHeight="1">
      <x:c r="A168" s="147" t="str">
        <x:v>T342</x:v>
      </x:c>
      <x:c r="B168" s="147" t="str">
        <x:v>Lector reutilizable</x:v>
      </x:c>
      <x:c r="C168" s="147" t="str">
        <x:v>Fixtures: verificación/corrección</x:v>
      </x:c>
      <x:c r="D168" s="147" t="n">
        <x:v>16</x:v>
      </x:c>
      <x:c r="E168" s="147" t="n">
        <x:v>34</x:v>
      </x:c>
      <x:c r="F168" s="147" t="str">
        <x:v>Ing. embebidos</x:v>
      </x:c>
      <x:c r="G168" s="147" t="str">
        <x:v>T332</x:v>
      </x:c>
      <x:c r="H168" s="147" t="n">
        <x:v>6.4</x:v>
      </x:c>
      <x:c r="I168" s="147" t="n">
        <x:v>44.800000000000004</x:v>
      </x:c>
      <x:c r="J168" s="147" t="n">
        <x:v>6.4</x:v>
      </x:c>
      <x:c r="K168" s="147" t="n">
        <x:v>6.4</x:v>
      </x:c>
      <x:c r="L168" s="147" t="str">
        <x:v>Versión de PCB/firmware y mediciones</x:v>
      </x:c>
      <x:c r="M168" s="147" t="str">
        <x:v>Evidencia contra requisito del ciclo; revisión cruzada y desvíos críticos documentados</x:v>
      </x:c>
    </x:row>
    <x:row r="169" ht="42" customHeight="1">
      <x:c r="A169" s="147" t="str">
        <x:v>T343</x:v>
      </x:c>
      <x:c r="B169" s="147" t="str">
        <x:v>Pulsera</x:v>
      </x:c>
      <x:c r="C169" s="147" t="str">
        <x:v>Control de fabricación: verificación/corrección</x:v>
      </x:c>
      <x:c r="D169" s="147" t="n">
        <x:v>16</x:v>
      </x:c>
      <x:c r="E169" s="147" t="n">
        <x:v>34</x:v>
      </x:c>
      <x:c r="F169" s="147" t="str">
        <x:v>Técnico QA</x:v>
      </x:c>
      <x:c r="G169" s="147" t="str">
        <x:v>T333</x:v>
      </x:c>
      <x:c r="H169" s="147" t="n">
        <x:v>6.4</x:v>
      </x:c>
      <x:c r="I169" s="147" t="n">
        <x:v>6.4</x:v>
      </x:c>
      <x:c r="J169" s="147" t="n">
        <x:v>44.800000000000004</x:v>
      </x:c>
      <x:c r="K169" s="147" t="n">
        <x:v>6.4</x:v>
      </x:c>
      <x:c r="L169" s="147" t="str">
        <x:v>Versión de pulsera y reporte</x:v>
      </x:c>
      <x:c r="M169" s="147" t="str">
        <x:v>Evidencia contra requisito del ciclo; revisión cruzada y desvíos críticos documentados</x:v>
      </x:c>
    </x:row>
    <x:row r="170" ht="42" customHeight="1">
      <x:c r="A170" s="147" t="str">
        <x:v>T344</x:v>
      </x:c>
      <x:c r="B170" s="147" t="str">
        <x:v>Aplicación</x:v>
      </x:c>
      <x:c r="C170" s="147" t="str">
        <x:v>Soporte y distribución: verificación/corrección</x:v>
      </x:c>
      <x:c r="D170" s="147" t="n">
        <x:v>16</x:v>
      </x:c>
      <x:c r="E170" s="147" t="n">
        <x:v>34</x:v>
      </x:c>
      <x:c r="F170" s="147" t="str">
        <x:v>Ing. software</x:v>
      </x:c>
      <x:c r="G170" s="147" t="str">
        <x:v>T334</x:v>
      </x:c>
      <x:c r="H170" s="147" t="n">
        <x:v>44.800000000000004</x:v>
      </x:c>
      <x:c r="I170" s="147" t="n">
        <x:v>6.4</x:v>
      </x:c>
      <x:c r="J170" s="147" t="n">
        <x:v>6.4</x:v>
      </x:c>
      <x:c r="K170" s="147" t="n">
        <x:v>6.4</x:v>
      </x:c>
      <x:c r="L170" s="147" t="str">
        <x:v>Aplicación instalable y reporte</x:v>
      </x:c>
      <x:c r="M170" s="147" t="str">
        <x:v>Evidencia contra requisito del ciclo; revisión cruzada y desvíos críticos documentados</x:v>
      </x:c>
    </x:row>
    <x:row r="171" ht="42" customHeight="1">
      <x:c r="A171" s="147" t="str">
        <x:v>X34</x:v>
      </x:c>
      <x:c r="B171" s="147" t="str">
        <x:v>Transversal</x:v>
      </x:c>
      <x:c r="C171" s="147" t="str">
        <x:v>Coordinación, compras, QA, documentación; evidencia clínica/regulatoria; captación de aliados</x:v>
      </x:c>
      <x:c r="D171" s="147" t="n">
        <x:v>16</x:v>
      </x:c>
      <x:c r="E171" s="147" t="n">
        <x:v>34</x:v>
      </x:c>
      <x:c r="F171" s="147" t="str">
        <x:v>Equipo; técnico laboratorio coordina</x:v>
      </x:c>
      <x:c r="G171" s="147" t="str">
        <x:v>X33</x:v>
      </x:c>
      <x:c r="H171" s="147" t="n">
        <x:v>16</x:v>
      </x:c>
      <x:c r="I171" s="147" t="n">
        <x:v>16</x:v>
      </x:c>
      <x:c r="J171" s="147" t="n">
        <x:v>16</x:v>
      </x:c>
      <x:c r="K171" s="147" t="n">
        <x:v>16</x:v>
      </x:c>
      <x:c r="L171" s="147" t="str">
        <x:v>Órdenes, actas, dossier y contactos</x:v>
      </x:c>
      <x:c r="M171" s="147" t="str">
        <x:v>Recepción trazable; revisión de riesgos; ensayos autorizados; siguiente acción con responsable</x:v>
      </x:c>
    </x:row>
    <x:row r="172" ht="42" customHeight="1">
      <x:c r="A172" s="147" t="str">
        <x:v>T351</x:v>
      </x:c>
      <x:c r="B172" s="147" t="str">
        <x:v>Parche descartable</x:v>
      </x:c>
      <x:c r="C172" s="147" t="str">
        <x:v>Recepción de lotes: preparación/ejecución</x:v>
      </x:c>
      <x:c r="D172" s="147" t="n">
        <x:v>17</x:v>
      </x:c>
      <x:c r="E172" s="147" t="n">
        <x:v>35</x:v>
      </x:c>
      <x:c r="F172" s="147" t="str">
        <x:v>Técnico laboratorio</x:v>
      </x:c>
      <x:c r="G172" s="147" t="str">
        <x:v>T341</x:v>
      </x:c>
      <x:c r="H172" s="147" t="n">
        <x:v>6.4</x:v>
      </x:c>
      <x:c r="I172" s="147" t="n">
        <x:v>6.4</x:v>
      </x:c>
      <x:c r="J172" s="147" t="n">
        <x:v>6.4</x:v>
      </x:c>
      <x:c r="K172" s="147" t="n">
        <x:v>44.800000000000004</x:v>
      </x:c>
      <x:c r="L172" s="147" t="str">
        <x:v>Muestras y protocolo por lote</x:v>
      </x:c>
      <x:c r="M172" s="147" t="str">
        <x:v>Evidencia contra requisito del ciclo; revisión cruzada y desvíos críticos documentados</x:v>
      </x:c>
    </x:row>
    <x:row r="173" ht="42" customHeight="1">
      <x:c r="A173" s="147" t="str">
        <x:v>T352</x:v>
      </x:c>
      <x:c r="B173" s="147" t="str">
        <x:v>Lector reutilizable</x:v>
      </x:c>
      <x:c r="C173" s="147" t="str">
        <x:v>Recepción y programación: preparación/ejecución</x:v>
      </x:c>
      <x:c r="D173" s="147" t="n">
        <x:v>17</x:v>
      </x:c>
      <x:c r="E173" s="147" t="n">
        <x:v>35</x:v>
      </x:c>
      <x:c r="F173" s="147" t="str">
        <x:v>Ing. embebidos</x:v>
      </x:c>
      <x:c r="G173" s="147" t="str">
        <x:v>T342</x:v>
      </x:c>
      <x:c r="H173" s="147" t="n">
        <x:v>6.4</x:v>
      </x:c>
      <x:c r="I173" s="147" t="n">
        <x:v>44.800000000000004</x:v>
      </x:c>
      <x:c r="J173" s="147" t="n">
        <x:v>6.4</x:v>
      </x:c>
      <x:c r="K173" s="147" t="n">
        <x:v>6.4</x:v>
      </x:c>
      <x:c r="L173" s="147" t="str">
        <x:v>Versión de PCB/firmware y mediciones</x:v>
      </x:c>
      <x:c r="M173" s="147" t="str">
        <x:v>Evidencia contra requisito del ciclo; revisión cruzada y desvíos críticos documentados</x:v>
      </x:c>
    </x:row>
    <x:row r="174" ht="42" customHeight="1">
      <x:c r="A174" s="147" t="str">
        <x:v>T353</x:v>
      </x:c>
      <x:c r="B174" s="147" t="str">
        <x:v>Pulsera</x:v>
      </x:c>
      <x:c r="C174" s="147" t="str">
        <x:v>Recepción de unidades: preparación/ejecución</x:v>
      </x:c>
      <x:c r="D174" s="147" t="n">
        <x:v>17</x:v>
      </x:c>
      <x:c r="E174" s="147" t="n">
        <x:v>35</x:v>
      </x:c>
      <x:c r="F174" s="147" t="str">
        <x:v>Técnico QA</x:v>
      </x:c>
      <x:c r="G174" s="147" t="str">
        <x:v>T343</x:v>
      </x:c>
      <x:c r="H174" s="147" t="n">
        <x:v>6.4</x:v>
      </x:c>
      <x:c r="I174" s="147" t="n">
        <x:v>6.4</x:v>
      </x:c>
      <x:c r="J174" s="147" t="n">
        <x:v>44.800000000000004</x:v>
      </x:c>
      <x:c r="K174" s="147" t="n">
        <x:v>6.4</x:v>
      </x:c>
      <x:c r="L174" s="147" t="str">
        <x:v>Versión de pulsera y reporte</x:v>
      </x:c>
      <x:c r="M174" s="147" t="str">
        <x:v>Evidencia contra requisito del ciclo; revisión cruzada y desvíos críticos documentados</x:v>
      </x:c>
    </x:row>
    <x:row r="175" ht="42" customHeight="1">
      <x:c r="A175" s="147" t="str">
        <x:v>T354</x:v>
      </x:c>
      <x:c r="B175" s="147" t="str">
        <x:v>Aplicación</x:v>
      </x:c>
      <x:c r="C175" s="147" t="str">
        <x:v>Onboarding: preparación/ejecución</x:v>
      </x:c>
      <x:c r="D175" s="147" t="n">
        <x:v>17</x:v>
      </x:c>
      <x:c r="E175" s="147" t="n">
        <x:v>35</x:v>
      </x:c>
      <x:c r="F175" s="147" t="str">
        <x:v>Ing. software</x:v>
      </x:c>
      <x:c r="G175" s="147" t="str">
        <x:v>T344</x:v>
      </x:c>
      <x:c r="H175" s="147" t="n">
        <x:v>44.800000000000004</x:v>
      </x:c>
      <x:c r="I175" s="147" t="n">
        <x:v>6.4</x:v>
      </x:c>
      <x:c r="J175" s="147" t="n">
        <x:v>6.4</x:v>
      </x:c>
      <x:c r="K175" s="147" t="n">
        <x:v>6.4</x:v>
      </x:c>
      <x:c r="L175" s="147" t="str">
        <x:v>Aplicación instalable y reporte</x:v>
      </x:c>
      <x:c r="M175" s="147" t="str">
        <x:v>Evidencia contra requisito del ciclo; revisión cruzada y desvíos críticos documentados</x:v>
      </x:c>
    </x:row>
    <x:row r="176" ht="42" customHeight="1">
      <x:c r="A176" s="147" t="str">
        <x:v>X35</x:v>
      </x:c>
      <x:c r="B176" s="147" t="str">
        <x:v>Transversal</x:v>
      </x:c>
      <x:c r="C176" s="147" t="str">
        <x:v>Coordinación, compras, QA, documentación; evidencia clínica/regulatoria; captación de aliados</x:v>
      </x:c>
      <x:c r="D176" s="147" t="n">
        <x:v>17</x:v>
      </x:c>
      <x:c r="E176" s="147" t="n">
        <x:v>35</x:v>
      </x:c>
      <x:c r="F176" s="147" t="str">
        <x:v>Equipo; técnico laboratorio coordina</x:v>
      </x:c>
      <x:c r="G176" s="147" t="str">
        <x:v>X34</x:v>
      </x:c>
      <x:c r="H176" s="147" t="n">
        <x:v>16</x:v>
      </x:c>
      <x:c r="I176" s="147" t="n">
        <x:v>16</x:v>
      </x:c>
      <x:c r="J176" s="147" t="n">
        <x:v>16</x:v>
      </x:c>
      <x:c r="K176" s="147" t="n">
        <x:v>16</x:v>
      </x:c>
      <x:c r="L176" s="147" t="str">
        <x:v>Órdenes, actas, dossier y contactos</x:v>
      </x:c>
      <x:c r="M176" s="147" t="str">
        <x:v>Recepción trazable; revisión de riesgos; ensayos autorizados; siguiente acción con responsable</x:v>
      </x:c>
    </x:row>
    <x:row r="177" ht="42" customHeight="1">
      <x:c r="A177" s="147" t="str">
        <x:v>T361</x:v>
      </x:c>
      <x:c r="B177" s="147" t="str">
        <x:v>Parche descartable</x:v>
      </x:c>
      <x:c r="C177" s="147" t="str">
        <x:v>Recepción de lotes: verificación/corrección</x:v>
      </x:c>
      <x:c r="D177" s="147" t="n">
        <x:v>17</x:v>
      </x:c>
      <x:c r="E177" s="147" t="n">
        <x:v>36</x:v>
      </x:c>
      <x:c r="F177" s="147" t="str">
        <x:v>Técnico laboratorio</x:v>
      </x:c>
      <x:c r="G177" s="147" t="str">
        <x:v>T351</x:v>
      </x:c>
      <x:c r="H177" s="147" t="n">
        <x:v>6.4</x:v>
      </x:c>
      <x:c r="I177" s="147" t="n">
        <x:v>6.4</x:v>
      </x:c>
      <x:c r="J177" s="147" t="n">
        <x:v>6.4</x:v>
      </x:c>
      <x:c r="K177" s="147" t="n">
        <x:v>44.800000000000004</x:v>
      </x:c>
      <x:c r="L177" s="147" t="str">
        <x:v>Muestras y protocolo por lote</x:v>
      </x:c>
      <x:c r="M177" s="147" t="str">
        <x:v>Evidencia contra requisito del ciclo; revisión cruzada y desvíos críticos documentados</x:v>
      </x:c>
    </x:row>
    <x:row r="178" ht="42" customHeight="1">
      <x:c r="A178" s="147" t="str">
        <x:v>T362</x:v>
      </x:c>
      <x:c r="B178" s="147" t="str">
        <x:v>Lector reutilizable</x:v>
      </x:c>
      <x:c r="C178" s="147" t="str">
        <x:v>Recepción y programación: verificación/corrección</x:v>
      </x:c>
      <x:c r="D178" s="147" t="n">
        <x:v>17</x:v>
      </x:c>
      <x:c r="E178" s="147" t="n">
        <x:v>36</x:v>
      </x:c>
      <x:c r="F178" s="147" t="str">
        <x:v>Ing. embebidos</x:v>
      </x:c>
      <x:c r="G178" s="147" t="str">
        <x:v>T352</x:v>
      </x:c>
      <x:c r="H178" s="147" t="n">
        <x:v>6.4</x:v>
      </x:c>
      <x:c r="I178" s="147" t="n">
        <x:v>44.800000000000004</x:v>
      </x:c>
      <x:c r="J178" s="147" t="n">
        <x:v>6.4</x:v>
      </x:c>
      <x:c r="K178" s="147" t="n">
        <x:v>6.4</x:v>
      </x:c>
      <x:c r="L178" s="147" t="str">
        <x:v>Versión de PCB/firmware y mediciones</x:v>
      </x:c>
      <x:c r="M178" s="147" t="str">
        <x:v>Evidencia contra requisito del ciclo; revisión cruzada y desvíos críticos documentados</x:v>
      </x:c>
    </x:row>
    <x:row r="179" ht="42" customHeight="1">
      <x:c r="A179" s="147" t="str">
        <x:v>T363</x:v>
      </x:c>
      <x:c r="B179" s="147" t="str">
        <x:v>Pulsera</x:v>
      </x:c>
      <x:c r="C179" s="147" t="str">
        <x:v>Recepción de unidades: verificación/corrección</x:v>
      </x:c>
      <x:c r="D179" s="147" t="n">
        <x:v>17</x:v>
      </x:c>
      <x:c r="E179" s="147" t="n">
        <x:v>36</x:v>
      </x:c>
      <x:c r="F179" s="147" t="str">
        <x:v>Técnico QA</x:v>
      </x:c>
      <x:c r="G179" s="147" t="str">
        <x:v>T353</x:v>
      </x:c>
      <x:c r="H179" s="147" t="n">
        <x:v>6.4</x:v>
      </x:c>
      <x:c r="I179" s="147" t="n">
        <x:v>6.4</x:v>
      </x:c>
      <x:c r="J179" s="147" t="n">
        <x:v>44.800000000000004</x:v>
      </x:c>
      <x:c r="K179" s="147" t="n">
        <x:v>6.4</x:v>
      </x:c>
      <x:c r="L179" s="147" t="str">
        <x:v>Versión de pulsera y reporte</x:v>
      </x:c>
      <x:c r="M179" s="147" t="str">
        <x:v>Evidencia contra requisito del ciclo; revisión cruzada y desvíos críticos documentados</x:v>
      </x:c>
    </x:row>
    <x:row r="180" ht="42" customHeight="1">
      <x:c r="A180" s="147" t="str">
        <x:v>T364</x:v>
      </x:c>
      <x:c r="B180" s="147" t="str">
        <x:v>Aplicación</x:v>
      </x:c>
      <x:c r="C180" s="147" t="str">
        <x:v>Onboarding: verificación/corrección</x:v>
      </x:c>
      <x:c r="D180" s="147" t="n">
        <x:v>17</x:v>
      </x:c>
      <x:c r="E180" s="147" t="n">
        <x:v>36</x:v>
      </x:c>
      <x:c r="F180" s="147" t="str">
        <x:v>Ing. software</x:v>
      </x:c>
      <x:c r="G180" s="147" t="str">
        <x:v>T354</x:v>
      </x:c>
      <x:c r="H180" s="147" t="n">
        <x:v>44.800000000000004</x:v>
      </x:c>
      <x:c r="I180" s="147" t="n">
        <x:v>6.4</x:v>
      </x:c>
      <x:c r="J180" s="147" t="n">
        <x:v>6.4</x:v>
      </x:c>
      <x:c r="K180" s="147" t="n">
        <x:v>6.4</x:v>
      </x:c>
      <x:c r="L180" s="147" t="str">
        <x:v>Aplicación instalable y reporte</x:v>
      </x:c>
      <x:c r="M180" s="147" t="str">
        <x:v>Evidencia contra requisito del ciclo; revisión cruzada y desvíos críticos documentados</x:v>
      </x:c>
    </x:row>
    <x:row r="181" ht="42" customHeight="1">
      <x:c r="A181" s="147" t="str">
        <x:v>X36</x:v>
      </x:c>
      <x:c r="B181" s="147" t="str">
        <x:v>Transversal</x:v>
      </x:c>
      <x:c r="C181" s="147" t="str">
        <x:v>Coordinación, compras, QA, documentación; evidencia clínica/regulatoria; captación de aliados</x:v>
      </x:c>
      <x:c r="D181" s="147" t="n">
        <x:v>17</x:v>
      </x:c>
      <x:c r="E181" s="147" t="n">
        <x:v>36</x:v>
      </x:c>
      <x:c r="F181" s="147" t="str">
        <x:v>Equipo; técnico laboratorio coordina</x:v>
      </x:c>
      <x:c r="G181" s="147" t="str">
        <x:v>X35</x:v>
      </x:c>
      <x:c r="H181" s="147" t="n">
        <x:v>16</x:v>
      </x:c>
      <x:c r="I181" s="147" t="n">
        <x:v>16</x:v>
      </x:c>
      <x:c r="J181" s="147" t="n">
        <x:v>16</x:v>
      </x:c>
      <x:c r="K181" s="147" t="n">
        <x:v>16</x:v>
      </x:c>
      <x:c r="L181" s="147" t="str">
        <x:v>Órdenes, actas, dossier y contactos</x:v>
      </x:c>
      <x:c r="M181" s="147" t="str">
        <x:v>Recepción trazable; revisión de riesgos; ensayos autorizados; siguiente acción con responsable</x:v>
      </x:c>
    </x:row>
    <x:row r="182" ht="42" customHeight="1">
      <x:c r="A182" s="147" t="str">
        <x:v>T371</x:v>
      </x:c>
      <x:c r="B182" s="147" t="str">
        <x:v>Parche descartable</x:v>
      </x:c>
      <x:c r="C182" s="147" t="str">
        <x:v>Liberación: preparación/ejecución</x:v>
      </x:c>
      <x:c r="D182" s="147" t="n">
        <x:v>18</x:v>
      </x:c>
      <x:c r="E182" s="147" t="n">
        <x:v>37</x:v>
      </x:c>
      <x:c r="F182" s="147" t="str">
        <x:v>Técnico laboratorio</x:v>
      </x:c>
      <x:c r="G182" s="147" t="str">
        <x:v>T361</x:v>
      </x:c>
      <x:c r="H182" s="147" t="n">
        <x:v>4.266666666666667</x:v>
      </x:c>
      <x:c r="I182" s="147" t="n">
        <x:v>4.266666666666667</x:v>
      </x:c>
      <x:c r="J182" s="147" t="n">
        <x:v>4.266666666666667</x:v>
      </x:c>
      <x:c r="K182" s="147" t="n">
        <x:v>29.86666666666667</x:v>
      </x:c>
      <x:c r="L182" s="147" t="str">
        <x:v>Muestras y protocolo por lote</x:v>
      </x:c>
      <x:c r="M182" s="147" t="str">
        <x:v>Evidencia contra requisito del ciclo; revisión cruzada y desvíos críticos documentados</x:v>
      </x:c>
    </x:row>
    <x:row r="183" ht="42" customHeight="1">
      <x:c r="A183" s="147" t="str">
        <x:v>T372</x:v>
      </x:c>
      <x:c r="B183" s="147" t="str">
        <x:v>Lector reutilizable</x:v>
      </x:c>
      <x:c r="C183" s="147" t="str">
        <x:v>Liberación de lectores: preparación/ejecución</x:v>
      </x:c>
      <x:c r="D183" s="147" t="n">
        <x:v>18</x:v>
      </x:c>
      <x:c r="E183" s="147" t="n">
        <x:v>37</x:v>
      </x:c>
      <x:c r="F183" s="147" t="str">
        <x:v>Ing. embebidos</x:v>
      </x:c>
      <x:c r="G183" s="147" t="str">
        <x:v>T362</x:v>
      </x:c>
      <x:c r="H183" s="147" t="n">
        <x:v>4.266666666666667</x:v>
      </x:c>
      <x:c r="I183" s="147" t="n">
        <x:v>29.86666666666667</x:v>
      </x:c>
      <x:c r="J183" s="147" t="n">
        <x:v>4.266666666666667</x:v>
      </x:c>
      <x:c r="K183" s="147" t="n">
        <x:v>4.266666666666667</x:v>
      </x:c>
      <x:c r="L183" s="147" t="str">
        <x:v>Versión de PCB/firmware y mediciones</x:v>
      </x:c>
      <x:c r="M183" s="147" t="str">
        <x:v>Evidencia contra requisito del ciclo; revisión cruzada y desvíos críticos documentados</x:v>
      </x:c>
    </x:row>
    <x:row r="184" ht="42" customHeight="1">
      <x:c r="A184" s="147" t="str">
        <x:v>T373</x:v>
      </x:c>
      <x:c r="B184" s="147" t="str">
        <x:v>Pulsera</x:v>
      </x:c>
      <x:c r="C184" s="147" t="str">
        <x:v>Liberación: preparación/ejecución</x:v>
      </x:c>
      <x:c r="D184" s="147" t="n">
        <x:v>18</x:v>
      </x:c>
      <x:c r="E184" s="147" t="n">
        <x:v>37</x:v>
      </x:c>
      <x:c r="F184" s="147" t="str">
        <x:v>Técnico QA</x:v>
      </x:c>
      <x:c r="G184" s="147" t="str">
        <x:v>T363</x:v>
      </x:c>
      <x:c r="H184" s="147" t="n">
        <x:v>4.266666666666667</x:v>
      </x:c>
      <x:c r="I184" s="147" t="n">
        <x:v>4.266666666666667</x:v>
      </x:c>
      <x:c r="J184" s="147" t="n">
        <x:v>29.86666666666667</x:v>
      </x:c>
      <x:c r="K184" s="147" t="n">
        <x:v>4.266666666666667</x:v>
      </x:c>
      <x:c r="L184" s="147" t="str">
        <x:v>Versión de pulsera y reporte</x:v>
      </x:c>
      <x:c r="M184" s="147" t="str">
        <x:v>Evidencia contra requisito del ciclo; revisión cruzada y desvíos críticos documentados</x:v>
      </x:c>
    </x:row>
    <x:row r="185" ht="42" customHeight="1">
      <x:c r="A185" s="147" t="str">
        <x:v>T374</x:v>
      </x:c>
      <x:c r="B185" s="147" t="str">
        <x:v>Aplicación</x:v>
      </x:c>
      <x:c r="C185" s="147" t="str">
        <x:v>Liberación: preparación/ejecución</x:v>
      </x:c>
      <x:c r="D185" s="147" t="n">
        <x:v>18</x:v>
      </x:c>
      <x:c r="E185" s="147" t="n">
        <x:v>37</x:v>
      </x:c>
      <x:c r="F185" s="147" t="str">
        <x:v>Ing. software</x:v>
      </x:c>
      <x:c r="G185" s="147" t="str">
        <x:v>T364</x:v>
      </x:c>
      <x:c r="H185" s="147" t="n">
        <x:v>29.86666666666667</x:v>
      </x:c>
      <x:c r="I185" s="147" t="n">
        <x:v>4.266666666666667</x:v>
      </x:c>
      <x:c r="J185" s="147" t="n">
        <x:v>4.266666666666667</x:v>
      </x:c>
      <x:c r="K185" s="147" t="n">
        <x:v>4.266666666666667</x:v>
      </x:c>
      <x:c r="L185" s="147" t="str">
        <x:v>Aplicación instalable y reporte</x:v>
      </x:c>
      <x:c r="M185" s="147" t="str">
        <x:v>Evidencia contra requisito del ciclo; revisión cruzada y desvíos críticos documentados</x:v>
      </x:c>
    </x:row>
    <x:row r="186" ht="42" customHeight="1">
      <x:c r="A186" s="147" t="str">
        <x:v>X37</x:v>
      </x:c>
      <x:c r="B186" s="147" t="str">
        <x:v>Transversal</x:v>
      </x:c>
      <x:c r="C186" s="147" t="str">
        <x:v>Coordinación, compras, QA, documentación; evidencia clínica/regulatoria; captación de aliados</x:v>
      </x:c>
      <x:c r="D186" s="147" t="n">
        <x:v>18</x:v>
      </x:c>
      <x:c r="E186" s="147" t="n">
        <x:v>37</x:v>
      </x:c>
      <x:c r="F186" s="147" t="str">
        <x:v>Equipo; técnico laboratorio coordina</x:v>
      </x:c>
      <x:c r="G186" s="147" t="str">
        <x:v>X36</x:v>
      </x:c>
      <x:c r="H186" s="147" t="n">
        <x:v>10.666666666666668</x:v>
      </x:c>
      <x:c r="I186" s="147" t="n">
        <x:v>10.666666666666668</x:v>
      </x:c>
      <x:c r="J186" s="147" t="n">
        <x:v>10.666666666666668</x:v>
      </x:c>
      <x:c r="K186" s="147" t="n">
        <x:v>10.666666666666668</x:v>
      </x:c>
      <x:c r="L186" s="147" t="str">
        <x:v>Órdenes, actas, dossier y contactos</x:v>
      </x:c>
      <x:c r="M186" s="147" t="str">
        <x:v>Recepción trazable; revisión de riesgos; ensayos autorizados; siguiente acción con responsable</x:v>
      </x:c>
    </x:row>
    <x:row r="187" ht="42" customHeight="1">
      <x:c r="A187" s="147" t="str">
        <x:v>T381</x:v>
      </x:c>
      <x:c r="B187" s="147" t="str">
        <x:v>Parche descartable</x:v>
      </x:c>
      <x:c r="C187" s="147" t="str">
        <x:v>Liberación: verificación/corrección</x:v>
      </x:c>
      <x:c r="D187" s="147" t="n">
        <x:v>18</x:v>
      </x:c>
      <x:c r="E187" s="147" t="n">
        <x:v>38</x:v>
      </x:c>
      <x:c r="F187" s="147" t="str">
        <x:v>Técnico laboratorio</x:v>
      </x:c>
      <x:c r="G187" s="147" t="str">
        <x:v>T371</x:v>
      </x:c>
      <x:c r="H187" s="147" t="n">
        <x:v>4.266666666666667</x:v>
      </x:c>
      <x:c r="I187" s="147" t="n">
        <x:v>4.266666666666667</x:v>
      </x:c>
      <x:c r="J187" s="147" t="n">
        <x:v>4.266666666666667</x:v>
      </x:c>
      <x:c r="K187" s="147" t="n">
        <x:v>29.86666666666667</x:v>
      </x:c>
      <x:c r="L187" s="147" t="str">
        <x:v>Muestras y protocolo por lote</x:v>
      </x:c>
      <x:c r="M187" s="147" t="str">
        <x:v>Evidencia contra requisito del ciclo; revisión cruzada y desvíos críticos documentados</x:v>
      </x:c>
    </x:row>
    <x:row r="188" ht="42" customHeight="1">
      <x:c r="A188" s="147" t="str">
        <x:v>T382</x:v>
      </x:c>
      <x:c r="B188" s="147" t="str">
        <x:v>Lector reutilizable</x:v>
      </x:c>
      <x:c r="C188" s="147" t="str">
        <x:v>Liberación de lectores: verificación/corrección</x:v>
      </x:c>
      <x:c r="D188" s="147" t="n">
        <x:v>18</x:v>
      </x:c>
      <x:c r="E188" s="147" t="n">
        <x:v>38</x:v>
      </x:c>
      <x:c r="F188" s="147" t="str">
        <x:v>Ing. embebidos</x:v>
      </x:c>
      <x:c r="G188" s="147" t="str">
        <x:v>T372</x:v>
      </x:c>
      <x:c r="H188" s="147" t="n">
        <x:v>4.266666666666667</x:v>
      </x:c>
      <x:c r="I188" s="147" t="n">
        <x:v>29.86666666666667</x:v>
      </x:c>
      <x:c r="J188" s="147" t="n">
        <x:v>4.266666666666667</x:v>
      </x:c>
      <x:c r="K188" s="147" t="n">
        <x:v>4.266666666666667</x:v>
      </x:c>
      <x:c r="L188" s="147" t="str">
        <x:v>Versión de PCB/firmware y mediciones</x:v>
      </x:c>
      <x:c r="M188" s="147" t="str">
        <x:v>Evidencia contra requisito del ciclo; revisión cruzada y desvíos críticos documentados</x:v>
      </x:c>
    </x:row>
    <x:row r="189" ht="42" customHeight="1">
      <x:c r="A189" s="147" t="str">
        <x:v>T383</x:v>
      </x:c>
      <x:c r="B189" s="147" t="str">
        <x:v>Pulsera</x:v>
      </x:c>
      <x:c r="C189" s="147" t="str">
        <x:v>Liberación: verificación/corrección</x:v>
      </x:c>
      <x:c r="D189" s="147" t="n">
        <x:v>18</x:v>
      </x:c>
      <x:c r="E189" s="147" t="n">
        <x:v>38</x:v>
      </x:c>
      <x:c r="F189" s="147" t="str">
        <x:v>Técnico QA</x:v>
      </x:c>
      <x:c r="G189" s="147" t="str">
        <x:v>T373</x:v>
      </x:c>
      <x:c r="H189" s="147" t="n">
        <x:v>4.266666666666667</x:v>
      </x:c>
      <x:c r="I189" s="147" t="n">
        <x:v>4.266666666666667</x:v>
      </x:c>
      <x:c r="J189" s="147" t="n">
        <x:v>29.86666666666667</x:v>
      </x:c>
      <x:c r="K189" s="147" t="n">
        <x:v>4.266666666666667</x:v>
      </x:c>
      <x:c r="L189" s="147" t="str">
        <x:v>Versión de pulsera y reporte</x:v>
      </x:c>
      <x:c r="M189" s="147" t="str">
        <x:v>Evidencia contra requisito del ciclo; revisión cruzada y desvíos críticos documentados</x:v>
      </x:c>
    </x:row>
    <x:row r="190" ht="42" customHeight="1">
      <x:c r="A190" s="147" t="str">
        <x:v>T384</x:v>
      </x:c>
      <x:c r="B190" s="147" t="str">
        <x:v>Aplicación</x:v>
      </x:c>
      <x:c r="C190" s="147" t="str">
        <x:v>Liberación: verificación/corrección</x:v>
      </x:c>
      <x:c r="D190" s="147" t="n">
        <x:v>18</x:v>
      </x:c>
      <x:c r="E190" s="147" t="n">
        <x:v>38</x:v>
      </x:c>
      <x:c r="F190" s="147" t="str">
        <x:v>Ing. software</x:v>
      </x:c>
      <x:c r="G190" s="147" t="str">
        <x:v>T374</x:v>
      </x:c>
      <x:c r="H190" s="147" t="n">
        <x:v>29.86666666666667</x:v>
      </x:c>
      <x:c r="I190" s="147" t="n">
        <x:v>4.266666666666667</x:v>
      </x:c>
      <x:c r="J190" s="147" t="n">
        <x:v>4.266666666666667</x:v>
      </x:c>
      <x:c r="K190" s="147" t="n">
        <x:v>4.266666666666667</x:v>
      </x:c>
      <x:c r="L190" s="147" t="str">
        <x:v>Aplicación instalable y reporte</x:v>
      </x:c>
      <x:c r="M190" s="147" t="str">
        <x:v>Evidencia contra requisito del ciclo; revisión cruzada y desvíos críticos documentados</x:v>
      </x:c>
    </x:row>
    <x:row r="191" ht="42" customHeight="1">
      <x:c r="A191" s="147" t="str">
        <x:v>X38</x:v>
      </x:c>
      <x:c r="B191" s="147" t="str">
        <x:v>Transversal</x:v>
      </x:c>
      <x:c r="C191" s="147" t="str">
        <x:v>Coordinación, compras, QA, documentación; evidencia clínica/regulatoria; captación de aliados</x:v>
      </x:c>
      <x:c r="D191" s="147" t="n">
        <x:v>18</x:v>
      </x:c>
      <x:c r="E191" s="147" t="n">
        <x:v>38</x:v>
      </x:c>
      <x:c r="F191" s="147" t="str">
        <x:v>Equipo; técnico laboratorio coordina</x:v>
      </x:c>
      <x:c r="G191" s="147" t="str">
        <x:v>X37</x:v>
      </x:c>
      <x:c r="H191" s="147" t="n">
        <x:v>10.666666666666668</x:v>
      </x:c>
      <x:c r="I191" s="147" t="n">
        <x:v>10.666666666666668</x:v>
      </x:c>
      <x:c r="J191" s="147" t="n">
        <x:v>10.666666666666668</x:v>
      </x:c>
      <x:c r="K191" s="147" t="n">
        <x:v>10.666666666666668</x:v>
      </x:c>
      <x:c r="L191" s="147" t="str">
        <x:v>Órdenes, actas, dossier y contactos</x:v>
      </x:c>
      <x:c r="M191" s="147" t="str">
        <x:v>Recepción trazable; revisión de riesgos; ensayos autorizados; siguiente acción con responsable</x:v>
      </x:c>
    </x:row>
    <x:row r="192" ht="42" customHeight="1">
      <x:c r="A192" s="147" t="str">
        <x:v>T391</x:v>
      </x:c>
      <x:c r="B192" s="147" t="str">
        <x:v>Parche descartable</x:v>
      </x:c>
      <x:c r="C192" s="147" t="str">
        <x:v>Liberación: repetición/cierre</x:v>
      </x:c>
      <x:c r="D192" s="147" t="n">
        <x:v>18</x:v>
      </x:c>
      <x:c r="E192" s="147" t="n">
        <x:v>39</x:v>
      </x:c>
      <x:c r="F192" s="147" t="str">
        <x:v>Técnico laboratorio</x:v>
      </x:c>
      <x:c r="G192" s="147" t="str">
        <x:v>T381</x:v>
      </x:c>
      <x:c r="H192" s="147" t="n">
        <x:v>4.266666666666667</x:v>
      </x:c>
      <x:c r="I192" s="147" t="n">
        <x:v>4.266666666666667</x:v>
      </x:c>
      <x:c r="J192" s="147" t="n">
        <x:v>4.266666666666667</x:v>
      </x:c>
      <x:c r="K192" s="147" t="n">
        <x:v>29.86666666666667</x:v>
      </x:c>
      <x:c r="L192" s="147" t="str">
        <x:v>Muestras y protocolo por lote</x:v>
      </x:c>
      <x:c r="M192" s="147" t="str">
        <x:v>Evidencia contra requisito del ciclo; revisión cruzada y desvíos críticos documentados</x:v>
      </x:c>
    </x:row>
    <x:row r="193" ht="42" customHeight="1">
      <x:c r="A193" s="147" t="str">
        <x:v>T392</x:v>
      </x:c>
      <x:c r="B193" s="147" t="str">
        <x:v>Lector reutilizable</x:v>
      </x:c>
      <x:c r="C193" s="147" t="str">
        <x:v>Liberación de lectores: repetición/cierre</x:v>
      </x:c>
      <x:c r="D193" s="147" t="n">
        <x:v>18</x:v>
      </x:c>
      <x:c r="E193" s="147" t="n">
        <x:v>39</x:v>
      </x:c>
      <x:c r="F193" s="147" t="str">
        <x:v>Ing. embebidos</x:v>
      </x:c>
      <x:c r="G193" s="147" t="str">
        <x:v>T382</x:v>
      </x:c>
      <x:c r="H193" s="147" t="n">
        <x:v>4.266666666666667</x:v>
      </x:c>
      <x:c r="I193" s="147" t="n">
        <x:v>29.86666666666667</x:v>
      </x:c>
      <x:c r="J193" s="147" t="n">
        <x:v>4.266666666666667</x:v>
      </x:c>
      <x:c r="K193" s="147" t="n">
        <x:v>4.266666666666667</x:v>
      </x:c>
      <x:c r="L193" s="147" t="str">
        <x:v>Versión de PCB/firmware y mediciones</x:v>
      </x:c>
      <x:c r="M193" s="147" t="str">
        <x:v>Evidencia contra requisito del ciclo; revisión cruzada y desvíos críticos documentados</x:v>
      </x:c>
    </x:row>
    <x:row r="194" ht="42" customHeight="1">
      <x:c r="A194" s="147" t="str">
        <x:v>T393</x:v>
      </x:c>
      <x:c r="B194" s="147" t="str">
        <x:v>Pulsera</x:v>
      </x:c>
      <x:c r="C194" s="147" t="str">
        <x:v>Liberación: repetición/cierre</x:v>
      </x:c>
      <x:c r="D194" s="147" t="n">
        <x:v>18</x:v>
      </x:c>
      <x:c r="E194" s="147" t="n">
        <x:v>39</x:v>
      </x:c>
      <x:c r="F194" s="147" t="str">
        <x:v>Técnico QA</x:v>
      </x:c>
      <x:c r="G194" s="147" t="str">
        <x:v>T383</x:v>
      </x:c>
      <x:c r="H194" s="147" t="n">
        <x:v>4.266666666666667</x:v>
      </x:c>
      <x:c r="I194" s="147" t="n">
        <x:v>4.266666666666667</x:v>
      </x:c>
      <x:c r="J194" s="147" t="n">
        <x:v>29.86666666666667</x:v>
      </x:c>
      <x:c r="K194" s="147" t="n">
        <x:v>4.266666666666667</x:v>
      </x:c>
      <x:c r="L194" s="147" t="str">
        <x:v>Versión de pulsera y reporte</x:v>
      </x:c>
      <x:c r="M194" s="147" t="str">
        <x:v>Evidencia contra requisito del ciclo; revisión cruzada y desvíos críticos documentados</x:v>
      </x:c>
    </x:row>
    <x:row r="195" ht="42" customHeight="1">
      <x:c r="A195" s="147" t="str">
        <x:v>T394</x:v>
      </x:c>
      <x:c r="B195" s="147" t="str">
        <x:v>Aplicación</x:v>
      </x:c>
      <x:c r="C195" s="147" t="str">
        <x:v>Liberación: repetición/cierre</x:v>
      </x:c>
      <x:c r="D195" s="147" t="n">
        <x:v>18</x:v>
      </x:c>
      <x:c r="E195" s="147" t="n">
        <x:v>39</x:v>
      </x:c>
      <x:c r="F195" s="147" t="str">
        <x:v>Ing. software</x:v>
      </x:c>
      <x:c r="G195" s="147" t="str">
        <x:v>T384</x:v>
      </x:c>
      <x:c r="H195" s="147" t="n">
        <x:v>29.86666666666667</x:v>
      </x:c>
      <x:c r="I195" s="147" t="n">
        <x:v>4.266666666666667</x:v>
      </x:c>
      <x:c r="J195" s="147" t="n">
        <x:v>4.266666666666667</x:v>
      </x:c>
      <x:c r="K195" s="147" t="n">
        <x:v>4.266666666666667</x:v>
      </x:c>
      <x:c r="L195" s="147" t="str">
        <x:v>Aplicación instalable y reporte</x:v>
      </x:c>
      <x:c r="M195" s="147" t="str">
        <x:v>Evidencia contra requisito del ciclo; revisión cruzada y desvíos críticos documentados</x:v>
      </x:c>
    </x:row>
    <x:row r="196" ht="42" customHeight="1">
      <x:c r="A196" s="147" t="str">
        <x:v>X39</x:v>
      </x:c>
      <x:c r="B196" s="147" t="str">
        <x:v>Transversal</x:v>
      </x:c>
      <x:c r="C196" s="147" t="str">
        <x:v>Coordinación, compras, QA, documentación; evidencia clínica/regulatoria; captación de aliados</x:v>
      </x:c>
      <x:c r="D196" s="147" t="n">
        <x:v>18</x:v>
      </x:c>
      <x:c r="E196" s="147" t="n">
        <x:v>39</x:v>
      </x:c>
      <x:c r="F196" s="147" t="str">
        <x:v>Equipo; técnico laboratorio coordina</x:v>
      </x:c>
      <x:c r="G196" s="147" t="str">
        <x:v>X38</x:v>
      </x:c>
      <x:c r="H196" s="147" t="n">
        <x:v>10.666666666666668</x:v>
      </x:c>
      <x:c r="I196" s="147" t="n">
        <x:v>10.666666666666668</x:v>
      </x:c>
      <x:c r="J196" s="147" t="n">
        <x:v>10.666666666666668</x:v>
      </x:c>
      <x:c r="K196" s="147" t="n">
        <x:v>10.666666666666668</x:v>
      </x:c>
      <x:c r="L196" s="147" t="str">
        <x:v>Órdenes, actas, dossier y contactos</x:v>
      </x:c>
      <x:c r="M196" s="147" t="str">
        <x:v>Recepción trazable; revisión de riesgos; ensayos autorizados; siguiente acción con responsable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2" customHeight="1">
      <x:c r="A1" s="150" t="str">
        <x:v>Ciclo</x:v>
      </x:c>
      <x:c r="B1" s="150" t="str">
        <x:v>Inicio mes</x:v>
      </x:c>
      <x:c r="C1" s="150" t="str">
        <x:v>Fin mes</x:v>
      </x:c>
      <x:c r="D1" s="150" t="str">
        <x:v>Sprints</x:v>
      </x:c>
      <x:c r="E1" s="150" t="str">
        <x:v>Resultado</x:v>
      </x:c>
      <x:c r="F1" s="151"/>
      <x:c r="G1" s="151" t="str">
        <x:v>Mes</x:v>
      </x:c>
      <x:c r="H1" s="151" t="str">
        <x:v>Ing. software</x:v>
      </x:c>
      <x:c r="I1" s="151" t="str">
        <x:v>Ing. embebidos</x:v>
      </x:c>
      <x:c r="J1" s="151" t="str">
        <x:v>Técnico QA</x:v>
      </x:c>
      <x:c r="K1" s="151" t="str">
        <x:v>Técnico laboratorio</x:v>
      </x:c>
      <x:c r="L1" s="151" t="str">
        <x:v>Capacidad por persona</x:v>
      </x:c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42" customHeight="1">
      <x:c r="A2" s="147" t="str">
        <x:v>Definición</x:v>
      </x:c>
      <x:c r="B2" s="147" t="n">
        <x:v>1</x:v>
      </x:c>
      <x:c r="C2" s="147" t="n">
        <x:v>3</x:v>
      </x:c>
      <x:c r="D2" s="147" t="str">
        <x:v>1–6</x:v>
      </x:c>
      <x:c r="E2" s="147" t="str">
        <x:v>Requisitos, arquitectura y proveedores</x:v>
      </x:c>
      <x:c r="G2" t="n">
        <x:v>1</x:v>
      </x:c>
      <x:c r="H2" t="n">
        <x:f>SUMIF('Tareas y sprints'!$D$2:$D$196,G2,'Tareas y sprints'!$H$2:$H$196)</x:f>
        <x:v>160.00000000000003</x:v>
      </x:c>
      <x:c r="I2" t="n">
        <x:f>SUMIF('Tareas y sprints'!$D$2:$D$196,G2,'Tareas y sprints'!$I$2:$I$196)</x:f>
        <x:v>160.00000000000003</x:v>
      </x:c>
      <x:c r="J2" t="n">
        <x:f>SUMIF('Tareas y sprints'!$D$2:$D$196,G2,'Tareas y sprints'!$J$2:$J$196)</x:f>
        <x:v>160.00000000000003</x:v>
      </x:c>
      <x:c r="K2" t="n">
        <x:f>SUMIF('Tareas y sprints'!$D$2:$D$196,G2,'Tareas y sprints'!$K$2:$K$196)</x:f>
        <x:v>160.00000000000003</x:v>
      </x:c>
      <x:c r="L2" t="n">
        <x:v>160</x:v>
      </x:c>
    </x:row>
    <x:row r="3" ht="42" customHeight="1">
      <x:c r="A3" s="147" t="str">
        <x:v>Subsistemas</x:v>
      </x:c>
      <x:c r="B3" s="147" t="n">
        <x:v>4</x:v>
      </x:c>
      <x:c r="C3" s="147" t="n">
        <x:v>6</x:v>
      </x:c>
      <x:c r="D3" s="147" t="str">
        <x:v>7–13</x:v>
      </x:c>
      <x:c r="E3" s="147" t="str">
        <x:v>Prototipos individuales</x:v>
      </x:c>
      <x:c r="G3" t="n">
        <x:v>2</x:v>
      </x:c>
      <x:c r="H3" t="n">
        <x:f>SUMIF('Tareas y sprints'!$D$2:$D$196,G3,'Tareas y sprints'!$H$2:$H$196)</x:f>
        <x:v>160.00000000000003</x:v>
      </x:c>
      <x:c r="I3" t="n">
        <x:f>SUMIF('Tareas y sprints'!$D$2:$D$196,G3,'Tareas y sprints'!$I$2:$I$196)</x:f>
        <x:v>160.00000000000003</x:v>
      </x:c>
      <x:c r="J3" t="n">
        <x:f>SUMIF('Tareas y sprints'!$D$2:$D$196,G3,'Tareas y sprints'!$J$2:$J$196)</x:f>
        <x:v>160.00000000000003</x:v>
      </x:c>
      <x:c r="K3" t="n">
        <x:f>SUMIF('Tareas y sprints'!$D$2:$D$196,G3,'Tareas y sprints'!$K$2:$K$196)</x:f>
        <x:v>160.00000000000003</x:v>
      </x:c>
      <x:c r="L3" t="n">
        <x:v>160</x:v>
      </x:c>
    </x:row>
    <x:row r="4" ht="42" customHeight="1">
      <x:c r="A4" s="147" t="str">
        <x:v>Integración</x:v>
      </x:c>
      <x:c r="B4" s="147" t="n">
        <x:v>7</x:v>
      </x:c>
      <x:c r="C4" s="147" t="n">
        <x:v>7</x:v>
      </x:c>
      <x:c r="D4" s="147" t="str">
        <x:v>14–15</x:v>
      </x:c>
      <x:c r="E4" s="147" t="str">
        <x:v>Prototipo integrado</x:v>
      </x:c>
      <x:c r="G4" t="n">
        <x:v>3</x:v>
      </x:c>
      <x:c r="H4" t="n">
        <x:f>SUMIF('Tareas y sprints'!$D$2:$D$196,G4,'Tareas y sprints'!$H$2:$H$196)</x:f>
        <x:v>160.00000000000003</x:v>
      </x:c>
      <x:c r="I4" t="n">
        <x:f>SUMIF('Tareas y sprints'!$D$2:$D$196,G4,'Tareas y sprints'!$I$2:$I$196)</x:f>
        <x:v>160.00000000000003</x:v>
      </x:c>
      <x:c r="J4" t="n">
        <x:f>SUMIF('Tareas y sprints'!$D$2:$D$196,G4,'Tareas y sprints'!$J$2:$J$196)</x:f>
        <x:v>160.00000000000003</x:v>
      </x:c>
      <x:c r="K4" t="n">
        <x:f>SUMIF('Tareas y sprints'!$D$2:$D$196,G4,'Tareas y sprints'!$K$2:$K$196)</x:f>
        <x:v>160.00000000000003</x:v>
      </x:c>
      <x:c r="L4" t="n">
        <x:v>160</x:v>
      </x:c>
    </x:row>
    <x:row r="5" ht="42" customHeight="1">
      <x:c r="A5" s="147" t="str">
        <x:v>Iteración</x:v>
      </x:c>
      <x:c r="B5" s="147" t="n">
        <x:v>8</x:v>
      </x:c>
      <x:c r="C5" s="147" t="n">
        <x:v>10</x:v>
      </x:c>
      <x:c r="D5" s="147" t="str">
        <x:v>16–22</x:v>
      </x:c>
      <x:c r="E5" s="147" t="str">
        <x:v>Pruebas y correcciones</x:v>
      </x:c>
      <x:c r="G5" t="n">
        <x:v>4</x:v>
      </x:c>
      <x:c r="H5" t="n">
        <x:f>SUMIF('Tareas y sprints'!$D$2:$D$196,G5,'Tareas y sprints'!$H$2:$H$196)</x:f>
        <x:v>160.00000000000003</x:v>
      </x:c>
      <x:c r="I5" t="n">
        <x:f>SUMIF('Tareas y sprints'!$D$2:$D$196,G5,'Tareas y sprints'!$I$2:$I$196)</x:f>
        <x:v>160.00000000000003</x:v>
      </x:c>
      <x:c r="J5" t="n">
        <x:f>SUMIF('Tareas y sprints'!$D$2:$D$196,G5,'Tareas y sprints'!$J$2:$J$196)</x:f>
        <x:v>160.00000000000003</x:v>
      </x:c>
      <x:c r="K5" t="n">
        <x:f>SUMIF('Tareas y sprints'!$D$2:$D$196,G5,'Tareas y sprints'!$K$2:$K$196)</x:f>
        <x:v>160.00000000000003</x:v>
      </x:c>
      <x:c r="L5" t="n">
        <x:v>160</x:v>
      </x:c>
    </x:row>
    <x:row r="6" ht="42" customHeight="1">
      <x:c r="A6" s="147" t="str">
        <x:v>MVP</x:v>
      </x:c>
      <x:c r="B6" s="147" t="n">
        <x:v>11</x:v>
      </x:c>
      <x:c r="C6" s="147" t="n">
        <x:v>12</x:v>
      </x:c>
      <x:c r="D6" s="147" t="str">
        <x:v>23–26</x:v>
      </x:c>
      <x:c r="E6" s="147" t="str">
        <x:v>MVP técnico</x:v>
      </x:c>
      <x:c r="G6" t="n">
        <x:v>5</x:v>
      </x:c>
      <x:c r="H6" t="n">
        <x:f>SUMIF('Tareas y sprints'!$D$2:$D$196,G6,'Tareas y sprints'!$H$2:$H$196)</x:f>
        <x:v>160.00000000000003</x:v>
      </x:c>
      <x:c r="I6" t="n">
        <x:f>SUMIF('Tareas y sprints'!$D$2:$D$196,G6,'Tareas y sprints'!$I$2:$I$196)</x:f>
        <x:v>160.00000000000003</x:v>
      </x:c>
      <x:c r="J6" t="n">
        <x:f>SUMIF('Tareas y sprints'!$D$2:$D$196,G6,'Tareas y sprints'!$J$2:$J$196)</x:f>
        <x:v>160.00000000000003</x:v>
      </x:c>
      <x:c r="K6" t="n">
        <x:f>SUMIF('Tareas y sprints'!$D$2:$D$196,G6,'Tareas y sprints'!$K$2:$K$196)</x:f>
        <x:v>160.00000000000003</x:v>
      </x:c>
      <x:c r="L6" t="n">
        <x:v>160</x:v>
      </x:c>
    </x:row>
    <x:row r="7" ht="42" customHeight="1">
      <x:c r="A7" s="147" t="str">
        <x:v>Regulación</x:v>
      </x:c>
      <x:c r="B7" s="147" t="n">
        <x:v>13</x:v>
      </x:c>
      <x:c r="C7" s="147" t="n">
        <x:v>18</x:v>
      </x:c>
      <x:c r="D7" s="147" t="str">
        <x:v>27–39</x:v>
      </x:c>
      <x:c r="E7" s="147" t="str">
        <x:v>Autorizaciones y lanzamiento preparado</x:v>
      </x:c>
      <x:c r="G7" t="n">
        <x:v>6</x:v>
      </x:c>
      <x:c r="H7" t="n">
        <x:f>SUMIF('Tareas y sprints'!$D$2:$D$196,G7,'Tareas y sprints'!$H$2:$H$196)</x:f>
        <x:v>160</x:v>
      </x:c>
      <x:c r="I7" t="n">
        <x:f>SUMIF('Tareas y sprints'!$D$2:$D$196,G7,'Tareas y sprints'!$I$2:$I$196)</x:f>
        <x:v>160.00000000000003</x:v>
      </x:c>
      <x:c r="J7" t="n">
        <x:f>SUMIF('Tareas y sprints'!$D$2:$D$196,G7,'Tareas y sprints'!$J$2:$J$196)</x:f>
        <x:v>160.00000000000003</x:v>
      </x:c>
      <x:c r="K7" t="n">
        <x:f>SUMIF('Tareas y sprints'!$D$2:$D$196,G7,'Tareas y sprints'!$K$2:$K$196)</x:f>
        <x:v>160.00000000000006</x:v>
      </x:c>
      <x:c r="L7" t="n">
        <x:v>160</x:v>
      </x:c>
    </x:row>
    <x:row r="8" ht="42" customHeight="1">
      <x:c r="A8" s="147" t="str">
        <x:v>Ventas</x:v>
      </x:c>
      <x:c r="B8" s="147" t="n">
        <x:v>19</x:v>
      </x:c>
      <x:c r="C8" s="147" t="n">
        <x:v>48</x:v>
      </x:c>
      <x:c r="D8" s="147" t="str">
        <x:v>Operación</x:v>
      </x:c>
      <x:c r="E8" s="147" t="str">
        <x:v>Condicionadas a autorización</x:v>
      </x:c>
      <x:c r="G8" t="n">
        <x:v>7</x:v>
      </x:c>
      <x:c r="H8" t="n">
        <x:f>SUMIF('Tareas y sprints'!$D$2:$D$196,G8,'Tareas y sprints'!$H$2:$H$196)</x:f>
        <x:v>160.00000000000003</x:v>
      </x:c>
      <x:c r="I8" t="n">
        <x:f>SUMIF('Tareas y sprints'!$D$2:$D$196,G8,'Tareas y sprints'!$I$2:$I$196)</x:f>
        <x:v>160.00000000000003</x:v>
      </x:c>
      <x:c r="J8" t="n">
        <x:f>SUMIF('Tareas y sprints'!$D$2:$D$196,G8,'Tareas y sprints'!$J$2:$J$196)</x:f>
        <x:v>160.00000000000003</x:v>
      </x:c>
      <x:c r="K8" t="n">
        <x:f>SUMIF('Tareas y sprints'!$D$2:$D$196,G8,'Tareas y sprints'!$K$2:$K$196)</x:f>
        <x:v>160.00000000000003</x:v>
      </x:c>
      <x:c r="L8" t="n">
        <x:v>160</x:v>
      </x:c>
    </x:row>
    <x:row r="9" ht="42" customHeight="1">
      <x:c r="A9" s="147"/>
      <x:c r="B9" s="147"/>
      <x:c r="C9" s="147"/>
      <x:c r="D9" s="147"/>
      <x:c r="E9" s="147"/>
      <x:c r="G9" t="n">
        <x:v>8</x:v>
      </x:c>
      <x:c r="H9" t="n">
        <x:f>SUMIF('Tareas y sprints'!$D$2:$D$196,G9,'Tareas y sprints'!$H$2:$H$196)</x:f>
        <x:v>160.00000000000003</x:v>
      </x:c>
      <x:c r="I9" t="n">
        <x:f>SUMIF('Tareas y sprints'!$D$2:$D$196,G9,'Tareas y sprints'!$I$2:$I$196)</x:f>
        <x:v>160.00000000000003</x:v>
      </x:c>
      <x:c r="J9" t="n">
        <x:f>SUMIF('Tareas y sprints'!$D$2:$D$196,G9,'Tareas y sprints'!$J$2:$J$196)</x:f>
        <x:v>160.00000000000003</x:v>
      </x:c>
      <x:c r="K9" t="n">
        <x:f>SUMIF('Tareas y sprints'!$D$2:$D$196,G9,'Tareas y sprints'!$K$2:$K$196)</x:f>
        <x:v>160.00000000000003</x:v>
      </x:c>
      <x:c r="L9" t="n">
        <x:v>160</x:v>
      </x:c>
    </x:row>
    <x:row r="10" ht="42" customHeight="1">
      <x:c r="A10" s="147" t="str">
        <x:v>Transversal</x:v>
      </x:c>
      <x:c r="B10" s="147" t="str">
        <x:v>Inicio</x:v>
      </x:c>
      <x:c r="C10" s="147" t="str">
        <x:v>Fin</x:v>
      </x:c>
      <x:c r="D10" s="147" t="str">
        <x:v>Responsable</x:v>
      </x:c>
      <x:c r="E10" s="147" t="str">
        <x:v>Aceptación</x:v>
      </x:c>
      <x:c r="G10" t="n">
        <x:v>9</x:v>
      </x:c>
      <x:c r="H10" t="n">
        <x:f>SUMIF('Tareas y sprints'!$D$2:$D$196,G10,'Tareas y sprints'!$H$2:$H$196)</x:f>
        <x:v>160</x:v>
      </x:c>
      <x:c r="I10" t="n">
        <x:f>SUMIF('Tareas y sprints'!$D$2:$D$196,G10,'Tareas y sprints'!$I$2:$I$196)</x:f>
        <x:v>160.00000000000003</x:v>
      </x:c>
      <x:c r="J10" t="n">
        <x:f>SUMIF('Tareas y sprints'!$D$2:$D$196,G10,'Tareas y sprints'!$J$2:$J$196)</x:f>
        <x:v>160.00000000000003</x:v>
      </x:c>
      <x:c r="K10" t="n">
        <x:f>SUMIF('Tareas y sprints'!$D$2:$D$196,G10,'Tareas y sprints'!$K$2:$K$196)</x:f>
        <x:v>160.00000000000006</x:v>
      </x:c>
      <x:c r="L10" t="n">
        <x:v>160</x:v>
      </x:c>
    </x:row>
    <x:row r="11" ht="42" customHeight="1">
      <x:c r="A11" s="147" t="str">
        <x:v>Compras, QA y documentación</x:v>
      </x:c>
      <x:c r="B11" s="147" t="n">
        <x:v>1</x:v>
      </x:c>
      <x:c r="C11" s="147" t="n">
        <x:v>18</x:v>
      </x:c>
      <x:c r="D11" s="147" t="str">
        <x:v>Equipo/proveedores</x:v>
      </x:c>
      <x:c r="E11" s="147" t="str">
        <x:v>Recepción, protocolos y trazabilidad</x:v>
      </x:c>
      <x:c r="G11" t="n">
        <x:v>10</x:v>
      </x:c>
      <x:c r="H11" t="n">
        <x:f>SUMIF('Tareas y sprints'!$D$2:$D$196,G11,'Tareas y sprints'!$H$2:$H$196)</x:f>
        <x:v>160.00000000000003</x:v>
      </x:c>
      <x:c r="I11" t="n">
        <x:f>SUMIF('Tareas y sprints'!$D$2:$D$196,G11,'Tareas y sprints'!$I$2:$I$196)</x:f>
        <x:v>160.00000000000003</x:v>
      </x:c>
      <x:c r="J11" t="n">
        <x:f>SUMIF('Tareas y sprints'!$D$2:$D$196,G11,'Tareas y sprints'!$J$2:$J$196)</x:f>
        <x:v>160.00000000000003</x:v>
      </x:c>
      <x:c r="K11" t="n">
        <x:f>SUMIF('Tareas y sprints'!$D$2:$D$196,G11,'Tareas y sprints'!$K$2:$K$196)</x:f>
        <x:v>160.00000000000003</x:v>
      </x:c>
      <x:c r="L11" t="n">
        <x:v>160</x:v>
      </x:c>
    </x:row>
    <x:row r="12" ht="42" customHeight="1">
      <x:c r="A12" s="147" t="str">
        <x:v>Preparación clínica/regulatoria</x:v>
      </x:c>
      <x:c r="B12" s="147" t="n">
        <x:v>1</x:v>
      </x:c>
      <x:c r="C12" s="147" t="n">
        <x:v>6</x:v>
      </x:c>
      <x:c r="D12" s="147" t="str">
        <x:v>Equipo y asesores</x:v>
      </x:c>
      <x:c r="E12" s="147" t="str">
        <x:v>Requisitos y documentación</x:v>
      </x:c>
      <x:c r="G12" t="n">
        <x:v>11</x:v>
      </x:c>
      <x:c r="H12" t="n">
        <x:f>SUMIF('Tareas y sprints'!$D$2:$D$196,G12,'Tareas y sprints'!$H$2:$H$196)</x:f>
        <x:v>160.00000000000003</x:v>
      </x:c>
      <x:c r="I12" t="n">
        <x:f>SUMIF('Tareas y sprints'!$D$2:$D$196,G12,'Tareas y sprints'!$I$2:$I$196)</x:f>
        <x:v>160.00000000000003</x:v>
      </x:c>
      <x:c r="J12" t="n">
        <x:f>SUMIF('Tareas y sprints'!$D$2:$D$196,G12,'Tareas y sprints'!$J$2:$J$196)</x:f>
        <x:v>160.00000000000003</x:v>
      </x:c>
      <x:c r="K12" t="n">
        <x:f>SUMIF('Tareas y sprints'!$D$2:$D$196,G12,'Tareas y sprints'!$K$2:$K$196)</x:f>
        <x:v>160.00000000000003</x:v>
      </x:c>
      <x:c r="L12" t="n">
        <x:v>160</x:v>
      </x:c>
    </x:row>
    <x:row r="13" ht="42" customHeight="1">
      <x:c r="A13" s="147" t="str">
        <x:v>Investigación y registro</x:v>
      </x:c>
      <x:c r="B13" s="147" t="n">
        <x:v>7</x:v>
      </x:c>
      <x:c r="C13" s="147" t="n">
        <x:v>18</x:v>
      </x:c>
      <x:c r="D13" s="147" t="str">
        <x:v>ANMAT, ética, centro; equipo</x:v>
      </x:c>
      <x:c r="E13" s="147" t="str">
        <x:v>Evidencia y autorizaciones diferenciadas</x:v>
      </x:c>
      <x:c r="G13" t="n">
        <x:v>12</x:v>
      </x:c>
      <x:c r="H13" t="n">
        <x:f>SUMIF('Tareas y sprints'!$D$2:$D$196,G13,'Tareas y sprints'!$H$2:$H$196)</x:f>
        <x:v>160.00000000000003</x:v>
      </x:c>
      <x:c r="I13" t="n">
        <x:f>SUMIF('Tareas y sprints'!$D$2:$D$196,G13,'Tareas y sprints'!$I$2:$I$196)</x:f>
        <x:v>160.00000000000003</x:v>
      </x:c>
      <x:c r="J13" t="n">
        <x:f>SUMIF('Tareas y sprints'!$D$2:$D$196,G13,'Tareas y sprints'!$J$2:$J$196)</x:f>
        <x:v>160.00000000000003</x:v>
      </x:c>
      <x:c r="K13" t="n">
        <x:f>SUMIF('Tareas y sprints'!$D$2:$D$196,G13,'Tareas y sprints'!$K$2:$K$196)</x:f>
        <x:v>160.00000000000003</x:v>
      </x:c>
      <x:c r="L13" t="n">
        <x:v>160</x:v>
      </x:c>
    </x:row>
    <x:row r="14" ht="42" customHeight="1">
      <x:c r="A14" s="147" t="str">
        <x:v>Captación de aliados</x:v>
      </x:c>
      <x:c r="B14" s="147" t="n">
        <x:v>9</x:v>
      </x:c>
      <x:c r="C14" s="147" t="n">
        <x:v>18</x:v>
      </x:c>
      <x:c r="D14" s="147" t="str">
        <x:v>Equipo y asesores</x:v>
      </x:c>
      <x:c r="E14" s="147" t="str">
        <x:v>Prospectos, reuniones y acuerdos</x:v>
      </x:c>
      <x:c r="G14" t="n">
        <x:v>13</x:v>
      </x:c>
      <x:c r="H14" t="n">
        <x:f>SUMIF('Tareas y sprints'!$D$2:$D$196,G14,'Tareas y sprints'!$H$2:$H$196)</x:f>
        <x:v>160.00000000000003</x:v>
      </x:c>
      <x:c r="I14" t="n">
        <x:f>SUMIF('Tareas y sprints'!$D$2:$D$196,G14,'Tareas y sprints'!$I$2:$I$196)</x:f>
        <x:v>160.00000000000003</x:v>
      </x:c>
      <x:c r="J14" t="n">
        <x:f>SUMIF('Tareas y sprints'!$D$2:$D$196,G14,'Tareas y sprints'!$J$2:$J$196)</x:f>
        <x:v>160.00000000000003</x:v>
      </x:c>
      <x:c r="K14" t="n">
        <x:f>SUMIF('Tareas y sprints'!$D$2:$D$196,G14,'Tareas y sprints'!$K$2:$K$196)</x:f>
        <x:v>160.00000000000003</x:v>
      </x:c>
      <x:c r="L14" t="n">
        <x:v>160</x:v>
      </x:c>
    </x:row>
    <x:row r="15">
      <x:c r="G15" t="n">
        <x:v>14</x:v>
      </x:c>
      <x:c r="H15" t="n">
        <x:f>SUMIF('Tareas y sprints'!$D$2:$D$196,G15,'Tareas y sprints'!$H$2:$H$196)</x:f>
        <x:v>160.00000000000003</x:v>
      </x:c>
      <x:c r="I15" t="n">
        <x:f>SUMIF('Tareas y sprints'!$D$2:$D$196,G15,'Tareas y sprints'!$I$2:$I$196)</x:f>
        <x:v>160.00000000000003</x:v>
      </x:c>
      <x:c r="J15" t="n">
        <x:f>SUMIF('Tareas y sprints'!$D$2:$D$196,G15,'Tareas y sprints'!$J$2:$J$196)</x:f>
        <x:v>160.00000000000003</x:v>
      </x:c>
      <x:c r="K15" t="n">
        <x:f>SUMIF('Tareas y sprints'!$D$2:$D$196,G15,'Tareas y sprints'!$K$2:$K$196)</x:f>
        <x:v>160.00000000000003</x:v>
      </x:c>
      <x:c r="L15" t="n">
        <x:v>160</x:v>
      </x:c>
    </x:row>
    <x:row r="16">
      <x:c r="G16" t="n">
        <x:v>15</x:v>
      </x:c>
      <x:c r="H16" t="n">
        <x:f>SUMIF('Tareas y sprints'!$D$2:$D$196,G16,'Tareas y sprints'!$H$2:$H$196)</x:f>
        <x:v>160.00000000000003</x:v>
      </x:c>
      <x:c r="I16" t="n">
        <x:f>SUMIF('Tareas y sprints'!$D$2:$D$196,G16,'Tareas y sprints'!$I$2:$I$196)</x:f>
        <x:v>160.00000000000003</x:v>
      </x:c>
      <x:c r="J16" t="n">
        <x:f>SUMIF('Tareas y sprints'!$D$2:$D$196,G16,'Tareas y sprints'!$J$2:$J$196)</x:f>
        <x:v>160.00000000000003</x:v>
      </x:c>
      <x:c r="K16" t="n">
        <x:f>SUMIF('Tareas y sprints'!$D$2:$D$196,G16,'Tareas y sprints'!$K$2:$K$196)</x:f>
        <x:v>160.00000000000003</x:v>
      </x:c>
      <x:c r="L16" t="n">
        <x:v>160</x:v>
      </x:c>
    </x:row>
    <x:row r="17">
      <x:c r="A17" t="str">
        <x:v>Dedicación</x:v>
      </x:c>
      <x:c r="B17" t="str">
        <x:v>80% producto; 20% transversal</x:v>
      </x:c>
      <x:c r="C17"/>
      <x:c r="D17"/>
      <x:c r="E17"/>
      <x:c r="G17" t="n">
        <x:v>16</x:v>
      </x:c>
      <x:c r="H17" t="n">
        <x:f>SUMIF('Tareas y sprints'!$D$2:$D$196,G17,'Tareas y sprints'!$H$2:$H$196)</x:f>
        <x:v>160.00000000000003</x:v>
      </x:c>
      <x:c r="I17" t="n">
        <x:f>SUMIF('Tareas y sprints'!$D$2:$D$196,G17,'Tareas y sprints'!$I$2:$I$196)</x:f>
        <x:v>160.00000000000003</x:v>
      </x:c>
      <x:c r="J17" t="n">
        <x:f>SUMIF('Tareas y sprints'!$D$2:$D$196,G17,'Tareas y sprints'!$J$2:$J$196)</x:f>
        <x:v>160.00000000000003</x:v>
      </x:c>
      <x:c r="K17" t="n">
        <x:f>SUMIF('Tareas y sprints'!$D$2:$D$196,G17,'Tareas y sprints'!$K$2:$K$196)</x:f>
        <x:v>160.00000000000003</x:v>
      </x:c>
      <x:c r="L17" t="n">
        <x:v>160</x:v>
      </x:c>
    </x:row>
    <x:row r="18">
      <x:c r="A18" t="str">
        <x:v>Espera externa</x:v>
      </x:c>
      <x:c r="B18" t="str">
        <x:v>Espera no equivale a esfuerzo. Se revisan hitos según autorizaciones.</x:v>
      </x:c>
      <x:c r="C18"/>
      <x:c r="D18"/>
      <x:c r="E18"/>
      <x:c r="G18" t="n">
        <x:v>17</x:v>
      </x:c>
      <x:c r="H18" t="n">
        <x:f>SUMIF('Tareas y sprints'!$D$2:$D$196,G18,'Tareas y sprints'!$H$2:$H$196)</x:f>
        <x:v>160.00000000000003</x:v>
      </x:c>
      <x:c r="I18" t="n">
        <x:f>SUMIF('Tareas y sprints'!$D$2:$D$196,G18,'Tareas y sprints'!$I$2:$I$196)</x:f>
        <x:v>160.00000000000003</x:v>
      </x:c>
      <x:c r="J18" t="n">
        <x:f>SUMIF('Tareas y sprints'!$D$2:$D$196,G18,'Tareas y sprints'!$J$2:$J$196)</x:f>
        <x:v>160.00000000000003</x:v>
      </x:c>
      <x:c r="K18" t="n">
        <x:f>SUMIF('Tareas y sprints'!$D$2:$D$196,G18,'Tareas y sprints'!$K$2:$K$196)</x:f>
        <x:v>160.00000000000003</x:v>
      </x:c>
      <x:c r="L18" t="n">
        <x:v>160</x:v>
      </x:c>
    </x:row>
    <x:row r="19">
      <x:c r="A19" t="str">
        <x:v>Previsión de unidades</x:v>
      </x:c>
      <x:c r="B19" t="str">
        <x:v>Ventas y demos: equivalentes mensuales; producción y compras redondeadas.</x:v>
      </x:c>
      <x:c r="C19"/>
      <x:c r="D19"/>
      <x:c r="E19"/>
      <x:c r="G19" t="n">
        <x:v>18</x:v>
      </x:c>
      <x:c r="H19" t="n">
        <x:f>SUMIF('Tareas y sprints'!$D$2:$D$196,G19,'Tareas y sprints'!$H$2:$H$196)</x:f>
        <x:v>160</x:v>
      </x:c>
      <x:c r="I19" t="n">
        <x:f>SUMIF('Tareas y sprints'!$D$2:$D$196,G19,'Tareas y sprints'!$I$2:$I$196)</x:f>
        <x:v>160.00000000000003</x:v>
      </x:c>
      <x:c r="J19" t="n">
        <x:f>SUMIF('Tareas y sprints'!$D$2:$D$196,G19,'Tareas y sprints'!$J$2:$J$196)</x:f>
        <x:v>160.00000000000003</x:v>
      </x:c>
      <x:c r="K19" t="n">
        <x:f>SUMIF('Tareas y sprints'!$D$2:$D$196,G19,'Tareas y sprints'!$K$2:$K$196)</x:f>
        <x:v>160.00000000000006</x:v>
      </x:c>
      <x:c r="L19" t="n">
        <x:v>160</x:v>
      </x:c>
    </x:row>
  </x:sheetData>
  <x:pageMargins left="0.7" right="0.7" top="0.75" bottom="0.75" header="0.3" footer="0.3"/>
</x:worksheet>
</file>