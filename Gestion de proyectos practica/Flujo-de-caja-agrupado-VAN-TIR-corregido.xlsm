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lujo de caja" sheetId="1" r:id="rId4"/>
    <sheet state="visible" name="Plan 12 meses" sheetId="2" r:id="rId5"/>
    <sheet state="visible" name="Plan comercial" sheetId="3" r:id="rId6"/>
    <sheet state="visible" name="Cambios realizados" sheetId="4" r:id="rId7"/>
  </sheets>
  <definedNames/>
  <calcPr/>
  <extLst>
    <ext uri="GoogleSheetsCustomDataVersion2">
      <go:sheetsCustomData xmlns:go="http://customooxmlschemas.google.com/" r:id="rId8" roundtripDataChecksum="eZHJVw01fiwJ58XN4OJw5j9oJYLVgQxKutOGOiJq1X0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53">
      <text>
        <t xml:space="preserve">======
ID#doco.Kf7i6RxW2-TwnDpX_P6d_w
ignacio cavicchioli    (2026-10-12 21:39:19)
esta es la inversión inicial total necesaria, sería el máx negativo del flujo acumulado</t>
      </text>
    </comment>
  </commentList>
  <extLst>
    <ext uri="GoogleSheetsCustomDataVersion2">
      <go:sheetsCustomData xmlns:go="http://customooxmlschemas.google.com/" r:id="rId1" roundtripDataSignature="AMtx7mi+ponqr9z+UILGP9tNKqPC//H5HA=="/>
    </ext>
  </extLst>
</comments>
</file>

<file path=xl/sharedStrings.xml><?xml version="1.0" encoding="utf-8"?>
<sst xmlns="http://schemas.openxmlformats.org/spreadsheetml/2006/main" count="938" uniqueCount="591">
  <si>
    <t>Flujo de caja a 4 años (USD) - escenario activo</t>
  </si>
  <si>
    <t>Concepto</t>
  </si>
  <si>
    <t>Unidad</t>
  </si>
  <si>
    <t>Mes 1</t>
  </si>
  <si>
    <t>Mes 2</t>
  </si>
  <si>
    <t>Mes 3</t>
  </si>
  <si>
    <t>Mes 4</t>
  </si>
  <si>
    <t>Mes 5</t>
  </si>
  <si>
    <t>Mes 6</t>
  </si>
  <si>
    <t>Mes 7</t>
  </si>
  <si>
    <t>Mes 8</t>
  </si>
  <si>
    <t>Mes 9</t>
  </si>
  <si>
    <t>Mes 10</t>
  </si>
  <si>
    <t>Mes 11</t>
  </si>
  <si>
    <t>Mes 12</t>
  </si>
  <si>
    <t>Año 1</t>
  </si>
  <si>
    <t>Año 2</t>
  </si>
  <si>
    <t>Año 3</t>
  </si>
  <si>
    <t>Año 4</t>
  </si>
  <si>
    <t>Ingresos</t>
  </si>
  <si>
    <t>Aporte de capital estimado</t>
  </si>
  <si>
    <t>USD</t>
  </si>
  <si>
    <t>Cobros por kits</t>
  </si>
  <si>
    <t>Cobros por parches de recambio</t>
  </si>
  <si>
    <t>Otros ingresos</t>
  </si>
  <si>
    <t>Total ingresos y financiamiento</t>
  </si>
  <si>
    <t>Egresos</t>
  </si>
  <si>
    <t>Infraestructura</t>
  </si>
  <si>
    <t>Alquiler de oficina y taller</t>
  </si>
  <si>
    <t>Servicios generales</t>
  </si>
  <si>
    <t>Alquiler de equipamiento y laboratorio</t>
  </si>
  <si>
    <t>Diseño, prototipos y ensayos</t>
  </si>
  <si>
    <t>Componentes de prototipos</t>
  </si>
  <si>
    <t>Carcasas y montajes de prototipos</t>
  </si>
  <si>
    <t>Insumos de pruebas</t>
  </si>
  <si>
    <t>Producción y comercialización variable</t>
  </si>
  <si>
    <t>Fabricación de kits</t>
  </si>
  <si>
    <t>Importación, flete y recepción</t>
  </si>
  <si>
    <t>Almacenamiento de kits</t>
  </si>
  <si>
    <t>Fabricación y entrega de recambios</t>
  </si>
  <si>
    <t>Costos comerciales variables</t>
  </si>
  <si>
    <t>Equipo, servicios, onboarding y soporte</t>
  </si>
  <si>
    <t>Equipo de ingeniería (2 FTE)</t>
  </si>
  <si>
    <t>Equipo técnico/administrativo (2 FTE)</t>
  </si>
  <si>
    <t>Laboratorio y asesoramiento bioquímico</t>
  </si>
  <si>
    <t>Consultas médicas, legales y regulatorias</t>
  </si>
  <si>
    <t>QA y validación técnica externa</t>
  </si>
  <si>
    <t>Herramientas, nube y licencias</t>
  </si>
  <si>
    <t>Reserva de contingencia técnica</t>
  </si>
  <si>
    <t>Onboarding de médicos y clínicas</t>
  </si>
  <si>
    <t>Soporte y mantenimiento</t>
  </si>
  <si>
    <t>Administración y lanzamiento</t>
  </si>
  <si>
    <t>Equipo comercial fijo</t>
  </si>
  <si>
    <t>Difusión y desarrollo de canales</t>
  </si>
  <si>
    <t>Total egresos</t>
  </si>
  <si>
    <t>Flujo neto con financiamiento</t>
  </si>
  <si>
    <t>Saldo de caja acumulado</t>
  </si>
  <si>
    <t>Flujo del proyecto sin financiamiento</t>
  </si>
  <si>
    <t>Acumulado sin financiamiento</t>
  </si>
  <si>
    <t>Resumen de los 4 años</t>
  </si>
  <si>
    <t>Cobros por ventas</t>
  </si>
  <si>
    <t>VAN (USD)</t>
  </si>
  <si>
    <t>Egresos totales</t>
  </si>
  <si>
    <t>TIR anual</t>
  </si>
  <si>
    <t>Resultado sin financiamiento</t>
  </si>
  <si>
    <t>Descuento anual</t>
  </si>
  <si>
    <t>Capital mínimo necesario</t>
  </si>
  <si>
    <t>FTE desarrollo</t>
  </si>
  <si>
    <t>Aporte previsto</t>
  </si>
  <si>
    <t>Horas brutas año 1</t>
  </si>
  <si>
    <t>Caja al cierre</t>
  </si>
  <si>
    <t>Inicio de ventas</t>
  </si>
  <si>
    <t>Presupuesto total del año 1</t>
  </si>
  <si>
    <t>Control: Año 1 menos suma mensual</t>
  </si>
  <si>
    <t>Actividad comercial y existencias</t>
  </si>
  <si>
    <t>Kits vendidos</t>
  </si>
  <si>
    <t>unidades</t>
  </si>
  <si>
    <t>Clientes activos: mes / promedio anual</t>
  </si>
  <si>
    <t>clientes</t>
  </si>
  <si>
    <t>Parches de recambio vendidos</t>
  </si>
  <si>
    <t>Kits disponibles al cierre</t>
  </si>
  <si>
    <t>Kits demostradores entregados a clínicas</t>
  </si>
  <si>
    <t>Supuestos editables y fuentes</t>
  </si>
  <si>
    <t>Costos unitarios trazables</t>
  </si>
  <si>
    <t>Importación simplificada por kit</t>
  </si>
  <si>
    <t>Consultas especializadas</t>
  </si>
  <si>
    <t>Lote pre-serie aceptado (kits)</t>
  </si>
  <si>
    <t>Lector: materiales y procesos</t>
  </si>
  <si>
    <t>USD/u</t>
  </si>
  <si>
    <t>Lector ensamblado importado</t>
  </si>
  <si>
    <t>USD/kit</t>
  </si>
  <si>
    <t>Médicas</t>
  </si>
  <si>
    <t>Costo directo de fabricación por kit</t>
  </si>
  <si>
    <t>Lector: armado e inspección</t>
  </si>
  <si>
    <t>min/u</t>
  </si>
  <si>
    <t>Pulsera ensamblada importada</t>
  </si>
  <si>
    <t>Legales</t>
  </si>
  <si>
    <t>Logística e importación por kit</t>
  </si>
  <si>
    <t>Lector: programación</t>
  </si>
  <si>
    <t>Valor importado total</t>
  </si>
  <si>
    <t>Regulatorias</t>
  </si>
  <si>
    <t>Almacenamiento total del lote pre-serie</t>
  </si>
  <si>
    <t>Lector: prueba funcional</t>
  </si>
  <si>
    <t>Flete internacional</t>
  </si>
  <si>
    <t>Contables e impositivas</t>
  </si>
  <si>
    <t>Fabricación directa por parche de recambio</t>
  </si>
  <si>
    <t>USD/parche</t>
  </si>
  <si>
    <t>Lector: registro y trazabilidad</t>
  </si>
  <si>
    <t>Seguro</t>
  </si>
  <si>
    <t>Total consultas</t>
  </si>
  <si>
    <t>Entrega e insumos por recambio</t>
  </si>
  <si>
    <t>Lector: total</t>
  </si>
  <si>
    <t>CIF</t>
  </si>
  <si>
    <t>Salario bruto mensual de ingeniería</t>
  </si>
  <si>
    <t>ARS/FTE</t>
  </si>
  <si>
    <t>Lector: mano de obra</t>
  </si>
  <si>
    <t>Derecho estimado</t>
  </si>
  <si>
    <t>% CIF</t>
  </si>
  <si>
    <t>Salario bruto mensual técnico/administrativo</t>
  </si>
  <si>
    <t>Pulsera: materiales y procesos</t>
  </si>
  <si>
    <t>Tasa estadística estimada</t>
  </si>
  <si>
    <t>FTE de ingeniería</t>
  </si>
  <si>
    <t>FTE</t>
  </si>
  <si>
    <t>Pulsera: armado e inspección</t>
  </si>
  <si>
    <t>IVA estimado</t>
  </si>
  <si>
    <t>FTE técnicos/administrativos</t>
  </si>
  <si>
    <t>Pulsera: programación</t>
  </si>
  <si>
    <t>Carga presupuestaria simplificada</t>
  </si>
  <si>
    <t>45% CIF</t>
  </si>
  <si>
    <t>Meses de desarrollo</t>
  </si>
  <si>
    <t>meses</t>
  </si>
  <si>
    <t>Pulsera: prueba funcional</t>
  </si>
  <si>
    <t>Gestión de importación y despacho</t>
  </si>
  <si>
    <t>Horas mensuales por FTE</t>
  </si>
  <si>
    <t>h/FTE</t>
  </si>
  <si>
    <t>Pulsera: registro y trazabilidad</t>
  </si>
  <si>
    <t>Traslado local</t>
  </si>
  <si>
    <t>Factor de costo laboral</t>
  </si>
  <si>
    <t>factor</t>
  </si>
  <si>
    <t>Pulsera: total</t>
  </si>
  <si>
    <t>Recepción e inventario</t>
  </si>
  <si>
    <t>Tipo de cambio presupuestario</t>
  </si>
  <si>
    <t>ARS/USD</t>
  </si>
  <si>
    <t>Pulsera: mano de obra</t>
  </si>
  <si>
    <t>Costo horario de ingeniería</t>
  </si>
  <si>
    <t>USD/h</t>
  </si>
  <si>
    <t>Parche: materiales</t>
  </si>
  <si>
    <t>Almacenamiento inicial</t>
  </si>
  <si>
    <t>Costo horario técnico/administrativo</t>
  </si>
  <si>
    <t>Parche: horas por 100 unidades</t>
  </si>
  <si>
    <t>h/100 u</t>
  </si>
  <si>
    <t>Presupuesto por kit en Argentina</t>
  </si>
  <si>
    <t>Servicios generales mensuales</t>
  </si>
  <si>
    <t>USD/mes</t>
  </si>
  <si>
    <t>Parche: tarifa productiva</t>
  </si>
  <si>
    <t>Alquiler de oficina/taller mensual</t>
  </si>
  <si>
    <t>Parche: mano de obra</t>
  </si>
  <si>
    <t>Preserie año 1 sin doble mano de obra</t>
  </si>
  <si>
    <t>Alquiler de equipamiento/laboratorio mensual</t>
  </si>
  <si>
    <t>Empaque y accesorios</t>
  </si>
  <si>
    <t>Costo directo preserie sin MO interna</t>
  </si>
  <si>
    <t>Componentes para prototipos</t>
  </si>
  <si>
    <t>Cargo fijo de proveedor sin cotización</t>
  </si>
  <si>
    <t>Valor importado preserie</t>
  </si>
  <si>
    <t>CIF preserie</t>
  </si>
  <si>
    <t>Insumos para pruebas</t>
  </si>
  <si>
    <t>Costo directo por parche</t>
  </si>
  <si>
    <t>Logística/importación preserie</t>
  </si>
  <si>
    <t>Consultas especializadas (sin bioquímica)</t>
  </si>
  <si>
    <t>Criterios de costeo e importación</t>
  </si>
  <si>
    <t>Los tiempos y tarifas de armado, programación y prueba son estimaciones internas de producción; no constituyen cotizaciones de proveedor.</t>
  </si>
  <si>
    <t>Merma de fabricación</t>
  </si>
  <si>
    <t>% unidades</t>
  </si>
  <si>
    <t>En el año 1 el armado final, la programación, la prueba y la preparación del parche quedan cubiertos por los cuatro FTE: la preserie usa un costo específico sin esa mano de obra. En los años 2 a 4 sí forman parte del costo variable unitario.</t>
  </si>
  <si>
    <t>Costo comercial variable sobre ventas</t>
  </si>
  <si>
    <t>% ventas</t>
  </si>
  <si>
    <t>El cargo fijo de proveedor permanece editable en cero hasta contar con evidencia. La merma se aplica mediante unidades brutas, no mediante un multiplicador general.</t>
  </si>
  <si>
    <t>Costo mensual por FTE comercial</t>
  </si>
  <si>
    <t>USD/FTE</t>
  </si>
  <si>
    <t>La carga de importación es una previsión académica simplificada del 45% sobre CIF; una operación real debe verificar la posición arancelaria y el tratamiento fiscal aplicable.</t>
  </si>
  <si>
    <t>Difusión mensual de referencia</t>
  </si>
  <si>
    <t>En explotación se presupuestan lector y pulsera ensamblados desde China. Para la preserie del año 1 se importan sus materiales y procesos base; el armado final, la programación, la prueba, el parche y el acondicionamiento se realizan con la dotación interna.</t>
  </si>
  <si>
    <t>Horas mensuales de soporte por 100 clientes</t>
  </si>
  <si>
    <t>h</t>
  </si>
  <si>
    <t>Costo horario de soporte</t>
  </si>
  <si>
    <t>Tasa de descuento anual</t>
  </si>
  <si>
    <t>% anual</t>
  </si>
  <si>
    <t>Caja adicional de seguridad</t>
  </si>
  <si>
    <t>Precio cobrado por kit</t>
  </si>
  <si>
    <t>Precio cobrado por recambio</t>
  </si>
  <si>
    <t>Recambios por cliente al mes</t>
  </si>
  <si>
    <t>parches</t>
  </si>
  <si>
    <t>Retención mensual de clientes</t>
  </si>
  <si>
    <t>% clientes</t>
  </si>
  <si>
    <t>Inventario objetivo al cierre</t>
  </si>
  <si>
    <t>% ventas anuales</t>
  </si>
  <si>
    <t>Herramientas, nube y licencias mensuales</t>
  </si>
  <si>
    <t>% partidas técnicas</t>
  </si>
  <si>
    <t>Criterios del escenario</t>
  </si>
  <si>
    <t>Año 1: doce meses de desarrollo con cuatro personas full-time. Las horas son capacidad derivada, no presupuesto por tarea.</t>
  </si>
  <si>
    <t>El prototipo integrado es un hito intermedio; el entregable del mes 12 es el MVP sujeto a validación funcional y técnica.</t>
  </si>
  <si>
    <t>No hay ventas en el año 1. La explotación comienza en el año 2 y queda condicionada a los requisitos regulatorios aplicables.</t>
  </si>
  <si>
    <t>La merma aumenta las unidades brutas a fabricar. El inventario objetivo y las ventas determinan la producción anual.</t>
  </si>
  <si>
    <t>Los acuerdos de canal se modelan como costo comercial, nunca como pago por decisión o derivación clínica.</t>
  </si>
  <si>
    <t>El 50% general anterior se elimina. Se usan merma de producción y una reserva técnica separada, aplicadas una sola vez.</t>
  </si>
  <si>
    <t>TAM de referencia: alrededor de 4 millones de adultos con diabetes tipo 2; el embudo de clínicas determina el mercado obtenible.</t>
  </si>
  <si>
    <t>VAN y TIR son salidas informativas. El modelo no modifica supuestos para obtener un resultado financiero deseado.</t>
  </si>
  <si>
    <t>Plan mensual editable del año 1</t>
  </si>
  <si>
    <t>Actividad / control</t>
  </si>
  <si>
    <t>Kits aceptados recibidos</t>
  </si>
  <si>
    <t>Control de dotación</t>
  </si>
  <si>
    <t>Capacidad bruta del año</t>
  </si>
  <si>
    <t>horas</t>
  </si>
  <si>
    <t>Supuestos y cálculos de los años 2, 3 y 4</t>
  </si>
  <si>
    <t>Ventas anuales de kits</t>
  </si>
  <si>
    <t>Producción neta de kits</t>
  </si>
  <si>
    <t>Equipo comercial fijo (FTE)</t>
  </si>
  <si>
    <t>Difusión mensual (USD)</t>
  </si>
  <si>
    <t>Kits demostradores a clínicas</t>
  </si>
  <si>
    <t>Cálculo anual de clientes y recambios</t>
  </si>
  <si>
    <t>Meses por año</t>
  </si>
  <si>
    <t>Meses acumulados por cliente inicial</t>
  </si>
  <si>
    <t>Factor de altas durante el año</t>
  </si>
  <si>
    <t>Clientes activos en el primer mes</t>
  </si>
  <si>
    <t>Clientes activos en el último mes</t>
  </si>
  <si>
    <t>Control: inventario final no negativo</t>
  </si>
  <si>
    <t>Flujo neto anual sin financiamiento</t>
  </si>
  <si>
    <t>Años 2-4: ventas originadas por el embudo de clínicas/profesionales del escenario seleccionado.</t>
  </si>
  <si>
    <t>La producción repone inventario, cubre demostradores, alcanza el objetivo de cierre e incorpora la merma antes de valorizar costos.</t>
  </si>
  <si>
    <t>El equipo comercial fijo, el canal variable, la difusión y el soporte crecen con la explotación.</t>
  </si>
  <si>
    <t>El capital mínimo cubre el mayor déficit acumulado; no representa financiamiento confirmado.</t>
  </si>
  <si>
    <t>VAN y TIR del proyecto</t>
  </si>
  <si>
    <t>Supuesto editable de evaluación, no tasa de mercado.</t>
  </si>
  <si>
    <t>Origen temporal de cálculo</t>
  </si>
  <si>
    <t>Fecha convencional para medir distancias entre períodos.</t>
  </si>
  <si>
    <t>Los flujos se ubican al cierre de cada período y excluyen los aportes de capital.</t>
  </si>
  <si>
    <t>Resultados antes de Ganancias y tributos locales; no incluyen validación clínica ni certificación comercial.</t>
  </si>
  <si>
    <t>Mes desde inicio</t>
  </si>
  <si>
    <t>Fecha equivalente</t>
  </si>
  <si>
    <t>Flujo (USD)</t>
  </si>
  <si>
    <t>Plan híbrido de 12 meses: Gantt maestro y sprints quincenales</t>
  </si>
  <si>
    <t>Dotación base</t>
  </si>
  <si>
    <t>2 ingeniería + 2 técnicos/administrativos</t>
  </si>
  <si>
    <t>Capacidad bruta</t>
  </si>
  <si>
    <t>ID</t>
  </si>
  <si>
    <t>Frente</t>
  </si>
  <si>
    <t>Actividad / entregable</t>
  </si>
  <si>
    <t>Responsable</t>
  </si>
  <si>
    <t>Inicio</t>
  </si>
  <si>
    <t>Fin</t>
  </si>
  <si>
    <t>Dependencia</t>
  </si>
  <si>
    <t>Tipo</t>
  </si>
  <si>
    <t>Criterio de cierre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</si>
  <si>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</si>
  <si>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</si>
  <si>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</si>
  <si>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</si>
  <si>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</si>
  <si>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</si>
  <si>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</si>
  <si>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</si>
  <si>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</si>
  <si>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</si>
  <si>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</si>
  <si>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</si>
  <si>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T01</t>
  </si>
  <si>
    <t>Gobierno</t>
  </si>
  <si>
    <t>Objetivo, alcance, MVP y trazabilidad</t>
  </si>
  <si>
    <t>Líder de proyecto</t>
  </si>
  <si>
    <t>-</t>
  </si>
  <si>
    <t>Trabajo</t>
  </si>
  <si>
    <t>Alcance aprobado</t>
  </si>
  <si>
    <t>■</t>
  </si>
  <si>
    <t>T02</t>
  </si>
  <si>
    <t>Regulatorio</t>
  </si>
  <si>
    <t>Uso previsto y consultas médicas, legales y regulatorias</t>
  </si>
  <si>
    <t>Técnico/administrativo</t>
  </si>
  <si>
    <t>Preguntas y límites documentados</t>
  </si>
  <si>
    <t>T03</t>
  </si>
  <si>
    <t>Sistema</t>
  </si>
  <si>
    <t>Arquitectura, interfaces y requerimientos verificables</t>
  </si>
  <si>
    <t>Ing. sistemas/embebidos</t>
  </si>
  <si>
    <t>Baseline técnica aprobada</t>
  </si>
  <si>
    <t>T04</t>
  </si>
  <si>
    <t>Abastecimiento</t>
  </si>
  <si>
    <t>Relevamiento de laboratorios y proveedores</t>
  </si>
  <si>
    <t>Alternativas y responsables</t>
  </si>
  <si>
    <t>T05</t>
  </si>
  <si>
    <t>Especificaciones, cotizaciones y plan de compras</t>
  </si>
  <si>
    <t>Ing. + compras</t>
  </si>
  <si>
    <t>T03,T04</t>
  </si>
  <si>
    <t>Órdenes y contingencias definidas</t>
  </si>
  <si>
    <t>H1</t>
  </si>
  <si>
    <t>Hito: arquitectura y protocolos aprobados</t>
  </si>
  <si>
    <t>Comité del proyecto</t>
  </si>
  <si>
    <t>T02,T03,T05</t>
  </si>
  <si>
    <t>Hito</t>
  </si>
  <si>
    <t>Acta de revisión</t>
  </si>
  <si>
    <t>◆</t>
  </si>
  <si>
    <t>T06</t>
  </si>
  <si>
    <t>Compras, importación, despacho y recepción</t>
  </si>
  <si>
    <t>Compras/administración</t>
  </si>
  <si>
    <t>Materiales disponibles</t>
  </si>
  <si>
    <t>T07</t>
  </si>
  <si>
    <t>Biosensor</t>
  </si>
  <si>
    <t>Parche, reactivos, MIP y calibración preliminar</t>
  </si>
  <si>
    <t>Ing. + laboratorio</t>
  </si>
  <si>
    <t>Subsistema ensayable</t>
  </si>
  <si>
    <t>T08</t>
  </si>
  <si>
    <t>Electrónica</t>
  </si>
  <si>
    <t>PCB, alimentación, firmware y BLE</t>
  </si>
  <si>
    <t>Ing. embebidos</t>
  </si>
  <si>
    <t>T09</t>
  </si>
  <si>
    <t>Software</t>
  </si>
  <si>
    <t>Aplicación, datos y modelos iniciales</t>
  </si>
  <si>
    <t>Ing. software/IA</t>
  </si>
  <si>
    <t>Flujo de datos operativo</t>
  </si>
  <si>
    <t>T10</t>
  </si>
  <si>
    <t>QA</t>
  </si>
  <si>
    <t>Protocolos y criterios de aceptación</t>
  </si>
  <si>
    <t>QA/técnico</t>
  </si>
  <si>
    <t>Pruebas aprobadas antes de ejecutar</t>
  </si>
  <si>
    <t>H2</t>
  </si>
  <si>
    <t>Integración</t>
  </si>
  <si>
    <t>Hito: prototipos de subsistemas</t>
  </si>
  <si>
    <t>Equipo completo</t>
  </si>
  <si>
    <t>T06-T10</t>
  </si>
  <si>
    <t>Evidencia de cada subsistema</t>
  </si>
  <si>
    <t>T11</t>
  </si>
  <si>
    <t>Prototipo integrado V1</t>
  </si>
  <si>
    <t>Adquisición y enlace extremo a extremo</t>
  </si>
  <si>
    <t>H3</t>
  </si>
  <si>
    <t>Hito: prototipo integrado intermedio</t>
  </si>
  <si>
    <t>Revisión de fallas y alcance</t>
  </si>
  <si>
    <t>T12</t>
  </si>
  <si>
    <t>Validación</t>
  </si>
  <si>
    <t>Pruebas funcionales e integración</t>
  </si>
  <si>
    <t>QA + equipo</t>
  </si>
  <si>
    <t>Resultados contra criterios</t>
  </si>
  <si>
    <t>T13</t>
  </si>
  <si>
    <t>Autonomía, memoria, BLE y recuperación de datos</t>
  </si>
  <si>
    <t>QA + embebidos</t>
  </si>
  <si>
    <t>7 días y 24 h verificados o limitados</t>
  </si>
  <si>
    <t>T14</t>
  </si>
  <si>
    <t>Montaje, robustez y recambio del parche</t>
  </si>
  <si>
    <t>QA + mecánica</t>
  </si>
  <si>
    <t>Desvíos y ajustes registrados</t>
  </si>
  <si>
    <t>T15</t>
  </si>
  <si>
    <t>Calibración, interferencias y repetibilidad</t>
  </si>
  <si>
    <t>Laboratorio + QA</t>
  </si>
  <si>
    <t>Informe técnico</t>
  </si>
  <si>
    <t>T16</t>
  </si>
  <si>
    <t>Iteración</t>
  </si>
  <si>
    <t>Correcciones y prototipo V2 / candidato a MVP</t>
  </si>
  <si>
    <t>T12-T15</t>
  </si>
  <si>
    <t>Criterios críticos satisfechos</t>
  </si>
  <si>
    <t>H4</t>
  </si>
  <si>
    <t>Producto</t>
  </si>
  <si>
    <t>Hito: candidato a MVP</t>
  </si>
  <si>
    <t>Revisión de aceptación</t>
  </si>
  <si>
    <t>T17</t>
  </si>
  <si>
    <t>Validación funcional y técnica final</t>
  </si>
  <si>
    <t>QA independiente</t>
  </si>
  <si>
    <t>Acta de aceptación técnica</t>
  </si>
  <si>
    <t>T18</t>
  </si>
  <si>
    <t>Industrialización</t>
  </si>
  <si>
    <t>Diseño congelado, QA y documentación de producción</t>
  </si>
  <si>
    <t>Ing. + QA</t>
  </si>
  <si>
    <t>Paquete de producción</t>
  </si>
  <si>
    <t>T19</t>
  </si>
  <si>
    <t>Operación</t>
  </si>
  <si>
    <t>Manual, soporte, entrenamiento y solución de problemas</t>
  </si>
  <si>
    <t>Documentación entregable</t>
  </si>
  <si>
    <t>T20</t>
  </si>
  <si>
    <t>Comercial</t>
  </si>
  <si>
    <t>Acuerdos con clínicas y preparación del año 2</t>
  </si>
  <si>
    <t>Comercial + legal</t>
  </si>
  <si>
    <t>Embudo y acuerdos documentados</t>
  </si>
  <si>
    <t>H5</t>
  </si>
  <si>
    <t>Hito: MVP aceptado y cierre del año 1</t>
  </si>
  <si>
    <t>Sponsor/comité</t>
  </si>
  <si>
    <t>T17-T20</t>
  </si>
  <si>
    <t>Entrega y retrospectiva</t>
  </si>
  <si>
    <t>Cadencia ágil</t>
  </si>
  <si>
    <t>26 sprints quincenales con planificación, demostración, revisión de riesgos y retrospectiva. El Gantt gobierna dependencias externas; el backlog gobierna el trabajo técnico.</t>
  </si>
  <si>
    <t>Epic</t>
  </si>
  <si>
    <t>Historia / necesidad</t>
  </si>
  <si>
    <t>Criterio de aceptación</t>
  </si>
  <si>
    <t>Trazabilidad</t>
  </si>
  <si>
    <t>Como equipo, queremos relacionar objetivos, requisitos, pruebas y entregables.</t>
  </si>
  <si>
    <t>Cada requisito tiene evidencia o limitación explícita.</t>
  </si>
  <si>
    <t>Sensado</t>
  </si>
  <si>
    <t>Como usuario, quiero que el parche y el lector adquieran las señales definidas.</t>
  </si>
  <si>
    <t>Se verifican adquisición, calibración e interferencias según protocolo.</t>
  </si>
  <si>
    <t>Conectividad</t>
  </si>
  <si>
    <t>Como usuario, quiero recuperar datos luego de una pérdida temporal de BLE.</t>
  </si>
  <si>
    <t>Buffer de 24 h y sincronización posterior demostrados.</t>
  </si>
  <si>
    <t>Autonomía</t>
  </si>
  <si>
    <t>Como usuario, quiero al menos siete días de uso normal.</t>
  </si>
  <si>
    <t>Perfil de consumo, capacidad y prueba de descarga documentados.</t>
  </si>
  <si>
    <t>Recambio</t>
  </si>
  <si>
    <t>Como usuario, quiero reemplazar el parche sin reemplazar la electrónica.</t>
  </si>
  <si>
    <t>Montaje guiado y prueba de recambio completados.</t>
  </si>
  <si>
    <t>Avisos</t>
  </si>
  <si>
    <t>Como usuario, quiero información contextual sin recomendaciones clínicas automáticas.</t>
  </si>
  <si>
    <t>Horizonte, incertidumbre y limitaciones visibles.</t>
  </si>
  <si>
    <t>Producción</t>
  </si>
  <si>
    <t>Como responsable de QA, quiero trazabilidad de lotes y controles.</t>
  </si>
  <si>
    <t>Registro de componentes, pruebas y aceptación por unidad.</t>
  </si>
  <si>
    <t>Como responsable del proyecto, quiero ventas explicadas por aliados y adopción.</t>
  </si>
  <si>
    <t>El flujo se conecta al embudo y a sus costos.</t>
  </si>
  <si>
    <t>Roadmap de explotación</t>
  </si>
  <si>
    <t>Período</t>
  </si>
  <si>
    <t>Objetivo</t>
  </si>
  <si>
    <t>Actividades principales</t>
  </si>
  <si>
    <t>Lanzamiento controlado</t>
  </si>
  <si>
    <t>Producción inicial, acuerdos con clínicas, soporte, QA de campo y validación del embudo comercial.</t>
  </si>
  <si>
    <t>Expansión y versión evolutiva 1</t>
  </si>
  <si>
    <t>Más aliados, mejoras de robustez y manufactura, revisión de costos y evidencia de uso.</t>
  </si>
  <si>
    <t>Escala y versión evolutiva 2</t>
  </si>
  <si>
    <t>Ampliación de capacidad y funcionalidades solo si la evidencia técnica y regulatoria lo permite.</t>
  </si>
  <si>
    <t>Años 2 a 4: Kanban comercial/operativo y objetivos trimestrales</t>
  </si>
  <si>
    <t>El tablero se revisa semanalmente; las metas trimestrales se reconcilian con el escenario activo del plan comercial y con el flujo de fondos.</t>
  </si>
  <si>
    <t>Columnas del tablero Kanban</t>
  </si>
  <si>
    <t>Backlog</t>
  </si>
  <si>
    <t>Prospectado</t>
  </si>
  <si>
    <t>Contactado</t>
  </si>
  <si>
    <t>Reunión</t>
  </si>
  <si>
    <t>Acuerdo</t>
  </si>
  <si>
    <t>Aliado activo</t>
  </si>
  <si>
    <t>Seguimiento</t>
  </si>
  <si>
    <t>Cada tarjeta conserva responsable, próxima acción, fecha objetivo, evidencia y desvío; ningún acuerdo avanza a activo sin onboarding registrado.</t>
  </si>
  <si>
    <t>Frentes paralelos</t>
  </si>
  <si>
    <t>Cadencia</t>
  </si>
  <si>
    <t>Médicos</t>
  </si>
  <si>
    <t>Activar el canal principal</t>
  </si>
  <si>
    <t>Semanal</t>
  </si>
  <si>
    <t>Clínicas</t>
  </si>
  <si>
    <t>Demostraciones y acuerdos institucionales</t>
  </si>
  <si>
    <t>Proveedores y producción</t>
  </si>
  <si>
    <t>Cumplir volumen, costo y calidad</t>
  </si>
  <si>
    <t>Quincenal</t>
  </si>
  <si>
    <t>Inventario y logística</t>
  </si>
  <si>
    <t>Evitar quiebres y excedentes</t>
  </si>
  <si>
    <t>Soporte y QA de campo</t>
  </si>
  <si>
    <t>Resolver incidentes y capturar evidencia</t>
  </si>
  <si>
    <t>Mejoras del producto</t>
  </si>
  <si>
    <t>Priorizar evidencia y uso real</t>
  </si>
  <si>
    <t>Sprint</t>
  </si>
  <si>
    <t>Revisión regulatoria</t>
  </si>
  <si>
    <t>Mantener límites y requisitos vigentes</t>
  </si>
  <si>
    <t>Trimestral</t>
  </si>
  <si>
    <t>Metas trimestrales vinculadas al escenario activo</t>
  </si>
  <si>
    <t>Año</t>
  </si>
  <si>
    <t>Trimestre</t>
  </si>
  <si>
    <t>Aliados acumulados</t>
  </si>
  <si>
    <t>Ventas de kits</t>
  </si>
  <si>
    <t>Producción bruta</t>
  </si>
  <si>
    <t>Retención</t>
  </si>
  <si>
    <t>Soporte (h)</t>
  </si>
  <si>
    <t>T1</t>
  </si>
  <si>
    <t>Metas revisadas; 100% de desvíos críticos con responsable y fecha</t>
  </si>
  <si>
    <t>T2</t>
  </si>
  <si>
    <t>T3</t>
  </si>
  <si>
    <t>T4</t>
  </si>
  <si>
    <t>La producción bruta incluye la merma y concilia con el volumen anual del flujo; los demostradores y el onboarding comienzan únicamente en el año 2.</t>
  </si>
  <si>
    <t>Plan comercial por clínicas y profesionales</t>
  </si>
  <si>
    <t>Escenario activo (1-3)</t>
  </si>
  <si>
    <t>Caso seleccionado</t>
  </si>
  <si>
    <t>Embudo de adopción</t>
  </si>
  <si>
    <t>Driver</t>
  </si>
  <si>
    <t>Escenario</t>
  </si>
  <si>
    <t>Clínicas/profesionales aliados</t>
  </si>
  <si>
    <t>Selección activa</t>
  </si>
  <si>
    <t>Conservador</t>
  </si>
  <si>
    <t>Base</t>
  </si>
  <si>
    <t>Expansivo</t>
  </si>
  <si>
    <t>Pacientes alcanzables por aliado/año</t>
  </si>
  <si>
    <t>Tasa de adopción sobre pacientes alcanzados</t>
  </si>
  <si>
    <t>Ventas de kits resultantes</t>
  </si>
  <si>
    <t>Mercado de referencia argentino</t>
  </si>
  <si>
    <t>Participación sobre mercado de referencia</t>
  </si>
  <si>
    <t>Comparación de ventas por escenario</t>
  </si>
  <si>
    <t>Notas y fuentes</t>
  </si>
  <si>
    <t>El mercado de referencia de 4 millones surge de la extrapolación documentada en el informe a partir del IDF Diabetes Atlas; no equivale al mercado accesible.</t>
  </si>
  <si>
    <t>Las ventas se derivan de aliados, alcance y adopción. Todos los valores son supuestos editables que deben validarse con entrevistas y acuerdos reales.</t>
  </si>
  <si>
    <t>Los pagos de canal representan servicios de comercialización y soporte institucional; no se pagan decisiones o derivaciones clínicas.</t>
  </si>
  <si>
    <t>Canales de adquisición y costos de activación</t>
  </si>
  <si>
    <t>Tarifa / criterio</t>
  </si>
  <si>
    <t>Médicos aliados - selección activa</t>
  </si>
  <si>
    <t>Clínicas aliadas - selección activa</t>
  </si>
  <si>
    <t>Médicos aliados - base aprobada</t>
  </si>
  <si>
    <t>Clínicas aliadas - base aprobada</t>
  </si>
  <si>
    <t>Prospectos médicos calificados</t>
  </si>
  <si>
    <t>Conversión de prospectos médicos</t>
  </si>
  <si>
    <t>Prospectos de clínicas calificadas</t>
  </si>
  <si>
    <t>Conversión de prospectos de clínicas</t>
  </si>
  <si>
    <t>Kits demostradores (uno por clínica)</t>
  </si>
  <si>
    <t>Onboarding de médicos (USD)</t>
  </si>
  <si>
    <t>Onboarding de clínicas (USD)</t>
  </si>
  <si>
    <t>Onboarding total (USD)</t>
  </si>
  <si>
    <t>Acciones del canal</t>
  </si>
  <si>
    <t>Etapa</t>
  </si>
  <si>
    <t>Evidencia de cierre</t>
  </si>
  <si>
    <t>Construcción de base</t>
  </si>
  <si>
    <t>Registro calificado con fuente y contacto</t>
  </si>
  <si>
    <t>Prioridad principal</t>
  </si>
  <si>
    <t>Instituciones objetivo</t>
  </si>
  <si>
    <t>Contacto</t>
  </si>
  <si>
    <t>Respuesta o siguiente acción registrada</t>
  </si>
  <si>
    <t>Contacto individual</t>
  </si>
  <si>
    <t>Contacto institucional</t>
  </si>
  <si>
    <t>Necesidad, alcance y objeciones documentadas</t>
  </si>
  <si>
    <t>Entrevista breve</t>
  </si>
  <si>
    <t>Reunión con decisores</t>
  </si>
  <si>
    <t>Comercial + producto</t>
  </si>
  <si>
    <t>Presentación</t>
  </si>
  <si>
    <t>Demostración y límites de uso comunicados</t>
  </si>
  <si>
    <t>Material clínico</t>
  </si>
  <si>
    <t>Kit demostrador</t>
  </si>
  <si>
    <t>Producto + regulatorio</t>
  </si>
  <si>
    <t>Condiciones comerciales y soporte aprobados</t>
  </si>
  <si>
    <t>Acuerdo de colaboración</t>
  </si>
  <si>
    <t>Acuerdo institucional</t>
  </si>
  <si>
    <t>Legal + comercial</t>
  </si>
  <si>
    <t>Capacitación</t>
  </si>
  <si>
    <t>Asistencia y guía entregada</t>
  </si>
  <si>
    <t>Onboarding USD 75</t>
  </si>
  <si>
    <t>Onboarding USD 300</t>
  </si>
  <si>
    <t>Soporte</t>
  </si>
  <si>
    <t>Actividad, pacientes, soporte y desvíos revisados</t>
  </si>
  <si>
    <t>Cadencia mensual</t>
  </si>
  <si>
    <t>Comercial + QA</t>
  </si>
  <si>
    <t>Notas del canal</t>
  </si>
  <si>
    <t>En el escenario base, los prospectos son 90/175/280 médicos y 35/75/120 clínicas, ambos con conversión del 20%.</t>
  </si>
  <si>
    <t>Los médicos constituyen el canal principal; las clínicas concentran demostraciones, acuerdos institucionales y onboarding.</t>
  </si>
  <si>
    <t>Los demostradores se entregan desde el año 2 y están vinculados a producción, merma, importación e inventario.</t>
  </si>
  <si>
    <t>No se modelan pagos por decisiones ni derivaciones clínicas. El 8% variable remunera comercialización, soporte institucional y cobranza.</t>
  </si>
  <si>
    <t>Cambios realizados — corrección integral</t>
  </si>
  <si>
    <t>Resumen informativo. La hoja Flujo de caja sigue siendo la fuente financiera autoritativa.</t>
  </si>
  <si>
    <t>Área</t>
  </si>
  <si>
    <t>Cambio realizado</t>
  </si>
  <si>
    <t>Resultado final</t>
  </si>
  <si>
    <t>Evidencia en el libro</t>
  </si>
  <si>
    <t>Planificación</t>
  </si>
  <si>
    <t>Se reemplazó el desarrollo corto por dotación anual full-time y metodología híbrida.</t>
  </si>
  <si>
    <t>4 FTE · 12 meses · 26 sprints · 7.680 h</t>
  </si>
  <si>
    <t>Plan 12 meses</t>
  </si>
  <si>
    <t>Alcance</t>
  </si>
  <si>
    <t>Se separaron prototipo intermedio, candidato a MVP y MVP aceptado.</t>
  </si>
  <si>
    <t>Mes 7 · mes 10 · mes 12</t>
  </si>
  <si>
    <t>FODA y riesgos</t>
  </si>
  <si>
    <t>Las fortalezas ahora son capacidades internas; integración/calibración se gestiona como riesgo.</t>
  </si>
  <si>
    <t>Rúbrica verificable y seguimiento por hitos</t>
  </si>
  <si>
    <t>Informe LaTeX</t>
  </si>
  <si>
    <t>Costeo</t>
  </si>
  <si>
    <t>Se eliminó el recargo general y se trazaron armado, programación, prueba y registro.</t>
  </si>
  <si>
    <t>Lector USD 6,08 · pulsera USD 5,10 · parche USD 4,08</t>
  </si>
  <si>
    <t>Flujo de caja · filas 64–86</t>
  </si>
  <si>
    <t>Preserie año 1</t>
  </si>
  <si>
    <t>Se excluyó la mano de obra ya cubierta por los cuatro FTE.</t>
  </si>
  <si>
    <t>Directo USD 87,20 · import./logística USD 64,03 · total USD 17.103,06</t>
  </si>
  <si>
    <t>Flujo de caja · filas 82–86</t>
  </si>
  <si>
    <t>Importación</t>
  </si>
  <si>
    <t>Se reemplazó la provisión fija por una carga académica sobre CIF y partidas separadas.</t>
  </si>
  <si>
    <t>45% del CIF · posición arancelaria a verificar</t>
  </si>
  <si>
    <t>Flujo de caja · filas 64–80</t>
  </si>
  <si>
    <t>Modelo comercial</t>
  </si>
  <si>
    <t>Las ventas se vincularon a aliados, pacientes alcanzables y adopción.</t>
  </si>
  <si>
    <t>300 / 800 / 1.680 kits</t>
  </si>
  <si>
    <t>Plan comercial</t>
  </si>
  <si>
    <t>Canales</t>
  </si>
  <si>
    <t>Se priorizaron médicos y se reservaron clínicas para demos y acuerdos institucionales.</t>
  </si>
  <si>
    <t>Médicos 18/35/56 · clínicas 7/15/24</t>
  </si>
  <si>
    <t>Plan comercial · filas 52–81</t>
  </si>
  <si>
    <t>Se mantuvo como etapa de desarrollo e inversión sin ventas ni demostradores.</t>
  </si>
  <si>
    <t>Presupuesto y capital mínimo USD 228.303,06</t>
  </si>
  <si>
    <t>Flujo de caja</t>
  </si>
  <si>
    <t>Viabilidad</t>
  </si>
  <si>
    <t>Se recalcularon resultados sin aumentar artificialmente las ventas.</t>
  </si>
  <si>
    <t>VAN USD 103.250,74 · TIR 36,83%</t>
  </si>
  <si>
    <t>Flujo de caja · indicadores</t>
  </si>
  <si>
    <t>Verificación</t>
  </si>
  <si>
    <t>Se probaron escenarios y sensibilidades y se restauró el caso base.</t>
  </si>
  <si>
    <t>0 errores de fórmula</t>
  </si>
  <si>
    <t>Escaneo del libro y matriz de trazabilidad</t>
  </si>
  <si>
    <t>Compatibilidad</t>
  </si>
  <si>
    <t>Se normalizaron las fechas financieras para Excel y Google Sheets.</t>
  </si>
  <si>
    <t>Fechas diferenciadas · formato dd/mm/aaaa · XIRR con estimación inicial</t>
  </si>
  <si>
    <t>Flujo de caja · filas 153–181</t>
  </si>
  <si>
    <t>Última conciliación: 22/10/2026 · Excel e informe usan las mismas cifras base.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</si>
</sst>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1">
    <numFmt numFmtId="164" formatCode="[$$]#,##0.00"/>
    <numFmt numFmtId="165" formatCode="#,##0.00;(#,##0.00);&quot;-&quot;"/>
    <numFmt numFmtId="166" formatCode="#,##0.00;[Red](#,##0.00);-"/>
    <numFmt numFmtId="167" formatCode="0.0%"/>
    <numFmt numFmtId="168" formatCode="#,##0;[Red](#,##0);-"/>
    <numFmt numFmtId="169" formatCode="$#,##0.00;[Red]($#,##0.00);-"/>
    <numFmt numFmtId="170" formatCode="dd/mm/yyyy"/>
    <numFmt numFmtId="171" formatCode="dd-mmm-yy"/>
    <numFmt numFmtId="172" formatCode="&quot;M&quot;0"/>
    <numFmt numFmtId="173" formatCode="0.000%"/>
    <numFmt numFmtId="174" formatCode="&quot;$&quot;#,##0"/>
  </numFmts>
  <fonts count="21">
    <font>
      <sz val="10.0"/>
      <color rgb="FF000000"/>
      <name val="Arial"/>
      <scheme val="minor"/>
    </font>
    <font>
      <b/>
      <sz val="14.0"/>
      <color rgb="FF1F4E78"/>
      <name val="Arial"/>
    </font>
    <font>
      <sz val="10.0"/>
      <color rgb="FF1F1F1F"/>
      <name val="Arial"/>
    </font>
    <font>
      <b/>
      <sz val="10.0"/>
      <color rgb="FFFFFFFF"/>
      <name val="Arial"/>
    </font>
    <font>
      <b/>
      <sz val="10.0"/>
      <color rgb="FF1F1F1F"/>
      <name val="Arial"/>
    </font>
    <font>
      <color theme="1"/>
      <name val="Arial"/>
    </font>
    <font>
      <sz val="10.0"/>
      <color rgb="FF262626"/>
      <name val="Arial"/>
    </font>
    <font>
      <b/>
      <sz val="10.0"/>
      <color rgb="FF262626"/>
      <name val="Arial"/>
    </font>
    <font>
      <sz val="10.0"/>
      <color rgb="FF0000FF"/>
      <name val="Arial"/>
    </font>
    <font>
      <i/>
      <sz val="9.0"/>
      <color rgb="FF666666"/>
      <name val="Arial"/>
    </font>
    <font>
      <b/>
      <sz val="10.0"/>
      <color rgb="FF0000FF"/>
      <name val="Arial"/>
    </font>
    <font>
      <b/>
      <i/>
      <sz val="9.0"/>
      <color rgb="FF666666"/>
      <name val="Arial"/>
    </font>
    <font>
      <sz val="10.0"/>
      <color rgb="FF000000"/>
      <name val="Arial"/>
    </font>
    <font>
      <sz val="9.0"/>
      <color rgb="FF1F1F1F"/>
      <name val="Arial"/>
    </font>
    <font>
      <b/>
      <sz val="10.0"/>
      <color rgb="FF4472C4"/>
      <name val="Arial"/>
    </font>
    <font>
      <b/>
      <sz val="10.0"/>
      <color rgb="FFC65911"/>
      <name val="Arial"/>
    </font>
    <font>
      <b/>
      <sz val="9.0"/>
      <color rgb="FF1F1F1F"/>
      <name val="Arial"/>
    </font>
    <font/>
    <font>
      <b/>
      <sz val="10.0"/>
      <color rgb="FF008000"/>
      <name val="Arial"/>
    </font>
    <font>
      <b/>
      <sz val="15.0"/>
      <color rgb="FFFFFFFF"/>
      <name val="Arial"/>
    </font>
    <font>
      <i/>
      <sz val="9.0"/>
      <color rgb="FF555555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4472C4"/>
        <bgColor rgb="FF4472C4"/>
      </patternFill>
    </fill>
    <fill>
      <patternFill patternType="solid">
        <fgColor rgb="FFD9EAF7"/>
        <bgColor rgb="FFD9EAF7"/>
      </patternFill>
    </fill>
    <fill>
      <patternFill patternType="solid">
        <fgColor rgb="FFCFE2F3"/>
        <bgColor rgb="FFCFE2F3"/>
      </patternFill>
    </fill>
    <fill>
      <patternFill patternType="solid">
        <fgColor rgb="FFFCE4D6"/>
        <bgColor rgb="FFFCE4D6"/>
      </patternFill>
    </fill>
    <fill>
      <patternFill patternType="solid">
        <fgColor rgb="FFFCE5CD"/>
        <bgColor rgb="FFFCE5CD"/>
      </patternFill>
    </fill>
    <fill>
      <patternFill patternType="solid">
        <fgColor rgb="FFB6D7A8"/>
        <bgColor rgb="FFB6D7A8"/>
      </patternFill>
    </fill>
    <fill>
      <patternFill patternType="solid">
        <fgColor rgb="FFF2F2F2"/>
        <bgColor rgb="FFF2F2F2"/>
      </patternFill>
    </fill>
    <fill>
      <patternFill patternType="solid">
        <fgColor rgb="FFDDEBF7"/>
        <bgColor rgb="FFDDEBF7"/>
      </patternFill>
    </fill>
    <fill>
      <patternFill patternType="solid">
        <fgColor rgb="FFFFF2CC"/>
        <bgColor rgb="FFFFF2CC"/>
      </patternFill>
    </fill>
    <fill>
      <patternFill patternType="solid">
        <fgColor rgb="FFD2E3F2"/>
        <bgColor rgb="FFD2E3F2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</fills>
  <borders count="21">
    <border/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B7B7B7"/>
      </left>
      <top style="thin">
        <color rgb="FFB7B7B7"/>
      </top>
      <bottom style="thin">
        <color rgb="FFB7B7B7"/>
      </bottom>
    </border>
    <border>
      <top style="thin">
        <color rgb="FFB7B7B7"/>
      </top>
      <bottom style="thin">
        <color rgb="FFB7B7B7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9EADBA"/>
      </left>
      <top style="thin">
        <color rgb="FF9EADBA"/>
      </top>
      <bottom style="thin">
        <color rgb="FF9EADBA"/>
      </bottom>
    </border>
    <border>
      <top style="thin">
        <color rgb="FF9EADBA"/>
      </top>
      <bottom style="thin">
        <color rgb="FF9EADBA"/>
      </bottom>
    </border>
    <border>
      <right style="thin">
        <color rgb="FF9EADBA"/>
      </right>
      <top style="thin">
        <color rgb="FF9EADBA"/>
      </top>
      <bottom style="thin">
        <color rgb="FF9EADBA"/>
      </bottom>
    </border>
    <border>
      <bottom style="thin">
        <color rgb="FFD9E2F3"/>
      </bottom>
    </border>
    <border>
      <right style="thin">
        <color rgb="FFD9D9D9"/>
      </right>
      <bottom style="thin">
        <color rgb="FFD9D9D9"/>
      </bottom>
    </border>
    <border>
      <left style="thin">
        <color rgb="FFD9D9D9"/>
      </left>
      <right style="thin">
        <color rgb="FFD9D9D9"/>
      </right>
      <bottom style="thin">
        <color rgb="FFD9D9D9"/>
      </bottom>
    </border>
    <border>
      <left style="thin">
        <color rgb="FFD9D9D9"/>
      </left>
      <bottom style="thin">
        <color rgb="FFD9D9D9"/>
      </bottom>
    </border>
    <border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D9D9D9"/>
      </left>
      <top style="thin">
        <color rgb="FFD9D9D9"/>
      </top>
      <bottom style="thin">
        <color rgb="FFD9D9D9"/>
      </bottom>
    </border>
    <border>
      <right style="thin">
        <color rgb="FFD9D9D9"/>
      </right>
      <top style="thin">
        <color rgb="FFD9D9D9"/>
      </top>
    </border>
    <border>
      <left style="thin">
        <color rgb="FFD9D9D9"/>
      </left>
      <right style="thin">
        <color rgb="FFD9D9D9"/>
      </right>
      <top style="thin">
        <color rgb="FFD9D9D9"/>
      </top>
    </border>
    <border>
      <left style="thin">
        <color rgb="FFD9D9D9"/>
      </left>
      <top style="thin">
        <color rgb="FFD9D9D9"/>
      </top>
    </border>
    <border>
      <left style="thin">
        <color rgb="FFFFFFFF"/>
      </left>
      <top style="thin">
        <color rgb="FFFFFFFF"/>
      </top>
      <bottom style="thin">
        <color rgb="FFFFFFFF"/>
      </bottom>
    </border>
    <border>
      <right style="thin">
        <color rgb="FFFFFFFF"/>
      </right>
      <top style="thin">
        <color rgb="FFFFFFFF"/>
      </top>
      <bottom style="thin">
        <color rgb="FFFFFFFF"/>
      </bottom>
    </border>
    <border>
      <top style="thin">
        <color rgb="FFFFFFFF"/>
      </top>
      <bottom style="thin">
        <color rgb="FFFFFFFF"/>
      </bottom>
    </border>
  </borders>
  <cellStyleXfs count="1">
    <xf borderId="0" fillId="0" fontId="0" numFmtId="0" applyAlignment="1" applyFont="1"/>
  </cellStyleXfs>
  <cellXfs count="14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 shrinkToFit="0" vertical="center" wrapText="0"/>
    </xf>
    <xf borderId="0" fillId="0" fontId="2" numFmtId="0" xfId="0" applyAlignment="1" applyFont="1">
      <alignment horizontal="left" shrinkToFit="0" vertical="center" wrapText="0"/>
    </xf>
    <xf borderId="0" fillId="0" fontId="2" numFmtId="164" xfId="0" applyAlignment="1" applyFont="1" applyNumberFormat="1">
      <alignment horizontal="right" vertical="center"/>
    </xf>
    <xf borderId="1" fillId="2" fontId="3" numFmtId="0" xfId="0" applyAlignment="1" applyBorder="1" applyFill="1" applyFont="1">
      <alignment horizontal="center" shrinkToFit="0" vertical="center" wrapText="0"/>
    </xf>
    <xf borderId="1" fillId="2" fontId="3" numFmtId="164" xfId="0" applyAlignment="1" applyBorder="1" applyFill="1" applyFont="1" applyNumberFormat="1">
      <alignment horizontal="center" shrinkToFit="0" vertical="center" wrapText="0"/>
    </xf>
    <xf borderId="1" fillId="2" fontId="3" numFmtId="49" xfId="0" applyAlignment="1" applyBorder="1" applyFill="1" applyFont="1" applyNumberFormat="1">
      <alignment horizontal="center" shrinkToFit="0" vertical="center" wrapText="0"/>
    </xf>
    <xf borderId="2" fillId="3" fontId="4" numFmtId="0" xfId="0" applyAlignment="1" applyBorder="1" applyFill="1" applyFont="1">
      <alignment horizontal="left" shrinkToFit="0" vertical="center" wrapText="0"/>
    </xf>
    <xf borderId="3" fillId="3" fontId="4" numFmtId="0" xfId="0" applyAlignment="1" applyBorder="1" applyFill="1" applyFont="1">
      <alignment horizontal="left" shrinkToFit="0" vertical="center" wrapText="0"/>
    </xf>
    <xf borderId="3" fillId="3" fontId="4" numFmtId="165" xfId="0" applyAlignment="1" applyBorder="1" applyFill="1" applyFont="1" applyNumberFormat="1">
      <alignment horizontal="right" shrinkToFit="0" vertical="center" wrapText="0"/>
    </xf>
    <xf borderId="4" fillId="3" fontId="4" numFmtId="165" xfId="0" applyAlignment="1" applyBorder="1" applyFill="1" applyFont="1" applyNumberFormat="1">
      <alignment horizontal="right" shrinkToFit="0" vertical="center" wrapText="0"/>
    </xf>
    <xf borderId="0" fillId="4" fontId="5" numFmtId="0" xfId="0" applyFill="1" applyFont="1"/>
    <xf borderId="0" fillId="0" fontId="4" numFmtId="0" xfId="0" applyAlignment="1" applyFont="1">
      <alignment horizontal="left" shrinkToFit="0" vertical="center" wrapText="0"/>
    </xf>
    <xf borderId="0" fillId="0" fontId="2" numFmtId="166" xfId="0" applyAlignment="1" applyFont="1" applyNumberFormat="1">
      <alignment horizontal="right" shrinkToFit="0" vertical="center" wrapText="0"/>
    </xf>
    <xf borderId="3" fillId="3" fontId="4" numFmtId="166" xfId="0" applyAlignment="1" applyBorder="1" applyFill="1" applyFont="1" applyNumberFormat="1">
      <alignment horizontal="right" shrinkToFit="0" vertical="center" wrapText="0"/>
    </xf>
    <xf borderId="4" fillId="3" fontId="4" numFmtId="166" xfId="0" applyAlignment="1" applyBorder="1" applyFill="1" applyFont="1" applyNumberFormat="1">
      <alignment horizontal="right" shrinkToFit="0" vertical="center" wrapText="0"/>
    </xf>
    <xf borderId="2" fillId="5" fontId="4" numFmtId="0" xfId="0" applyAlignment="1" applyBorder="1" applyFill="1" applyFont="1">
      <alignment horizontal="left" shrinkToFit="0" vertical="center" wrapText="0"/>
    </xf>
    <xf borderId="3" fillId="5" fontId="4" numFmtId="0" xfId="0" applyAlignment="1" applyBorder="1" applyFill="1" applyFont="1">
      <alignment horizontal="left" shrinkToFit="0" vertical="center" wrapText="0"/>
    </xf>
    <xf borderId="3" fillId="5" fontId="4" numFmtId="166" xfId="0" applyAlignment="1" applyBorder="1" applyFill="1" applyFont="1" applyNumberFormat="1">
      <alignment horizontal="right" shrinkToFit="0" vertical="center" wrapText="0"/>
    </xf>
    <xf borderId="4" fillId="5" fontId="4" numFmtId="166" xfId="0" applyAlignment="1" applyBorder="1" applyFill="1" applyFont="1" applyNumberFormat="1">
      <alignment horizontal="right" shrinkToFit="0" vertical="center" wrapText="0"/>
    </xf>
    <xf borderId="0" fillId="6" fontId="5" numFmtId="0" xfId="0" applyFill="1" applyFont="1"/>
    <xf borderId="0" fillId="0" fontId="4" numFmtId="166" xfId="0" applyAlignment="1" applyFont="1" applyNumberFormat="1">
      <alignment horizontal="right" shrinkToFit="0" vertical="center" wrapText="0"/>
    </xf>
    <xf borderId="0" fillId="7" fontId="2" numFmtId="0" xfId="0" applyAlignment="1" applyFill="1" applyFont="1">
      <alignment horizontal="left" shrinkToFit="0" vertical="center" wrapText="0"/>
    </xf>
    <xf borderId="0" fillId="7" fontId="2" numFmtId="166" xfId="0" applyAlignment="1" applyFill="1" applyFont="1" applyNumberFormat="1">
      <alignment horizontal="right" shrinkToFit="0" vertical="center" wrapText="0"/>
    </xf>
    <xf borderId="0" fillId="7" fontId="5" numFmtId="0" xfId="0" applyFill="1" applyFont="1"/>
    <xf borderId="0" fillId="0" fontId="2" numFmtId="166" xfId="0" applyAlignment="1" applyFont="1" applyNumberFormat="1">
      <alignment horizontal="right" vertical="center"/>
    </xf>
    <xf borderId="0" fillId="0" fontId="4" numFmtId="166" xfId="0" applyAlignment="1" applyFont="1" applyNumberFormat="1">
      <alignment horizontal="right" vertical="center"/>
    </xf>
    <xf borderId="3" fillId="3" fontId="4" numFmtId="166" xfId="0" applyAlignment="1" applyBorder="1" applyFill="1" applyFont="1" applyNumberFormat="1">
      <alignment horizontal="right" vertical="center"/>
    </xf>
    <xf borderId="4" fillId="3" fontId="4" numFmtId="166" xfId="0" applyAlignment="1" applyBorder="1" applyFill="1" applyFont="1" applyNumberFormat="1">
      <alignment horizontal="right" vertical="center"/>
    </xf>
    <xf borderId="0" fillId="0" fontId="4" numFmtId="10" xfId="0" applyAlignment="1" applyFont="1" applyNumberFormat="1">
      <alignment horizontal="right" vertical="center"/>
    </xf>
    <xf borderId="0" fillId="0" fontId="4" numFmtId="167" xfId="0" applyAlignment="1" applyFont="1" applyNumberFormat="1">
      <alignment horizontal="right" vertical="center"/>
    </xf>
    <xf borderId="0" fillId="0" fontId="2" numFmtId="168" xfId="0" applyAlignment="1" applyFont="1" applyNumberFormat="1">
      <alignment horizontal="right" vertical="center"/>
    </xf>
    <xf borderId="0" fillId="8" fontId="6" numFmtId="0" xfId="0" applyAlignment="1" applyFill="1" applyFont="1">
      <alignment horizontal="left" shrinkToFit="0" vertical="center" wrapText="0"/>
    </xf>
    <xf borderId="0" fillId="8" fontId="6" numFmtId="164" xfId="0" applyAlignment="1" applyFill="1" applyFont="1" applyNumberFormat="1">
      <alignment horizontal="right" vertical="center"/>
    </xf>
    <xf borderId="0" fillId="8" fontId="6" numFmtId="164" xfId="0" applyAlignment="1" applyFill="1" applyFont="1" applyNumberFormat="1">
      <alignment horizontal="right" shrinkToFit="0" vertical="center" wrapText="0"/>
    </xf>
    <xf borderId="0" fillId="8" fontId="6" numFmtId="0" xfId="0" applyAlignment="1" applyFill="1" applyFont="1">
      <alignment horizontal="right" shrinkToFit="0" vertical="center" wrapText="0"/>
    </xf>
    <xf borderId="3" fillId="3" fontId="4" numFmtId="164" xfId="0" applyAlignment="1" applyBorder="1" applyFill="1" applyFont="1" applyNumberFormat="1">
      <alignment horizontal="right" vertical="center"/>
    </xf>
    <xf borderId="5" fillId="9" fontId="7" numFmtId="0" xfId="0" applyAlignment="1" applyBorder="1" applyFill="1" applyFont="1">
      <alignment shrinkToFit="0" vertical="center" wrapText="0"/>
    </xf>
    <xf borderId="6" fillId="9" fontId="7" numFmtId="0" xfId="0" applyAlignment="1" applyBorder="1" applyFill="1" applyFont="1">
      <alignment shrinkToFit="0" vertical="center" wrapText="0"/>
    </xf>
    <xf borderId="7" fillId="9" fontId="7" numFmtId="0" xfId="0" applyAlignment="1" applyBorder="1" applyFill="1" applyFont="1">
      <alignment shrinkToFit="0" vertical="center" wrapText="0"/>
    </xf>
    <xf borderId="3" fillId="3" fontId="4" numFmtId="0" xfId="0" applyAlignment="1" applyBorder="1" applyFill="1" applyFont="1">
      <alignment horizontal="right" shrinkToFit="0" vertical="center" wrapText="0"/>
    </xf>
    <xf borderId="4" fillId="3" fontId="4" numFmtId="0" xfId="0" applyAlignment="1" applyBorder="1" applyFill="1" applyFont="1">
      <alignment horizontal="right" shrinkToFit="0" vertical="center" wrapText="0"/>
    </xf>
    <xf borderId="0" fillId="10" fontId="8" numFmtId="1" xfId="0" applyAlignment="1" applyFill="1" applyFont="1" applyNumberFormat="1">
      <alignment horizontal="right" vertical="center"/>
    </xf>
    <xf borderId="0" fillId="0" fontId="6" numFmtId="164" xfId="0" applyAlignment="1" applyFont="1" applyNumberFormat="1">
      <alignment horizontal="right" vertical="center"/>
    </xf>
    <xf borderId="0" fillId="10" fontId="8" numFmtId="2" xfId="0" applyAlignment="1" applyFill="1" applyFont="1" applyNumberFormat="1">
      <alignment horizontal="right" vertical="center"/>
    </xf>
    <xf borderId="0" fillId="0" fontId="6" numFmtId="2" xfId="0" applyAlignment="1" applyFont="1" applyNumberFormat="1">
      <alignment horizontal="right" vertical="center"/>
    </xf>
    <xf borderId="0" fillId="0" fontId="6" numFmtId="0" xfId="0" applyAlignment="1" applyFont="1">
      <alignment horizontal="right" shrinkToFit="0" vertical="center" wrapText="0"/>
    </xf>
    <xf borderId="0" fillId="10" fontId="8" numFmtId="169" xfId="0" applyAlignment="1" applyFill="1" applyFont="1" applyNumberFormat="1">
      <alignment horizontal="right" shrinkToFit="0" vertical="center" wrapText="0"/>
    </xf>
    <xf borderId="0" fillId="0" fontId="2" numFmtId="0" xfId="0" applyAlignment="1" applyFont="1">
      <alignment horizontal="right" shrinkToFit="0" vertical="center" wrapText="0"/>
    </xf>
    <xf borderId="0" fillId="0" fontId="6" numFmtId="165" xfId="0" applyAlignment="1" applyFont="1" applyNumberFormat="1">
      <alignment horizontal="right" vertical="center"/>
    </xf>
    <xf borderId="0" fillId="0" fontId="7" numFmtId="164" xfId="0" applyAlignment="1" applyFont="1" applyNumberFormat="1">
      <alignment horizontal="right" vertical="center"/>
    </xf>
    <xf borderId="0" fillId="0" fontId="7" numFmtId="2" xfId="0" applyAlignment="1" applyFont="1" applyNumberFormat="1">
      <alignment horizontal="right" vertical="center"/>
    </xf>
    <xf borderId="0" fillId="10" fontId="8" numFmtId="165" xfId="0" applyAlignment="1" applyFill="1" applyFont="1" applyNumberFormat="1">
      <alignment horizontal="right" vertical="center"/>
    </xf>
    <xf borderId="8" fillId="0" fontId="7" numFmtId="164" xfId="0" applyAlignment="1" applyBorder="1" applyFont="1" applyNumberFormat="1">
      <alignment horizontal="right" vertical="center"/>
    </xf>
    <xf borderId="8" fillId="0" fontId="7" numFmtId="0" xfId="0" applyAlignment="1" applyBorder="1" applyFont="1">
      <alignment horizontal="right" shrinkToFit="0" vertical="center" wrapText="0"/>
    </xf>
    <xf borderId="8" fillId="0" fontId="7" numFmtId="169" xfId="0" applyAlignment="1" applyBorder="1" applyFont="1" applyNumberFormat="1">
      <alignment horizontal="right" shrinkToFit="0" vertical="center" wrapText="0"/>
    </xf>
    <xf borderId="0" fillId="0" fontId="6" numFmtId="1" xfId="0" applyAlignment="1" applyFont="1" applyNumberFormat="1">
      <alignment horizontal="right" vertical="center"/>
    </xf>
    <xf borderId="0" fillId="0" fontId="8" numFmtId="165" xfId="0" applyAlignment="1" applyFont="1" applyNumberFormat="1">
      <alignment horizontal="right" vertical="center"/>
    </xf>
    <xf borderId="0" fillId="10" fontId="8" numFmtId="167" xfId="0" applyAlignment="1" applyFill="1" applyFont="1" applyNumberFormat="1">
      <alignment horizontal="right" vertical="center"/>
    </xf>
    <xf borderId="0" fillId="0" fontId="8" numFmtId="1" xfId="0" applyAlignment="1" applyFont="1" applyNumberFormat="1">
      <alignment horizontal="right" vertical="center"/>
    </xf>
    <xf borderId="0" fillId="0" fontId="2" numFmtId="1" xfId="0" applyAlignment="1" applyFont="1" applyNumberFormat="1">
      <alignment horizontal="right" vertical="center"/>
    </xf>
    <xf borderId="0" fillId="0" fontId="2" numFmtId="167" xfId="0" applyAlignment="1" applyFont="1" applyNumberFormat="1">
      <alignment horizontal="right" vertical="center"/>
    </xf>
    <xf borderId="8" fillId="0" fontId="7" numFmtId="2" xfId="0" applyAlignment="1" applyBorder="1" applyFont="1" applyNumberFormat="1">
      <alignment horizontal="right" vertical="center"/>
    </xf>
    <xf borderId="0" fillId="0" fontId="8" numFmtId="167" xfId="0" applyAlignment="1" applyFont="1" applyNumberFormat="1">
      <alignment horizontal="right" vertical="center"/>
    </xf>
    <xf borderId="0" fillId="0" fontId="9" numFmtId="164" xfId="0" applyAlignment="1" applyFont="1" applyNumberFormat="1">
      <alignment horizontal="right" shrinkToFit="0" vertical="center" wrapText="1"/>
    </xf>
    <xf borderId="0" fillId="0" fontId="8" numFmtId="164" xfId="0" applyAlignment="1" applyFont="1" applyNumberFormat="1">
      <alignment horizontal="right" vertical="center"/>
    </xf>
    <xf borderId="0" fillId="11" fontId="4" numFmtId="0" xfId="0" applyAlignment="1" applyFill="1" applyFont="1">
      <alignment horizontal="left" shrinkToFit="0" vertical="center" wrapText="0"/>
    </xf>
    <xf borderId="0" fillId="11" fontId="10" numFmtId="164" xfId="0" applyAlignment="1" applyFill="1" applyFont="1" applyNumberFormat="1">
      <alignment horizontal="right" vertical="center"/>
    </xf>
    <xf borderId="0" fillId="11" fontId="4" numFmtId="164" xfId="0" applyAlignment="1" applyFill="1" applyFont="1" applyNumberFormat="1">
      <alignment horizontal="right" vertical="center"/>
    </xf>
    <xf borderId="0" fillId="0" fontId="9" numFmtId="0" xfId="0" applyAlignment="1" applyFont="1">
      <alignment horizontal="left" shrinkToFit="0" vertical="center" wrapText="0"/>
    </xf>
    <xf borderId="0" fillId="11" fontId="11" numFmtId="0" xfId="0" applyAlignment="1" applyFill="1" applyFont="1">
      <alignment horizontal="left" shrinkToFit="0" vertical="center" wrapText="0"/>
    </xf>
    <xf borderId="0" fillId="0" fontId="2" numFmtId="3" xfId="0" applyAlignment="1" applyFont="1" applyNumberFormat="1">
      <alignment horizontal="right" shrinkToFit="0" vertical="center" wrapText="0"/>
    </xf>
    <xf borderId="0" fillId="0" fontId="2" numFmtId="2" xfId="0" applyAlignment="1" applyFont="1" applyNumberFormat="1">
      <alignment horizontal="right" shrinkToFit="0" vertical="center" wrapText="0"/>
    </xf>
    <xf borderId="0" fillId="0" fontId="2" numFmtId="1" xfId="0" applyAlignment="1" applyFont="1" applyNumberFormat="1">
      <alignment horizontal="right" shrinkToFit="0" vertical="center" wrapText="0"/>
    </xf>
    <xf borderId="0" fillId="0" fontId="2" numFmtId="165" xfId="0" applyAlignment="1" applyFont="1" applyNumberFormat="1">
      <alignment horizontal="right" shrinkToFit="0" vertical="center" wrapText="0"/>
    </xf>
    <xf borderId="0" fillId="0" fontId="12" numFmtId="0" xfId="0" applyAlignment="1" applyFont="1">
      <alignment shrinkToFit="0" vertical="bottom" wrapText="0"/>
    </xf>
    <xf borderId="0" fillId="0" fontId="2" numFmtId="170" xfId="0" applyAlignment="1" applyFont="1" applyNumberFormat="1">
      <alignment horizontal="right" vertical="center"/>
    </xf>
    <xf borderId="0" fillId="0" fontId="2" numFmtId="171" xfId="0" applyAlignment="1" applyFont="1" applyNumberFormat="1">
      <alignment horizontal="right" vertical="center"/>
    </xf>
    <xf borderId="0" fillId="0" fontId="2" numFmtId="171" xfId="0" applyAlignment="1" applyFont="1" applyNumberFormat="1">
      <alignment horizontal="right" shrinkToFit="0" vertical="center" wrapText="0"/>
    </xf>
    <xf borderId="0" fillId="0" fontId="12" numFmtId="171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horizontal="right" vertical="center"/>
    </xf>
    <xf borderId="0" fillId="0" fontId="12" numFmtId="165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horizontal="right" shrinkToFit="0" vertical="center" wrapText="1"/>
    </xf>
    <xf borderId="0" fillId="0" fontId="5" numFmtId="164" xfId="0" applyFont="1" applyNumberFormat="1"/>
    <xf borderId="0" fillId="0" fontId="1" numFmtId="0" xfId="0" applyAlignment="1" applyFont="1">
      <alignment shrinkToFit="0" vertical="bottom" wrapText="0"/>
    </xf>
    <xf borderId="0" fillId="0" fontId="13" numFmtId="0" xfId="0" applyAlignment="1" applyFont="1">
      <alignment shrinkToFit="0" vertical="bottom" wrapText="0"/>
    </xf>
    <xf borderId="9" fillId="0" fontId="13" numFmtId="0" xfId="0" applyAlignment="1" applyBorder="1" applyFont="1">
      <alignment shrinkToFit="0" vertical="bottom" wrapText="0"/>
    </xf>
    <xf borderId="10" fillId="0" fontId="13" numFmtId="0" xfId="0" applyAlignment="1" applyBorder="1" applyFont="1">
      <alignment shrinkToFit="0" vertical="bottom" wrapText="0"/>
    </xf>
    <xf borderId="10" fillId="0" fontId="13" numFmtId="172" xfId="0" applyAlignment="1" applyBorder="1" applyFont="1" applyNumberFormat="1">
      <alignment shrinkToFit="0" vertical="bottom" wrapText="0"/>
    </xf>
    <xf borderId="11" fillId="0" fontId="13" numFmtId="0" xfId="0" applyAlignment="1" applyBorder="1" applyFont="1">
      <alignment shrinkToFit="0" vertical="bottom" wrapText="0"/>
    </xf>
    <xf borderId="0" fillId="0" fontId="14" numFmtId="0" xfId="0" applyAlignment="1" applyFont="1">
      <alignment horizontal="center" shrinkToFit="0" vertical="bottom" wrapText="0"/>
    </xf>
    <xf borderId="12" fillId="0" fontId="13" numFmtId="0" xfId="0" applyAlignment="1" applyBorder="1" applyFont="1">
      <alignment shrinkToFit="0" vertical="bottom" wrapText="0"/>
    </xf>
    <xf borderId="13" fillId="0" fontId="13" numFmtId="0" xfId="0" applyAlignment="1" applyBorder="1" applyFont="1">
      <alignment shrinkToFit="0" vertical="bottom" wrapText="0"/>
    </xf>
    <xf borderId="13" fillId="0" fontId="13" numFmtId="172" xfId="0" applyAlignment="1" applyBorder="1" applyFont="1" applyNumberFormat="1">
      <alignment shrinkToFit="0" vertical="bottom" wrapText="0"/>
    </xf>
    <xf borderId="14" fillId="0" fontId="13" numFmtId="0" xfId="0" applyAlignment="1" applyBorder="1" applyFont="1">
      <alignment shrinkToFit="0" vertical="bottom" wrapText="0"/>
    </xf>
    <xf borderId="0" fillId="0" fontId="15" numFmtId="0" xfId="0" applyAlignment="1" applyFont="1">
      <alignment horizontal="center" shrinkToFit="0" vertical="bottom" wrapText="0"/>
    </xf>
    <xf borderId="15" fillId="0" fontId="13" numFmtId="0" xfId="0" applyAlignment="1" applyBorder="1" applyFont="1">
      <alignment shrinkToFit="0" vertical="bottom" wrapText="0"/>
    </xf>
    <xf borderId="16" fillId="0" fontId="13" numFmtId="0" xfId="0" applyAlignment="1" applyBorder="1" applyFont="1">
      <alignment shrinkToFit="0" vertical="bottom" wrapText="0"/>
    </xf>
    <xf borderId="16" fillId="0" fontId="13" numFmtId="172" xfId="0" applyAlignment="1" applyBorder="1" applyFont="1" applyNumberFormat="1">
      <alignment shrinkToFit="0" vertical="bottom" wrapText="0"/>
    </xf>
    <xf borderId="17" fillId="0" fontId="13" numFmtId="0" xfId="0" applyAlignment="1" applyBorder="1" applyFont="1">
      <alignment shrinkToFit="0" vertical="bottom" wrapText="0"/>
    </xf>
    <xf borderId="2" fillId="3" fontId="16" numFmtId="0" xfId="0" applyAlignment="1" applyBorder="1" applyFill="1" applyFont="1">
      <alignment shrinkToFit="0" vertical="bottom" wrapText="0"/>
    </xf>
    <xf borderId="3" fillId="3" fontId="16" numFmtId="0" xfId="0" applyAlignment="1" applyBorder="1" applyFill="1" applyFont="1">
      <alignment shrinkToFit="0" vertical="bottom" wrapText="0"/>
    </xf>
    <xf borderId="4" fillId="3" fontId="16" numFmtId="0" xfId="0" applyAlignment="1" applyBorder="1" applyFill="1" applyFont="1">
      <alignment shrinkToFit="0" vertical="bottom" wrapText="0"/>
    </xf>
    <xf borderId="0" fillId="0" fontId="13" numFmtId="0" xfId="0" applyAlignment="1" applyFont="1">
      <alignment shrinkToFit="0" vertical="bottom" wrapText="1"/>
    </xf>
    <xf borderId="0" fillId="0" fontId="9" numFmtId="0" xfId="0" applyAlignment="1" applyFont="1">
      <alignment shrinkToFit="0" vertical="center" wrapText="0"/>
    </xf>
    <xf borderId="0" fillId="0" fontId="12" numFmtId="0" xfId="0" applyAlignment="1" applyFont="1">
      <alignment shrinkToFit="0" vertical="center" wrapText="0"/>
    </xf>
    <xf borderId="1" fillId="2" fontId="3" numFmtId="0" xfId="0" applyAlignment="1" applyBorder="1" applyFill="1" applyFont="1">
      <alignment horizontal="center" shrinkToFit="0" vertical="center" wrapText="1"/>
    </xf>
    <xf borderId="18" fillId="2" fontId="3" numFmtId="0" xfId="0" applyAlignment="1" applyBorder="1" applyFill="1" applyFont="1">
      <alignment horizontal="center" shrinkToFit="0" vertical="center" wrapText="1"/>
    </xf>
    <xf borderId="19" fillId="0" fontId="17" numFmtId="0" xfId="0" applyBorder="1" applyFont="1"/>
    <xf borderId="20" fillId="0" fontId="17" numFmtId="0" xfId="0" applyBorder="1" applyFont="1"/>
    <xf borderId="0" fillId="0" fontId="6" numFmtId="0" xfId="0" applyAlignment="1" applyFont="1">
      <alignment shrinkToFit="0" vertical="center" wrapText="1"/>
    </xf>
    <xf borderId="8" fillId="0" fontId="6" numFmtId="0" xfId="0" applyAlignment="1" applyBorder="1" applyFont="1">
      <alignment shrinkToFit="0" vertical="center" wrapText="1"/>
    </xf>
    <xf borderId="8" fillId="0" fontId="17" numFmtId="0" xfId="0" applyBorder="1" applyFont="1"/>
    <xf borderId="0" fillId="0" fontId="6" numFmtId="167" xfId="0" applyAlignment="1" applyFont="1" applyNumberFormat="1">
      <alignment shrinkToFit="0" vertical="center" wrapText="1"/>
    </xf>
    <xf borderId="0" fillId="0" fontId="6" numFmtId="3" xfId="0" applyAlignment="1" applyFont="1" applyNumberFormat="1">
      <alignment shrinkToFit="0" vertical="center" wrapText="1"/>
    </xf>
    <xf borderId="8" fillId="0" fontId="6" numFmtId="3" xfId="0" applyAlignment="1" applyBorder="1" applyFont="1" applyNumberFormat="1">
      <alignment shrinkToFit="0" vertical="center" wrapText="1"/>
    </xf>
    <xf borderId="8" fillId="0" fontId="6" numFmtId="167" xfId="0" applyAlignment="1" applyBorder="1" applyFont="1" applyNumberFormat="1">
      <alignment shrinkToFit="0" vertical="center" wrapText="1"/>
    </xf>
    <xf borderId="0" fillId="0" fontId="2" numFmtId="0" xfId="0" applyAlignment="1" applyFont="1">
      <alignment shrinkToFit="0" vertical="bottom" wrapText="0"/>
    </xf>
    <xf borderId="0" fillId="10" fontId="10" numFmtId="0" xfId="0" applyAlignment="1" applyFill="1" applyFont="1">
      <alignment shrinkToFit="0" vertical="bottom" wrapText="0"/>
    </xf>
    <xf borderId="0" fillId="0" fontId="18" numFmtId="0" xfId="0" applyAlignment="1" applyFont="1">
      <alignment shrinkToFit="0" vertical="bottom" wrapText="0"/>
    </xf>
    <xf borderId="2" fillId="12" fontId="4" numFmtId="0" xfId="0" applyAlignment="1" applyBorder="1" applyFill="1" applyFont="1">
      <alignment shrinkToFit="0" vertical="bottom" wrapText="0"/>
    </xf>
    <xf borderId="3" fillId="12" fontId="4" numFmtId="0" xfId="0" applyAlignment="1" applyBorder="1" applyFill="1" applyFont="1">
      <alignment shrinkToFit="0" vertical="bottom" wrapText="0"/>
    </xf>
    <xf borderId="4" fillId="12" fontId="4" numFmtId="0" xfId="0" applyAlignment="1" applyBorder="1" applyFill="1" applyFont="1">
      <alignment shrinkToFit="0" vertical="bottom" wrapText="0"/>
    </xf>
    <xf borderId="0" fillId="3" fontId="2" numFmtId="0" xfId="0" applyAlignment="1" applyFill="1" applyFont="1">
      <alignment shrinkToFit="0" vertical="bottom" wrapText="0"/>
    </xf>
    <xf borderId="0" fillId="3" fontId="2" numFmtId="167" xfId="0" applyAlignment="1" applyFill="1" applyFont="1" applyNumberFormat="1">
      <alignment shrinkToFit="0" vertical="bottom" wrapText="0"/>
    </xf>
    <xf borderId="0" fillId="0" fontId="2" numFmtId="167" xfId="0" applyAlignment="1" applyFont="1" applyNumberFormat="1">
      <alignment shrinkToFit="0" vertical="bottom" wrapText="0"/>
    </xf>
    <xf borderId="3" fillId="12" fontId="4" numFmtId="3" xfId="0" applyAlignment="1" applyBorder="1" applyFill="1" applyFont="1" applyNumberFormat="1">
      <alignment shrinkToFit="0" vertical="bottom" wrapText="0"/>
    </xf>
    <xf borderId="4" fillId="12" fontId="4" numFmtId="3" xfId="0" applyAlignment="1" applyBorder="1" applyFill="1" applyFont="1" applyNumberFormat="1">
      <alignment shrinkToFit="0" vertical="bottom" wrapText="0"/>
    </xf>
    <xf borderId="0" fillId="0" fontId="2" numFmtId="173" xfId="0" applyAlignment="1" applyFont="1" applyNumberFormat="1">
      <alignment shrinkToFit="0" vertical="bottom" wrapText="0"/>
    </xf>
    <xf borderId="0" fillId="3" fontId="2" numFmtId="174" xfId="0" applyAlignment="1" applyFill="1" applyFont="1" applyNumberFormat="1">
      <alignment shrinkToFit="0" vertical="bottom" wrapText="0"/>
    </xf>
    <xf borderId="0" fillId="0" fontId="2" numFmtId="174" xfId="0" applyAlignment="1" applyFont="1" applyNumberForma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9" fontId="6" numFmtId="0" xfId="0" applyAlignment="1" applyFill="1" applyFont="1">
      <alignment shrinkToFit="0" vertical="center" wrapText="0"/>
    </xf>
    <xf borderId="0" fillId="0" fontId="6" numFmtId="0" xfId="0" applyAlignment="1" applyFont="1">
      <alignment shrinkToFit="0" vertical="center" wrapText="0"/>
    </xf>
    <xf borderId="0" fillId="10" fontId="8" numFmtId="0" xfId="0" applyAlignment="1" applyFill="1" applyFont="1">
      <alignment shrinkToFit="0" vertical="center" wrapText="0"/>
    </xf>
    <xf borderId="0" fillId="10" fontId="8" numFmtId="167" xfId="0" applyAlignment="1" applyFill="1" applyFont="1" applyNumberFormat="1">
      <alignment shrinkToFit="0" vertical="center" wrapText="0"/>
    </xf>
    <xf borderId="0" fillId="10" fontId="8" numFmtId="169" xfId="0" applyAlignment="1" applyFill="1" applyFont="1" applyNumberFormat="1">
      <alignment shrinkToFit="0" vertical="center" wrapText="0"/>
    </xf>
    <xf borderId="0" fillId="0" fontId="6" numFmtId="169" xfId="0" applyAlignment="1" applyFont="1" applyNumberFormat="1">
      <alignment shrinkToFit="0" vertical="center" wrapText="0"/>
    </xf>
    <xf borderId="8" fillId="12" fontId="7" numFmtId="0" xfId="0" applyAlignment="1" applyBorder="1" applyFill="1" applyFont="1">
      <alignment shrinkToFit="0" vertical="center" wrapText="0"/>
    </xf>
    <xf borderId="8" fillId="12" fontId="7" numFmtId="169" xfId="0" applyAlignment="1" applyBorder="1" applyFill="1" applyFont="1" applyNumberFormat="1">
      <alignment shrinkToFit="0" vertical="center" wrapText="0"/>
    </xf>
    <xf borderId="0" fillId="0" fontId="9" numFmtId="0" xfId="0" applyAlignment="1" applyFont="1">
      <alignment shrinkToFit="0" vertical="center" wrapText="1"/>
    </xf>
    <xf borderId="0" fillId="13" fontId="19" numFmtId="0" xfId="0" applyAlignment="1" applyFill="1" applyFont="1">
      <alignment horizontal="left" shrinkToFit="0" vertical="center" wrapText="0"/>
    </xf>
    <xf borderId="0" fillId="9" fontId="20" numFmtId="0" xfId="0" applyAlignment="1" applyFill="1" applyFont="1">
      <alignment shrinkToFit="0" vertical="center" wrapText="0"/>
    </xf>
    <xf borderId="0" fillId="9" fontId="7" numFmtId="0" xfId="0" applyAlignment="1" applyFill="1" applyFont="1">
      <alignment shrinkToFit="0" vertical="center" wrapText="1"/>
    </xf>
    <xf borderId="8" fillId="12" fontId="7" numFmtId="0" xfId="0" applyAlignment="1" applyBorder="1" applyFill="1" applyFont="1">
      <alignment shrinkToFit="0" vertical="center" wrapText="1"/>
    </xf>
    <xf borderId="8" fillId="12" fontId="6" numFmtId="0" xfId="0" applyAlignment="1" applyBorder="1" applyFill="1" applyFont="1">
      <alignment shrinkToFit="0" vertical="center" wrapText="1"/>
    </xf>
    <xf borderId="0" fillId="0" fontId="9" numFmtId="0" xfId="0" applyAlignment="1" applyFont="1">
      <alignment horizontal="right" shrinkToFit="0" vertical="center" wrapText="0"/>
    </xf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F4E78"/>
    <pageSetUpPr/>
  </sheetPr>
  <sheetViews>
    <sheetView showGridLines="0" workbookViewId="0">
      <pane xSplit="2.0" ySplit="2.0" topLeftCell="C3" activePane="bottomRight" state="frozen"/>
      <selection activeCell="C1" sqref="C1" pane="topRight"/>
      <selection activeCell="A3" sqref="A3" pane="bottomLeft"/>
      <selection activeCell="C3" sqref="C3" pane="bottomRight"/>
    </sheetView>
  </sheetViews>
  <sheetFormatPr customHeight="1" defaultColWidth="12.63" defaultRowHeight="15.0"/>
  <cols>
    <col customWidth="1" min="1" max="1" width="48.0"/>
    <col customWidth="1" min="2" max="2" width="22.5"/>
    <col customWidth="1" min="3" max="18" width="12.0"/>
    <col customWidth="1" min="19" max="19" width="16.0"/>
  </cols>
  <sheetData>
    <row r="1" ht="21.0" customHeight="1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ht="21.0" customHeight="1">
      <c r="A2" s="4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13</v>
      </c>
      <c r="N2" s="5" t="s">
        <v>14</v>
      </c>
      <c r="O2" s="6" t="s">
        <v>15</v>
      </c>
      <c r="P2" s="5" t="s">
        <v>16</v>
      </c>
      <c r="Q2" s="5" t="s">
        <v>17</v>
      </c>
      <c r="R2" s="5" t="s">
        <v>18</v>
      </c>
    </row>
    <row r="3" ht="21.0" customHeight="1">
      <c r="A3" s="7" t="s">
        <v>19</v>
      </c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0"/>
      <c r="S3" s="11"/>
      <c r="T3" s="11"/>
      <c r="U3" s="11"/>
      <c r="V3" s="11"/>
      <c r="W3" s="11"/>
      <c r="X3" s="11"/>
      <c r="Y3" s="11"/>
      <c r="Z3" s="11"/>
      <c r="AA3" s="11"/>
    </row>
    <row r="4" ht="21.0" customHeight="1">
      <c r="A4" s="12" t="s">
        <v>20</v>
      </c>
      <c r="B4" s="2" t="s">
        <v>21</v>
      </c>
      <c r="C4" s="13">
        <f>$C$53</f>
        <v>199200</v>
      </c>
      <c r="D4" s="13">
        <f t="shared" ref="D4:N4" si="1">0</f>
        <v>0</v>
      </c>
      <c r="E4" s="13">
        <f t="shared" si="1"/>
        <v>0</v>
      </c>
      <c r="F4" s="13">
        <f t="shared" si="1"/>
        <v>0</v>
      </c>
      <c r="G4" s="13">
        <f t="shared" si="1"/>
        <v>0</v>
      </c>
      <c r="H4" s="13">
        <f t="shared" si="1"/>
        <v>0</v>
      </c>
      <c r="I4" s="13">
        <f t="shared" si="1"/>
        <v>0</v>
      </c>
      <c r="J4" s="13">
        <f t="shared" si="1"/>
        <v>0</v>
      </c>
      <c r="K4" s="13">
        <f t="shared" si="1"/>
        <v>0</v>
      </c>
      <c r="L4" s="13">
        <f t="shared" si="1"/>
        <v>0</v>
      </c>
      <c r="M4" s="13">
        <f t="shared" si="1"/>
        <v>0</v>
      </c>
      <c r="N4" s="13">
        <f t="shared" si="1"/>
        <v>0</v>
      </c>
      <c r="O4" s="13">
        <f t="shared" ref="O4:O7" si="4">SUM(C4:N4)</f>
        <v>199200</v>
      </c>
      <c r="P4" s="13">
        <f t="shared" ref="P4:R4" si="2">0</f>
        <v>0</v>
      </c>
      <c r="Q4" s="13">
        <f t="shared" si="2"/>
        <v>0</v>
      </c>
      <c r="R4" s="13">
        <f t="shared" si="2"/>
        <v>0</v>
      </c>
    </row>
    <row r="5" ht="21.0" customHeight="1">
      <c r="A5" s="12" t="s">
        <v>22</v>
      </c>
      <c r="B5" s="2" t="s">
        <v>21</v>
      </c>
      <c r="C5" s="13">
        <f t="shared" ref="C5:N5" si="3">C59*$C$77</f>
        <v>0</v>
      </c>
      <c r="D5" s="13">
        <f t="shared" si="3"/>
        <v>0</v>
      </c>
      <c r="E5" s="13">
        <f t="shared" si="3"/>
        <v>0</v>
      </c>
      <c r="F5" s="13">
        <f t="shared" si="3"/>
        <v>0</v>
      </c>
      <c r="G5" s="13">
        <f t="shared" si="3"/>
        <v>0</v>
      </c>
      <c r="H5" s="13">
        <f t="shared" si="3"/>
        <v>0</v>
      </c>
      <c r="I5" s="13">
        <f t="shared" si="3"/>
        <v>0</v>
      </c>
      <c r="J5" s="13">
        <f t="shared" si="3"/>
        <v>0</v>
      </c>
      <c r="K5" s="13">
        <f t="shared" si="3"/>
        <v>0</v>
      </c>
      <c r="L5" s="13">
        <f t="shared" si="3"/>
        <v>0</v>
      </c>
      <c r="M5" s="13">
        <f t="shared" si="3"/>
        <v>0</v>
      </c>
      <c r="N5" s="13">
        <f t="shared" si="3"/>
        <v>0</v>
      </c>
      <c r="O5" s="13">
        <f t="shared" si="4"/>
        <v>0</v>
      </c>
      <c r="P5" s="13">
        <f t="shared" ref="P5:R5" si="5">P59*$C$98</f>
        <v>120000</v>
      </c>
      <c r="Q5" s="13">
        <f t="shared" si="5"/>
        <v>320000</v>
      </c>
      <c r="R5" s="13">
        <f t="shared" si="5"/>
        <v>672000</v>
      </c>
    </row>
    <row r="6" ht="21.0" customHeight="1">
      <c r="A6" s="12" t="s">
        <v>23</v>
      </c>
      <c r="B6" s="2" t="s">
        <v>21</v>
      </c>
      <c r="C6" s="13">
        <f t="shared" ref="C6:N6" si="6">C61*$C$78</f>
        <v>0</v>
      </c>
      <c r="D6" s="13">
        <f t="shared" si="6"/>
        <v>0</v>
      </c>
      <c r="E6" s="13">
        <f t="shared" si="6"/>
        <v>0</v>
      </c>
      <c r="F6" s="13">
        <f t="shared" si="6"/>
        <v>0</v>
      </c>
      <c r="G6" s="13">
        <f t="shared" si="6"/>
        <v>0</v>
      </c>
      <c r="H6" s="13">
        <f t="shared" si="6"/>
        <v>0</v>
      </c>
      <c r="I6" s="13">
        <f t="shared" si="6"/>
        <v>0</v>
      </c>
      <c r="J6" s="13">
        <f t="shared" si="6"/>
        <v>0</v>
      </c>
      <c r="K6" s="13">
        <f t="shared" si="6"/>
        <v>0</v>
      </c>
      <c r="L6" s="13">
        <f t="shared" si="6"/>
        <v>0</v>
      </c>
      <c r="M6" s="13">
        <f t="shared" si="6"/>
        <v>0</v>
      </c>
      <c r="N6" s="13">
        <f t="shared" si="6"/>
        <v>0</v>
      </c>
      <c r="O6" s="13">
        <f t="shared" si="4"/>
        <v>0</v>
      </c>
      <c r="P6" s="13">
        <f t="shared" ref="P6:R6" si="7">P61*$C$99</f>
        <v>163350</v>
      </c>
      <c r="Q6" s="13">
        <f t="shared" si="7"/>
        <v>636275</v>
      </c>
      <c r="R6" s="13">
        <f t="shared" si="7"/>
        <v>1558375</v>
      </c>
    </row>
    <row r="7" ht="21.0" customHeight="1">
      <c r="A7" s="12" t="s">
        <v>24</v>
      </c>
      <c r="B7" s="2" t="s">
        <v>21</v>
      </c>
      <c r="C7" s="13">
        <v>0.0</v>
      </c>
      <c r="D7" s="13">
        <v>0.0</v>
      </c>
      <c r="E7" s="13">
        <v>0.0</v>
      </c>
      <c r="F7" s="13">
        <v>0.0</v>
      </c>
      <c r="G7" s="13">
        <v>0.0</v>
      </c>
      <c r="H7" s="13">
        <v>0.0</v>
      </c>
      <c r="I7" s="13">
        <v>0.0</v>
      </c>
      <c r="J7" s="13">
        <v>0.0</v>
      </c>
      <c r="K7" s="13">
        <v>0.0</v>
      </c>
      <c r="L7" s="13">
        <v>0.0</v>
      </c>
      <c r="M7" s="13">
        <v>0.0</v>
      </c>
      <c r="N7" s="13">
        <v>0.0</v>
      </c>
      <c r="O7" s="13">
        <f t="shared" si="4"/>
        <v>0</v>
      </c>
      <c r="P7" s="13">
        <f t="shared" ref="P7:R7" si="8">0</f>
        <v>0</v>
      </c>
      <c r="Q7" s="13">
        <f t="shared" si="8"/>
        <v>0</v>
      </c>
      <c r="R7" s="13">
        <f t="shared" si="8"/>
        <v>0</v>
      </c>
    </row>
    <row r="8" ht="21.0" customHeight="1">
      <c r="A8" s="2"/>
      <c r="B8" s="2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ht="21.0" customHeight="1">
      <c r="A9" s="7" t="s">
        <v>25</v>
      </c>
      <c r="B9" s="8" t="s">
        <v>21</v>
      </c>
      <c r="C9" s="14">
        <f t="shared" ref="C9:N9" si="9">SUM(C4:C7)</f>
        <v>199200</v>
      </c>
      <c r="D9" s="14">
        <f t="shared" si="9"/>
        <v>0</v>
      </c>
      <c r="E9" s="14">
        <f t="shared" si="9"/>
        <v>0</v>
      </c>
      <c r="F9" s="14">
        <f t="shared" si="9"/>
        <v>0</v>
      </c>
      <c r="G9" s="14">
        <f t="shared" si="9"/>
        <v>0</v>
      </c>
      <c r="H9" s="14">
        <f t="shared" si="9"/>
        <v>0</v>
      </c>
      <c r="I9" s="14">
        <f t="shared" si="9"/>
        <v>0</v>
      </c>
      <c r="J9" s="14">
        <f t="shared" si="9"/>
        <v>0</v>
      </c>
      <c r="K9" s="14">
        <f t="shared" si="9"/>
        <v>0</v>
      </c>
      <c r="L9" s="14">
        <f t="shared" si="9"/>
        <v>0</v>
      </c>
      <c r="M9" s="14">
        <f t="shared" si="9"/>
        <v>0</v>
      </c>
      <c r="N9" s="14">
        <f t="shared" si="9"/>
        <v>0</v>
      </c>
      <c r="O9" s="14">
        <f>SUM(C9:N9)</f>
        <v>199200</v>
      </c>
      <c r="P9" s="14">
        <f t="shared" ref="P9:R9" si="10">SUM(P4:P7)</f>
        <v>283350</v>
      </c>
      <c r="Q9" s="14">
        <f t="shared" si="10"/>
        <v>956275</v>
      </c>
      <c r="R9" s="15">
        <f t="shared" si="10"/>
        <v>2230375</v>
      </c>
      <c r="S9" s="11"/>
      <c r="T9" s="11"/>
      <c r="U9" s="11"/>
      <c r="V9" s="11"/>
      <c r="W9" s="11"/>
      <c r="X9" s="11"/>
      <c r="Y9" s="11"/>
      <c r="Z9" s="11"/>
      <c r="AA9" s="11"/>
    </row>
    <row r="10" ht="21.0" customHeight="1">
      <c r="A10" s="2"/>
      <c r="B10" s="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ht="21.0" customHeight="1">
      <c r="A11" s="16" t="s">
        <v>26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20"/>
      <c r="T11" s="20"/>
      <c r="U11" s="20"/>
      <c r="V11" s="20"/>
      <c r="W11" s="20"/>
      <c r="X11" s="20"/>
      <c r="Y11" s="20"/>
      <c r="Z11" s="20"/>
      <c r="AA11" s="20"/>
    </row>
    <row r="12" ht="21.0" customHeight="1">
      <c r="A12" s="7" t="s">
        <v>27</v>
      </c>
      <c r="B12" s="8" t="s">
        <v>21</v>
      </c>
      <c r="C12" s="14">
        <f t="shared" ref="C12:N12" si="11">SUM(C13:C15)</f>
        <v>2000</v>
      </c>
      <c r="D12" s="14">
        <f t="shared" si="11"/>
        <v>2000</v>
      </c>
      <c r="E12" s="14">
        <f t="shared" si="11"/>
        <v>2000</v>
      </c>
      <c r="F12" s="14">
        <f t="shared" si="11"/>
        <v>2000</v>
      </c>
      <c r="G12" s="14">
        <f t="shared" si="11"/>
        <v>2000</v>
      </c>
      <c r="H12" s="14">
        <f t="shared" si="11"/>
        <v>2000</v>
      </c>
      <c r="I12" s="14">
        <f t="shared" si="11"/>
        <v>2000</v>
      </c>
      <c r="J12" s="14">
        <f t="shared" si="11"/>
        <v>2000</v>
      </c>
      <c r="K12" s="14">
        <f t="shared" si="11"/>
        <v>2000</v>
      </c>
      <c r="L12" s="14">
        <f t="shared" si="11"/>
        <v>2000</v>
      </c>
      <c r="M12" s="14">
        <f t="shared" si="11"/>
        <v>2000</v>
      </c>
      <c r="N12" s="14">
        <f t="shared" si="11"/>
        <v>2000</v>
      </c>
      <c r="O12" s="14">
        <f t="shared" ref="O12:O15" si="14">SUM(C12:N12)</f>
        <v>24000</v>
      </c>
      <c r="P12" s="14">
        <f t="shared" ref="P12:R12" si="12">SUM(P13:P15)</f>
        <v>24000</v>
      </c>
      <c r="Q12" s="14">
        <f t="shared" si="12"/>
        <v>24000</v>
      </c>
      <c r="R12" s="15">
        <f t="shared" si="12"/>
        <v>24000</v>
      </c>
    </row>
    <row r="13" ht="21.0" customHeight="1">
      <c r="A13" s="12" t="s">
        <v>28</v>
      </c>
      <c r="B13" s="2" t="s">
        <v>21</v>
      </c>
      <c r="C13" s="13">
        <f t="shared" ref="C13:N13" si="13">$C$82</f>
        <v>500</v>
      </c>
      <c r="D13" s="13">
        <f t="shared" si="13"/>
        <v>500</v>
      </c>
      <c r="E13" s="13">
        <f t="shared" si="13"/>
        <v>500</v>
      </c>
      <c r="F13" s="13">
        <f t="shared" si="13"/>
        <v>500</v>
      </c>
      <c r="G13" s="13">
        <f t="shared" si="13"/>
        <v>500</v>
      </c>
      <c r="H13" s="13">
        <f t="shared" si="13"/>
        <v>500</v>
      </c>
      <c r="I13" s="13">
        <f t="shared" si="13"/>
        <v>500</v>
      </c>
      <c r="J13" s="13">
        <f t="shared" si="13"/>
        <v>500</v>
      </c>
      <c r="K13" s="13">
        <f t="shared" si="13"/>
        <v>500</v>
      </c>
      <c r="L13" s="13">
        <f t="shared" si="13"/>
        <v>500</v>
      </c>
      <c r="M13" s="13">
        <f t="shared" si="13"/>
        <v>500</v>
      </c>
      <c r="N13" s="13">
        <f t="shared" si="13"/>
        <v>500</v>
      </c>
      <c r="O13" s="13">
        <f t="shared" si="14"/>
        <v>6000</v>
      </c>
      <c r="P13" s="13">
        <f t="shared" ref="P13:R13" si="15">$C$82*12</f>
        <v>6000</v>
      </c>
      <c r="Q13" s="13">
        <f t="shared" si="15"/>
        <v>6000</v>
      </c>
      <c r="R13" s="13">
        <f t="shared" si="15"/>
        <v>6000</v>
      </c>
    </row>
    <row r="14" ht="21.0" customHeight="1">
      <c r="A14" s="12" t="s">
        <v>29</v>
      </c>
      <c r="B14" s="2" t="s">
        <v>21</v>
      </c>
      <c r="C14" s="13">
        <f t="shared" ref="C14:N14" si="16">$C$81</f>
        <v>500</v>
      </c>
      <c r="D14" s="13">
        <f t="shared" si="16"/>
        <v>500</v>
      </c>
      <c r="E14" s="13">
        <f t="shared" si="16"/>
        <v>500</v>
      </c>
      <c r="F14" s="13">
        <f t="shared" si="16"/>
        <v>500</v>
      </c>
      <c r="G14" s="13">
        <f t="shared" si="16"/>
        <v>500</v>
      </c>
      <c r="H14" s="13">
        <f t="shared" si="16"/>
        <v>500</v>
      </c>
      <c r="I14" s="13">
        <f t="shared" si="16"/>
        <v>500</v>
      </c>
      <c r="J14" s="13">
        <f t="shared" si="16"/>
        <v>500</v>
      </c>
      <c r="K14" s="13">
        <f t="shared" si="16"/>
        <v>500</v>
      </c>
      <c r="L14" s="13">
        <f t="shared" si="16"/>
        <v>500</v>
      </c>
      <c r="M14" s="13">
        <f t="shared" si="16"/>
        <v>500</v>
      </c>
      <c r="N14" s="13">
        <f t="shared" si="16"/>
        <v>500</v>
      </c>
      <c r="O14" s="13">
        <f t="shared" si="14"/>
        <v>6000</v>
      </c>
      <c r="P14" s="13">
        <f t="shared" ref="P14:R14" si="17">$C$81*12</f>
        <v>6000</v>
      </c>
      <c r="Q14" s="13">
        <f t="shared" si="17"/>
        <v>6000</v>
      </c>
      <c r="R14" s="13">
        <f t="shared" si="17"/>
        <v>6000</v>
      </c>
    </row>
    <row r="15" ht="21.0" customHeight="1">
      <c r="A15" s="12" t="s">
        <v>30</v>
      </c>
      <c r="B15" s="2" t="s">
        <v>21</v>
      </c>
      <c r="C15" s="13">
        <f t="shared" ref="C15:N15" si="18">$C$83</f>
        <v>1000</v>
      </c>
      <c r="D15" s="13">
        <f t="shared" si="18"/>
        <v>1000</v>
      </c>
      <c r="E15" s="13">
        <f t="shared" si="18"/>
        <v>1000</v>
      </c>
      <c r="F15" s="13">
        <f t="shared" si="18"/>
        <v>1000</v>
      </c>
      <c r="G15" s="13">
        <f t="shared" si="18"/>
        <v>1000</v>
      </c>
      <c r="H15" s="13">
        <f t="shared" si="18"/>
        <v>1000</v>
      </c>
      <c r="I15" s="13">
        <f t="shared" si="18"/>
        <v>1000</v>
      </c>
      <c r="J15" s="13">
        <f t="shared" si="18"/>
        <v>1000</v>
      </c>
      <c r="K15" s="13">
        <f t="shared" si="18"/>
        <v>1000</v>
      </c>
      <c r="L15" s="13">
        <f t="shared" si="18"/>
        <v>1000</v>
      </c>
      <c r="M15" s="13">
        <f t="shared" si="18"/>
        <v>1000</v>
      </c>
      <c r="N15" s="13">
        <f t="shared" si="18"/>
        <v>1000</v>
      </c>
      <c r="O15" s="13">
        <f t="shared" si="14"/>
        <v>12000</v>
      </c>
      <c r="P15" s="13">
        <f t="shared" ref="P15:R15" si="19">$C$83*12</f>
        <v>12000</v>
      </c>
      <c r="Q15" s="13">
        <f t="shared" si="19"/>
        <v>12000</v>
      </c>
      <c r="R15" s="13">
        <f t="shared" si="19"/>
        <v>12000</v>
      </c>
    </row>
    <row r="16" ht="21.0" customHeight="1">
      <c r="A16" s="12"/>
      <c r="B16" s="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ht="21.0" customHeight="1">
      <c r="A17" s="7" t="s">
        <v>31</v>
      </c>
      <c r="B17" s="8" t="s">
        <v>21</v>
      </c>
      <c r="C17" s="14">
        <f t="shared" ref="C17:N17" si="20">SUM(C18:C20)</f>
        <v>0</v>
      </c>
      <c r="D17" s="14">
        <f t="shared" si="20"/>
        <v>1800</v>
      </c>
      <c r="E17" s="14">
        <f t="shared" si="20"/>
        <v>0</v>
      </c>
      <c r="F17" s="14">
        <f t="shared" si="20"/>
        <v>1000</v>
      </c>
      <c r="G17" s="14">
        <f t="shared" si="20"/>
        <v>1000</v>
      </c>
      <c r="H17" s="14">
        <f t="shared" si="20"/>
        <v>1000</v>
      </c>
      <c r="I17" s="14">
        <f t="shared" si="20"/>
        <v>1000</v>
      </c>
      <c r="J17" s="14">
        <f t="shared" si="20"/>
        <v>1000</v>
      </c>
      <c r="K17" s="14">
        <f t="shared" si="20"/>
        <v>1000</v>
      </c>
      <c r="L17" s="14">
        <f t="shared" si="20"/>
        <v>1000</v>
      </c>
      <c r="M17" s="14">
        <f t="shared" si="20"/>
        <v>1000</v>
      </c>
      <c r="N17" s="14">
        <f t="shared" si="20"/>
        <v>1000</v>
      </c>
      <c r="O17" s="14">
        <f t="shared" ref="O17:O20" si="23">SUM(C17:N17)</f>
        <v>10800</v>
      </c>
      <c r="P17" s="14">
        <f t="shared" ref="P17:R17" si="21">SUM(P18:P20)</f>
        <v>0</v>
      </c>
      <c r="Q17" s="14">
        <f t="shared" si="21"/>
        <v>0</v>
      </c>
      <c r="R17" s="15">
        <f t="shared" si="21"/>
        <v>0</v>
      </c>
    </row>
    <row r="18" ht="21.0" customHeight="1">
      <c r="A18" s="12" t="s">
        <v>32</v>
      </c>
      <c r="B18" s="2" t="s">
        <v>21</v>
      </c>
      <c r="C18" s="13">
        <f t="shared" ref="C18:C20" si="25">$C$84*0</f>
        <v>0</v>
      </c>
      <c r="D18" s="13">
        <f>$C$84*0.3</f>
        <v>1800</v>
      </c>
      <c r="E18" s="13">
        <f t="shared" ref="E18:N18" si="22">$C$84*0</f>
        <v>0</v>
      </c>
      <c r="F18" s="13">
        <f t="shared" si="22"/>
        <v>0</v>
      </c>
      <c r="G18" s="13">
        <f t="shared" si="22"/>
        <v>0</v>
      </c>
      <c r="H18" s="13">
        <f t="shared" si="22"/>
        <v>0</v>
      </c>
      <c r="I18" s="13">
        <f t="shared" si="22"/>
        <v>0</v>
      </c>
      <c r="J18" s="13">
        <f t="shared" si="22"/>
        <v>0</v>
      </c>
      <c r="K18" s="13">
        <f t="shared" si="22"/>
        <v>0</v>
      </c>
      <c r="L18" s="13">
        <f t="shared" si="22"/>
        <v>0</v>
      </c>
      <c r="M18" s="13">
        <f t="shared" si="22"/>
        <v>0</v>
      </c>
      <c r="N18" s="13">
        <f t="shared" si="22"/>
        <v>0</v>
      </c>
      <c r="O18" s="13">
        <f t="shared" si="23"/>
        <v>1800</v>
      </c>
      <c r="P18" s="13">
        <f t="shared" ref="P18:R18" si="24">0</f>
        <v>0</v>
      </c>
      <c r="Q18" s="13">
        <f t="shared" si="24"/>
        <v>0</v>
      </c>
      <c r="R18" s="13">
        <f t="shared" si="24"/>
        <v>0</v>
      </c>
    </row>
    <row r="19" ht="21.0" customHeight="1">
      <c r="A19" s="12" t="s">
        <v>33</v>
      </c>
      <c r="B19" s="2" t="s">
        <v>21</v>
      </c>
      <c r="C19" s="13">
        <f t="shared" si="25"/>
        <v>0</v>
      </c>
      <c r="D19" s="13">
        <f t="shared" ref="D19:N19" si="26">$C$85*0</f>
        <v>0</v>
      </c>
      <c r="E19" s="13">
        <f t="shared" si="26"/>
        <v>0</v>
      </c>
      <c r="F19" s="13">
        <f t="shared" si="26"/>
        <v>0</v>
      </c>
      <c r="G19" s="13">
        <f t="shared" si="26"/>
        <v>0</v>
      </c>
      <c r="H19" s="13">
        <f t="shared" si="26"/>
        <v>0</v>
      </c>
      <c r="I19" s="13">
        <f t="shared" si="26"/>
        <v>0</v>
      </c>
      <c r="J19" s="13">
        <f t="shared" si="26"/>
        <v>0</v>
      </c>
      <c r="K19" s="13">
        <f t="shared" si="26"/>
        <v>0</v>
      </c>
      <c r="L19" s="13">
        <f t="shared" si="26"/>
        <v>0</v>
      </c>
      <c r="M19" s="13">
        <f t="shared" si="26"/>
        <v>0</v>
      </c>
      <c r="N19" s="13">
        <f t="shared" si="26"/>
        <v>0</v>
      </c>
      <c r="O19" s="13">
        <f t="shared" si="23"/>
        <v>0</v>
      </c>
      <c r="P19" s="13">
        <f t="shared" ref="P19:R19" si="27">0</f>
        <v>0</v>
      </c>
      <c r="Q19" s="13">
        <f t="shared" si="27"/>
        <v>0</v>
      </c>
      <c r="R19" s="13">
        <f t="shared" si="27"/>
        <v>0</v>
      </c>
    </row>
    <row r="20" ht="21.0" customHeight="1">
      <c r="A20" s="12" t="s">
        <v>34</v>
      </c>
      <c r="B20" s="2" t="s">
        <v>21</v>
      </c>
      <c r="C20" s="13">
        <f t="shared" si="25"/>
        <v>0</v>
      </c>
      <c r="D20" s="13">
        <f>$C$85*0</f>
        <v>0</v>
      </c>
      <c r="E20" s="13">
        <f>$C$86*0</f>
        <v>0</v>
      </c>
      <c r="F20" s="13">
        <f t="shared" ref="F20:N20" si="28">$C$86*0.25</f>
        <v>1000</v>
      </c>
      <c r="G20" s="13">
        <f t="shared" si="28"/>
        <v>1000</v>
      </c>
      <c r="H20" s="13">
        <f t="shared" si="28"/>
        <v>1000</v>
      </c>
      <c r="I20" s="13">
        <f t="shared" si="28"/>
        <v>1000</v>
      </c>
      <c r="J20" s="13">
        <f t="shared" si="28"/>
        <v>1000</v>
      </c>
      <c r="K20" s="13">
        <f t="shared" si="28"/>
        <v>1000</v>
      </c>
      <c r="L20" s="13">
        <f t="shared" si="28"/>
        <v>1000</v>
      </c>
      <c r="M20" s="13">
        <f t="shared" si="28"/>
        <v>1000</v>
      </c>
      <c r="N20" s="13">
        <f t="shared" si="28"/>
        <v>1000</v>
      </c>
      <c r="O20" s="13">
        <f t="shared" si="23"/>
        <v>9000</v>
      </c>
      <c r="P20" s="13">
        <f t="shared" ref="P20:R20" si="29">0</f>
        <v>0</v>
      </c>
      <c r="Q20" s="13">
        <f t="shared" si="29"/>
        <v>0</v>
      </c>
      <c r="R20" s="13">
        <f t="shared" si="29"/>
        <v>0</v>
      </c>
    </row>
    <row r="21" ht="21.0" customHeight="1">
      <c r="A21" s="12"/>
      <c r="B21" s="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ht="21.0" customHeight="1">
      <c r="A22" s="7" t="s">
        <v>35</v>
      </c>
      <c r="B22" s="8" t="s">
        <v>21</v>
      </c>
      <c r="C22" s="14">
        <f t="shared" ref="C22:N22" si="30">SUM(C23:C27)</f>
        <v>0</v>
      </c>
      <c r="D22" s="14">
        <f t="shared" si="30"/>
        <v>0</v>
      </c>
      <c r="E22" s="14">
        <f t="shared" si="30"/>
        <v>0</v>
      </c>
      <c r="F22" s="14">
        <f t="shared" si="30"/>
        <v>0</v>
      </c>
      <c r="G22" s="14">
        <f t="shared" si="30"/>
        <v>0</v>
      </c>
      <c r="H22" s="14">
        <f t="shared" si="30"/>
        <v>0</v>
      </c>
      <c r="I22" s="14">
        <f t="shared" si="30"/>
        <v>0</v>
      </c>
      <c r="J22" s="14">
        <f t="shared" si="30"/>
        <v>0</v>
      </c>
      <c r="K22" s="14">
        <f t="shared" si="30"/>
        <v>0</v>
      </c>
      <c r="L22" s="14">
        <f t="shared" si="30"/>
        <v>0</v>
      </c>
      <c r="M22" s="14">
        <f t="shared" si="30"/>
        <v>0</v>
      </c>
      <c r="N22" s="14">
        <f t="shared" si="30"/>
        <v>0</v>
      </c>
      <c r="O22" s="14">
        <f t="shared" ref="O22:O42" si="33">SUM(C22:N22)</f>
        <v>0</v>
      </c>
      <c r="P22" s="14">
        <f t="shared" ref="P22:R22" si="31">SUM(P23:P27)</f>
        <v>170403.3383</v>
      </c>
      <c r="Q22" s="14">
        <f t="shared" si="31"/>
        <v>640698.1472</v>
      </c>
      <c r="R22" s="15">
        <f t="shared" si="31"/>
        <v>1497051.78</v>
      </c>
    </row>
    <row r="23" ht="21.0" customHeight="1">
      <c r="A23" s="12" t="s">
        <v>36</v>
      </c>
      <c r="B23" s="2" t="s">
        <v>21</v>
      </c>
      <c r="C23" s="13">
        <f t="shared" ref="C23:N23" si="32">0</f>
        <v>0</v>
      </c>
      <c r="D23" s="13">
        <f t="shared" si="32"/>
        <v>0</v>
      </c>
      <c r="E23" s="13">
        <f t="shared" si="32"/>
        <v>0</v>
      </c>
      <c r="F23" s="13">
        <f t="shared" si="32"/>
        <v>0</v>
      </c>
      <c r="G23" s="13">
        <f t="shared" si="32"/>
        <v>0</v>
      </c>
      <c r="H23" s="13">
        <f t="shared" si="32"/>
        <v>0</v>
      </c>
      <c r="I23" s="13">
        <f t="shared" si="32"/>
        <v>0</v>
      </c>
      <c r="J23" s="13">
        <f t="shared" si="32"/>
        <v>0</v>
      </c>
      <c r="K23" s="13">
        <f t="shared" si="32"/>
        <v>0</v>
      </c>
      <c r="L23" s="13">
        <f t="shared" si="32"/>
        <v>0</v>
      </c>
      <c r="M23" s="13">
        <f t="shared" si="32"/>
        <v>0</v>
      </c>
      <c r="N23" s="13">
        <f t="shared" si="32"/>
        <v>0</v>
      </c>
      <c r="O23" s="13">
        <f t="shared" si="33"/>
        <v>0</v>
      </c>
      <c r="P23" s="13">
        <f t="shared" ref="P23:R23" si="34">P132/(1-$C$90)*$C$66</f>
        <v>26981.13333</v>
      </c>
      <c r="Q23" s="13">
        <f t="shared" si="34"/>
        <v>98475.44444</v>
      </c>
      <c r="R23" s="13">
        <f t="shared" si="34"/>
        <v>204009.2444</v>
      </c>
    </row>
    <row r="24" ht="21.0" customHeight="1">
      <c r="A24" s="12" t="s">
        <v>37</v>
      </c>
      <c r="B24" s="2" t="s">
        <v>21</v>
      </c>
      <c r="C24" s="13">
        <f t="shared" ref="C24:N24" si="35">0</f>
        <v>0</v>
      </c>
      <c r="D24" s="13">
        <f t="shared" si="35"/>
        <v>0</v>
      </c>
      <c r="E24" s="13">
        <f t="shared" si="35"/>
        <v>0</v>
      </c>
      <c r="F24" s="13">
        <f t="shared" si="35"/>
        <v>0</v>
      </c>
      <c r="G24" s="13">
        <f t="shared" si="35"/>
        <v>0</v>
      </c>
      <c r="H24" s="13">
        <f t="shared" si="35"/>
        <v>0</v>
      </c>
      <c r="I24" s="13">
        <f t="shared" si="35"/>
        <v>0</v>
      </c>
      <c r="J24" s="13">
        <f t="shared" si="35"/>
        <v>0</v>
      </c>
      <c r="K24" s="13">
        <f t="shared" si="35"/>
        <v>0</v>
      </c>
      <c r="L24" s="13">
        <f t="shared" si="35"/>
        <v>0</v>
      </c>
      <c r="M24" s="13">
        <f t="shared" si="35"/>
        <v>0</v>
      </c>
      <c r="N24" s="13">
        <f t="shared" si="35"/>
        <v>0</v>
      </c>
      <c r="O24" s="13">
        <f t="shared" si="33"/>
        <v>0</v>
      </c>
      <c r="P24" s="13">
        <f t="shared" ref="P24:R24" si="36">P132/(1-$C$90)*$C$67</f>
        <v>18185.405</v>
      </c>
      <c r="Q24" s="13">
        <f t="shared" si="36"/>
        <v>66372.89167</v>
      </c>
      <c r="R24" s="13">
        <f t="shared" si="36"/>
        <v>137503.1467</v>
      </c>
    </row>
    <row r="25" ht="21.0" customHeight="1">
      <c r="A25" s="12" t="s">
        <v>38</v>
      </c>
      <c r="B25" s="2" t="s">
        <v>21</v>
      </c>
      <c r="C25" s="13">
        <f t="shared" ref="C25:N25" si="37">0</f>
        <v>0</v>
      </c>
      <c r="D25" s="13">
        <f t="shared" si="37"/>
        <v>0</v>
      </c>
      <c r="E25" s="13">
        <f t="shared" si="37"/>
        <v>0</v>
      </c>
      <c r="F25" s="13">
        <f t="shared" si="37"/>
        <v>0</v>
      </c>
      <c r="G25" s="13">
        <f t="shared" si="37"/>
        <v>0</v>
      </c>
      <c r="H25" s="13">
        <f t="shared" si="37"/>
        <v>0</v>
      </c>
      <c r="I25" s="13">
        <f t="shared" si="37"/>
        <v>0</v>
      </c>
      <c r="J25" s="13">
        <f t="shared" si="37"/>
        <v>0</v>
      </c>
      <c r="K25" s="13">
        <f t="shared" si="37"/>
        <v>0</v>
      </c>
      <c r="L25" s="13">
        <f t="shared" si="37"/>
        <v>0</v>
      </c>
      <c r="M25" s="13">
        <f t="shared" si="37"/>
        <v>0</v>
      </c>
      <c r="N25" s="13">
        <f t="shared" si="37"/>
        <v>0</v>
      </c>
      <c r="O25" s="13">
        <f t="shared" si="33"/>
        <v>0</v>
      </c>
      <c r="P25" s="13">
        <f t="shared" ref="P25:R25" si="38">P132*$C$68/$C$65</f>
        <v>711</v>
      </c>
      <c r="Q25" s="13">
        <f t="shared" si="38"/>
        <v>2595</v>
      </c>
      <c r="R25" s="13">
        <f t="shared" si="38"/>
        <v>5376</v>
      </c>
    </row>
    <row r="26" ht="21.0" customHeight="1">
      <c r="A26" s="12" t="s">
        <v>39</v>
      </c>
      <c r="B26" s="2" t="s">
        <v>21</v>
      </c>
      <c r="C26" s="13">
        <f t="shared" ref="C26:N26" si="39">C61/(1-$C$90)*$C$69+C61*$C$70</f>
        <v>0</v>
      </c>
      <c r="D26" s="13">
        <f t="shared" si="39"/>
        <v>0</v>
      </c>
      <c r="E26" s="13">
        <f t="shared" si="39"/>
        <v>0</v>
      </c>
      <c r="F26" s="13">
        <f t="shared" si="39"/>
        <v>0</v>
      </c>
      <c r="G26" s="13">
        <f t="shared" si="39"/>
        <v>0</v>
      </c>
      <c r="H26" s="13">
        <f t="shared" si="39"/>
        <v>0</v>
      </c>
      <c r="I26" s="13">
        <f t="shared" si="39"/>
        <v>0</v>
      </c>
      <c r="J26" s="13">
        <f t="shared" si="39"/>
        <v>0</v>
      </c>
      <c r="K26" s="13">
        <f t="shared" si="39"/>
        <v>0</v>
      </c>
      <c r="L26" s="13">
        <f t="shared" si="39"/>
        <v>0</v>
      </c>
      <c r="M26" s="13">
        <f t="shared" si="39"/>
        <v>0</v>
      </c>
      <c r="N26" s="13">
        <f t="shared" si="39"/>
        <v>0</v>
      </c>
      <c r="O26" s="13">
        <f t="shared" si="33"/>
        <v>0</v>
      </c>
      <c r="P26" s="13">
        <f t="shared" ref="P26:R26" si="40">P61/(1-$C$90)*$C$69+P61*$C$70</f>
        <v>101857.8</v>
      </c>
      <c r="Q26" s="13">
        <f t="shared" si="40"/>
        <v>396752.8111</v>
      </c>
      <c r="R26" s="13">
        <f t="shared" si="40"/>
        <v>971733.3889</v>
      </c>
    </row>
    <row r="27" ht="21.0" customHeight="1">
      <c r="A27" s="12" t="s">
        <v>40</v>
      </c>
      <c r="B27" s="2" t="s">
        <v>21</v>
      </c>
      <c r="C27" s="13">
        <f t="shared" ref="C27:N27" si="41">SUM(C5:C6)*$C$91</f>
        <v>0</v>
      </c>
      <c r="D27" s="13">
        <f t="shared" si="41"/>
        <v>0</v>
      </c>
      <c r="E27" s="13">
        <f t="shared" si="41"/>
        <v>0</v>
      </c>
      <c r="F27" s="13">
        <f t="shared" si="41"/>
        <v>0</v>
      </c>
      <c r="G27" s="13">
        <f t="shared" si="41"/>
        <v>0</v>
      </c>
      <c r="H27" s="13">
        <f t="shared" si="41"/>
        <v>0</v>
      </c>
      <c r="I27" s="13">
        <f t="shared" si="41"/>
        <v>0</v>
      </c>
      <c r="J27" s="13">
        <f t="shared" si="41"/>
        <v>0</v>
      </c>
      <c r="K27" s="13">
        <f t="shared" si="41"/>
        <v>0</v>
      </c>
      <c r="L27" s="13">
        <f t="shared" si="41"/>
        <v>0</v>
      </c>
      <c r="M27" s="13">
        <f t="shared" si="41"/>
        <v>0</v>
      </c>
      <c r="N27" s="13">
        <f t="shared" si="41"/>
        <v>0</v>
      </c>
      <c r="O27" s="13">
        <f t="shared" si="33"/>
        <v>0</v>
      </c>
      <c r="P27" s="13">
        <f t="shared" ref="P27:R27" si="42">SUM(P5:P6)*$C$91</f>
        <v>22668</v>
      </c>
      <c r="Q27" s="13">
        <f t="shared" si="42"/>
        <v>76502</v>
      </c>
      <c r="R27" s="13">
        <f t="shared" si="42"/>
        <v>178430</v>
      </c>
    </row>
    <row r="28" ht="21.0" customHeight="1">
      <c r="A28" s="7" t="s">
        <v>41</v>
      </c>
      <c r="B28" s="8" t="s">
        <v>21</v>
      </c>
      <c r="C28" s="14">
        <f t="shared" ref="C28:N28" si="43">SUM(C29:C37)</f>
        <v>13700</v>
      </c>
      <c r="D28" s="14">
        <f t="shared" si="43"/>
        <v>13700</v>
      </c>
      <c r="E28" s="14">
        <f t="shared" si="43"/>
        <v>13700</v>
      </c>
      <c r="F28" s="14">
        <f t="shared" si="43"/>
        <v>13700</v>
      </c>
      <c r="G28" s="14">
        <f t="shared" si="43"/>
        <v>13700</v>
      </c>
      <c r="H28" s="14">
        <f t="shared" si="43"/>
        <v>13700</v>
      </c>
      <c r="I28" s="14">
        <f t="shared" si="43"/>
        <v>13700</v>
      </c>
      <c r="J28" s="14">
        <f t="shared" si="43"/>
        <v>13700</v>
      </c>
      <c r="K28" s="14">
        <f t="shared" si="43"/>
        <v>13700</v>
      </c>
      <c r="L28" s="14">
        <f t="shared" si="43"/>
        <v>13700</v>
      </c>
      <c r="M28" s="14">
        <f t="shared" si="43"/>
        <v>13700</v>
      </c>
      <c r="N28" s="14">
        <f t="shared" si="43"/>
        <v>13700</v>
      </c>
      <c r="O28" s="14">
        <f t="shared" si="33"/>
        <v>164400</v>
      </c>
      <c r="P28" s="14">
        <f t="shared" ref="P28:R28" si="44">SUM(P29:P37)</f>
        <v>18978.28819</v>
      </c>
      <c r="Q28" s="14">
        <f t="shared" si="44"/>
        <v>50241.58389</v>
      </c>
      <c r="R28" s="15">
        <f t="shared" si="44"/>
        <v>108305.691</v>
      </c>
    </row>
    <row r="29" ht="21.0" customHeight="1">
      <c r="A29" s="12" t="s">
        <v>42</v>
      </c>
      <c r="B29" s="2" t="s">
        <v>21</v>
      </c>
      <c r="C29" s="13">
        <f t="shared" ref="C29:N29" si="45">$C$71*$C$73*$C$77/$C$78</f>
        <v>6533.333333</v>
      </c>
      <c r="D29" s="13">
        <f t="shared" si="45"/>
        <v>6533.333333</v>
      </c>
      <c r="E29" s="13">
        <f t="shared" si="45"/>
        <v>6533.333333</v>
      </c>
      <c r="F29" s="13">
        <f t="shared" si="45"/>
        <v>6533.333333</v>
      </c>
      <c r="G29" s="13">
        <f t="shared" si="45"/>
        <v>6533.333333</v>
      </c>
      <c r="H29" s="13">
        <f t="shared" si="45"/>
        <v>6533.333333</v>
      </c>
      <c r="I29" s="13">
        <f t="shared" si="45"/>
        <v>6533.333333</v>
      </c>
      <c r="J29" s="13">
        <f t="shared" si="45"/>
        <v>6533.333333</v>
      </c>
      <c r="K29" s="13">
        <f t="shared" si="45"/>
        <v>6533.333333</v>
      </c>
      <c r="L29" s="13">
        <f t="shared" si="45"/>
        <v>6533.333333</v>
      </c>
      <c r="M29" s="13">
        <f t="shared" si="45"/>
        <v>6533.333333</v>
      </c>
      <c r="N29" s="13">
        <f t="shared" si="45"/>
        <v>6533.333333</v>
      </c>
      <c r="O29" s="13">
        <f t="shared" si="33"/>
        <v>78400</v>
      </c>
      <c r="P29" s="13">
        <f t="shared" ref="P29:R29" si="46">0</f>
        <v>0</v>
      </c>
      <c r="Q29" s="13">
        <f t="shared" si="46"/>
        <v>0</v>
      </c>
      <c r="R29" s="13">
        <f t="shared" si="46"/>
        <v>0</v>
      </c>
    </row>
    <row r="30" ht="21.0" customHeight="1">
      <c r="A30" s="12" t="s">
        <v>43</v>
      </c>
      <c r="B30" s="2" t="s">
        <v>21</v>
      </c>
      <c r="C30" s="13">
        <f t="shared" ref="C30:N30" si="47">$C$72*$C$74*$C$77/$C$78</f>
        <v>4666.666667</v>
      </c>
      <c r="D30" s="13">
        <f t="shared" si="47"/>
        <v>4666.666667</v>
      </c>
      <c r="E30" s="13">
        <f t="shared" si="47"/>
        <v>4666.666667</v>
      </c>
      <c r="F30" s="13">
        <f t="shared" si="47"/>
        <v>4666.666667</v>
      </c>
      <c r="G30" s="13">
        <f t="shared" si="47"/>
        <v>4666.666667</v>
      </c>
      <c r="H30" s="13">
        <f t="shared" si="47"/>
        <v>4666.666667</v>
      </c>
      <c r="I30" s="13">
        <f t="shared" si="47"/>
        <v>4666.666667</v>
      </c>
      <c r="J30" s="13">
        <f t="shared" si="47"/>
        <v>4666.666667</v>
      </c>
      <c r="K30" s="13">
        <f t="shared" si="47"/>
        <v>4666.666667</v>
      </c>
      <c r="L30" s="13">
        <f t="shared" si="47"/>
        <v>4666.666667</v>
      </c>
      <c r="M30" s="13">
        <f t="shared" si="47"/>
        <v>4666.666667</v>
      </c>
      <c r="N30" s="13">
        <f t="shared" si="47"/>
        <v>4666.666667</v>
      </c>
      <c r="O30" s="13">
        <f t="shared" si="33"/>
        <v>56000</v>
      </c>
      <c r="P30" s="13">
        <f t="shared" ref="P30:R30" si="48">0</f>
        <v>0</v>
      </c>
      <c r="Q30" s="13">
        <f t="shared" si="48"/>
        <v>0</v>
      </c>
      <c r="R30" s="13">
        <f t="shared" si="48"/>
        <v>0</v>
      </c>
    </row>
    <row r="31" ht="21.0" customHeight="1">
      <c r="A31" s="12" t="s">
        <v>44</v>
      </c>
      <c r="B31" s="2" t="s">
        <v>21</v>
      </c>
      <c r="C31" s="13">
        <f t="shared" ref="C31:N31" si="49">0</f>
        <v>0</v>
      </c>
      <c r="D31" s="13">
        <f t="shared" si="49"/>
        <v>0</v>
      </c>
      <c r="E31" s="13">
        <f t="shared" si="49"/>
        <v>0</v>
      </c>
      <c r="F31" s="13">
        <f t="shared" si="49"/>
        <v>0</v>
      </c>
      <c r="G31" s="13">
        <f t="shared" si="49"/>
        <v>0</v>
      </c>
      <c r="H31" s="13">
        <f t="shared" si="49"/>
        <v>0</v>
      </c>
      <c r="I31" s="13">
        <f t="shared" si="49"/>
        <v>0</v>
      </c>
      <c r="J31" s="13">
        <f t="shared" si="49"/>
        <v>0</v>
      </c>
      <c r="K31" s="13">
        <f t="shared" si="49"/>
        <v>0</v>
      </c>
      <c r="L31" s="13">
        <f t="shared" si="49"/>
        <v>0</v>
      </c>
      <c r="M31" s="13">
        <f t="shared" si="49"/>
        <v>0</v>
      </c>
      <c r="N31" s="13">
        <f t="shared" si="49"/>
        <v>0</v>
      </c>
      <c r="O31" s="13">
        <f t="shared" si="33"/>
        <v>0</v>
      </c>
      <c r="P31" s="13">
        <f t="shared" ref="P31:R31" si="50">0</f>
        <v>0</v>
      </c>
      <c r="Q31" s="13">
        <f t="shared" si="50"/>
        <v>0</v>
      </c>
      <c r="R31" s="13">
        <f t="shared" si="50"/>
        <v>0</v>
      </c>
    </row>
    <row r="32" ht="21.0" customHeight="1">
      <c r="A32" s="12" t="s">
        <v>45</v>
      </c>
      <c r="B32" s="2" t="s">
        <v>21</v>
      </c>
      <c r="C32" s="13">
        <f t="shared" ref="C32:N32" si="51">$C$88/5</f>
        <v>2000</v>
      </c>
      <c r="D32" s="13">
        <f t="shared" si="51"/>
        <v>2000</v>
      </c>
      <c r="E32" s="13">
        <f t="shared" si="51"/>
        <v>2000</v>
      </c>
      <c r="F32" s="13">
        <f t="shared" si="51"/>
        <v>2000</v>
      </c>
      <c r="G32" s="13">
        <f t="shared" si="51"/>
        <v>2000</v>
      </c>
      <c r="H32" s="13">
        <f t="shared" si="51"/>
        <v>2000</v>
      </c>
      <c r="I32" s="13">
        <f t="shared" si="51"/>
        <v>2000</v>
      </c>
      <c r="J32" s="13">
        <f t="shared" si="51"/>
        <v>2000</v>
      </c>
      <c r="K32" s="13">
        <f t="shared" si="51"/>
        <v>2000</v>
      </c>
      <c r="L32" s="13">
        <f t="shared" si="51"/>
        <v>2000</v>
      </c>
      <c r="M32" s="13">
        <f t="shared" si="51"/>
        <v>2000</v>
      </c>
      <c r="N32" s="13">
        <f t="shared" si="51"/>
        <v>2000</v>
      </c>
      <c r="O32" s="13">
        <f t="shared" si="33"/>
        <v>24000</v>
      </c>
      <c r="P32" s="13">
        <f t="shared" ref="P32:R32" si="52">0</f>
        <v>0</v>
      </c>
      <c r="Q32" s="13">
        <f t="shared" si="52"/>
        <v>0</v>
      </c>
      <c r="R32" s="13">
        <f t="shared" si="52"/>
        <v>0</v>
      </c>
    </row>
    <row r="33" ht="21.0" customHeight="1">
      <c r="A33" s="12" t="s">
        <v>46</v>
      </c>
      <c r="B33" s="2" t="s">
        <v>21</v>
      </c>
      <c r="C33" s="13">
        <f t="shared" ref="C33:N33" si="53">0</f>
        <v>0</v>
      </c>
      <c r="D33" s="13">
        <f t="shared" si="53"/>
        <v>0</v>
      </c>
      <c r="E33" s="13">
        <f t="shared" si="53"/>
        <v>0</v>
      </c>
      <c r="F33" s="13">
        <f t="shared" si="53"/>
        <v>0</v>
      </c>
      <c r="G33" s="13">
        <f t="shared" si="53"/>
        <v>0</v>
      </c>
      <c r="H33" s="13">
        <f t="shared" si="53"/>
        <v>0</v>
      </c>
      <c r="I33" s="13">
        <f t="shared" si="53"/>
        <v>0</v>
      </c>
      <c r="J33" s="13">
        <f t="shared" si="53"/>
        <v>0</v>
      </c>
      <c r="K33" s="13">
        <f t="shared" si="53"/>
        <v>0</v>
      </c>
      <c r="L33" s="13">
        <f t="shared" si="53"/>
        <v>0</v>
      </c>
      <c r="M33" s="13">
        <f t="shared" si="53"/>
        <v>0</v>
      </c>
      <c r="N33" s="13">
        <f t="shared" si="53"/>
        <v>0</v>
      </c>
      <c r="O33" s="13">
        <f t="shared" si="33"/>
        <v>0</v>
      </c>
      <c r="P33" s="13">
        <f t="shared" ref="P33:R33" si="54">0</f>
        <v>0</v>
      </c>
      <c r="Q33" s="13">
        <f t="shared" si="54"/>
        <v>0</v>
      </c>
      <c r="R33" s="13">
        <f t="shared" si="54"/>
        <v>0</v>
      </c>
    </row>
    <row r="34" ht="21.0" customHeight="1">
      <c r="A34" s="12" t="s">
        <v>47</v>
      </c>
      <c r="B34" s="2" t="s">
        <v>21</v>
      </c>
      <c r="C34" s="13">
        <f t="shared" ref="C34:N34" si="55">$C$103</f>
        <v>500</v>
      </c>
      <c r="D34" s="13">
        <f t="shared" si="55"/>
        <v>500</v>
      </c>
      <c r="E34" s="13">
        <f t="shared" si="55"/>
        <v>500</v>
      </c>
      <c r="F34" s="13">
        <f t="shared" si="55"/>
        <v>500</v>
      </c>
      <c r="G34" s="13">
        <f t="shared" si="55"/>
        <v>500</v>
      </c>
      <c r="H34" s="13">
        <f t="shared" si="55"/>
        <v>500</v>
      </c>
      <c r="I34" s="13">
        <f t="shared" si="55"/>
        <v>500</v>
      </c>
      <c r="J34" s="13">
        <f t="shared" si="55"/>
        <v>500</v>
      </c>
      <c r="K34" s="13">
        <f t="shared" si="55"/>
        <v>500</v>
      </c>
      <c r="L34" s="13">
        <f t="shared" si="55"/>
        <v>500</v>
      </c>
      <c r="M34" s="13">
        <f t="shared" si="55"/>
        <v>500</v>
      </c>
      <c r="N34" s="13">
        <f t="shared" si="55"/>
        <v>500</v>
      </c>
      <c r="O34" s="13">
        <f t="shared" si="33"/>
        <v>6000</v>
      </c>
      <c r="P34" s="13">
        <f t="shared" ref="P34:R34" si="56">$C$103*12</f>
        <v>6000</v>
      </c>
      <c r="Q34" s="13">
        <f t="shared" si="56"/>
        <v>6000</v>
      </c>
      <c r="R34" s="13">
        <f t="shared" si="56"/>
        <v>6000</v>
      </c>
    </row>
    <row r="35" ht="21.0" customHeight="1">
      <c r="A35" s="12" t="s">
        <v>48</v>
      </c>
      <c r="B35" s="2" t="s">
        <v>21</v>
      </c>
      <c r="C35" s="13">
        <f t="shared" ref="C35:N35" si="57">0</f>
        <v>0</v>
      </c>
      <c r="D35" s="13">
        <f t="shared" si="57"/>
        <v>0</v>
      </c>
      <c r="E35" s="13">
        <f t="shared" si="57"/>
        <v>0</v>
      </c>
      <c r="F35" s="13">
        <f t="shared" si="57"/>
        <v>0</v>
      </c>
      <c r="G35" s="13">
        <f t="shared" si="57"/>
        <v>0</v>
      </c>
      <c r="H35" s="13">
        <f t="shared" si="57"/>
        <v>0</v>
      </c>
      <c r="I35" s="13">
        <f t="shared" si="57"/>
        <v>0</v>
      </c>
      <c r="J35" s="13">
        <f t="shared" si="57"/>
        <v>0</v>
      </c>
      <c r="K35" s="13">
        <f t="shared" si="57"/>
        <v>0</v>
      </c>
      <c r="L35" s="13">
        <f t="shared" si="57"/>
        <v>0</v>
      </c>
      <c r="M35" s="13">
        <f t="shared" si="57"/>
        <v>0</v>
      </c>
      <c r="N35" s="13">
        <f t="shared" si="57"/>
        <v>0</v>
      </c>
      <c r="O35" s="13">
        <f t="shared" si="33"/>
        <v>0</v>
      </c>
      <c r="P35" s="13">
        <f t="shared" ref="P35:R35" si="58">0</f>
        <v>0</v>
      </c>
      <c r="Q35" s="13">
        <f t="shared" si="58"/>
        <v>0</v>
      </c>
      <c r="R35" s="13">
        <f t="shared" si="58"/>
        <v>0</v>
      </c>
    </row>
    <row r="36" ht="21.0" customHeight="1">
      <c r="A36" s="12" t="s">
        <v>49</v>
      </c>
      <c r="B36" s="2" t="s">
        <v>21</v>
      </c>
      <c r="C36" s="13">
        <f t="shared" ref="C36:N36" si="59">0</f>
        <v>0</v>
      </c>
      <c r="D36" s="13">
        <f t="shared" si="59"/>
        <v>0</v>
      </c>
      <c r="E36" s="13">
        <f t="shared" si="59"/>
        <v>0</v>
      </c>
      <c r="F36" s="13">
        <f t="shared" si="59"/>
        <v>0</v>
      </c>
      <c r="G36" s="13">
        <f t="shared" si="59"/>
        <v>0</v>
      </c>
      <c r="H36" s="13">
        <f t="shared" si="59"/>
        <v>0</v>
      </c>
      <c r="I36" s="13">
        <f t="shared" si="59"/>
        <v>0</v>
      </c>
      <c r="J36" s="13">
        <f t="shared" si="59"/>
        <v>0</v>
      </c>
      <c r="K36" s="13">
        <f t="shared" si="59"/>
        <v>0</v>
      </c>
      <c r="L36" s="13">
        <f t="shared" si="59"/>
        <v>0</v>
      </c>
      <c r="M36" s="13">
        <f t="shared" si="59"/>
        <v>0</v>
      </c>
      <c r="N36" s="13">
        <f t="shared" si="59"/>
        <v>0</v>
      </c>
      <c r="O36" s="13">
        <f t="shared" si="33"/>
        <v>0</v>
      </c>
      <c r="P36" s="13">
        <f>'Plan comercial'!C65</f>
        <v>3450</v>
      </c>
      <c r="Q36" s="13">
        <f>'Plan comercial'!D65</f>
        <v>7125</v>
      </c>
      <c r="R36" s="13">
        <f>'Plan comercial'!E65</f>
        <v>11400</v>
      </c>
    </row>
    <row r="37" ht="21.0" customHeight="1">
      <c r="A37" s="12" t="s">
        <v>50</v>
      </c>
      <c r="B37" s="2" t="s">
        <v>21</v>
      </c>
      <c r="C37" s="13">
        <f t="shared" ref="C37:N37" si="60">0</f>
        <v>0</v>
      </c>
      <c r="D37" s="13">
        <f t="shared" si="60"/>
        <v>0</v>
      </c>
      <c r="E37" s="13">
        <f t="shared" si="60"/>
        <v>0</v>
      </c>
      <c r="F37" s="13">
        <f t="shared" si="60"/>
        <v>0</v>
      </c>
      <c r="G37" s="13">
        <f t="shared" si="60"/>
        <v>0</v>
      </c>
      <c r="H37" s="13">
        <f t="shared" si="60"/>
        <v>0</v>
      </c>
      <c r="I37" s="13">
        <f t="shared" si="60"/>
        <v>0</v>
      </c>
      <c r="J37" s="13">
        <f t="shared" si="60"/>
        <v>0</v>
      </c>
      <c r="K37" s="13">
        <f t="shared" si="60"/>
        <v>0</v>
      </c>
      <c r="L37" s="13">
        <f t="shared" si="60"/>
        <v>0</v>
      </c>
      <c r="M37" s="13">
        <f t="shared" si="60"/>
        <v>0</v>
      </c>
      <c r="N37" s="13">
        <f t="shared" si="60"/>
        <v>0</v>
      </c>
      <c r="O37" s="13">
        <f t="shared" si="33"/>
        <v>0</v>
      </c>
      <c r="P37" s="13">
        <f t="shared" ref="P37:R37" si="61">P60*$C$94/100*$C$95*12</f>
        <v>9528.288191</v>
      </c>
      <c r="Q37" s="13">
        <f t="shared" si="61"/>
        <v>37116.58389</v>
      </c>
      <c r="R37" s="13">
        <f t="shared" si="61"/>
        <v>90905.69104</v>
      </c>
    </row>
    <row r="38" ht="21.0" customHeight="1">
      <c r="A38" s="7" t="s">
        <v>51</v>
      </c>
      <c r="B38" s="8" t="s">
        <v>21</v>
      </c>
      <c r="C38" s="14">
        <f t="shared" ref="C38:N38" si="62">SUM(C39:C40)</f>
        <v>0</v>
      </c>
      <c r="D38" s="14">
        <f t="shared" si="62"/>
        <v>0</v>
      </c>
      <c r="E38" s="14">
        <f t="shared" si="62"/>
        <v>0</v>
      </c>
      <c r="F38" s="14">
        <f t="shared" si="62"/>
        <v>0</v>
      </c>
      <c r="G38" s="14">
        <f t="shared" si="62"/>
        <v>0</v>
      </c>
      <c r="H38" s="14">
        <f t="shared" si="62"/>
        <v>0</v>
      </c>
      <c r="I38" s="14">
        <f t="shared" si="62"/>
        <v>0</v>
      </c>
      <c r="J38" s="14">
        <f t="shared" si="62"/>
        <v>0</v>
      </c>
      <c r="K38" s="14">
        <f t="shared" si="62"/>
        <v>0</v>
      </c>
      <c r="L38" s="14">
        <f t="shared" si="62"/>
        <v>0</v>
      </c>
      <c r="M38" s="14">
        <f t="shared" si="62"/>
        <v>0</v>
      </c>
      <c r="N38" s="14">
        <f t="shared" si="62"/>
        <v>0</v>
      </c>
      <c r="O38" s="14">
        <f t="shared" si="33"/>
        <v>0</v>
      </c>
      <c r="P38" s="14">
        <f t="shared" ref="P38:R38" si="63">SUM(P39:P40)</f>
        <v>54000</v>
      </c>
      <c r="Q38" s="14">
        <f t="shared" si="63"/>
        <v>102000</v>
      </c>
      <c r="R38" s="15">
        <f t="shared" si="63"/>
        <v>150000</v>
      </c>
    </row>
    <row r="39" ht="21.0" customHeight="1">
      <c r="A39" s="2" t="s">
        <v>52</v>
      </c>
      <c r="B39" s="2" t="s">
        <v>21</v>
      </c>
      <c r="C39" s="13">
        <f t="shared" ref="C39:N39" si="64">0</f>
        <v>0</v>
      </c>
      <c r="D39" s="13">
        <f t="shared" si="64"/>
        <v>0</v>
      </c>
      <c r="E39" s="13">
        <f t="shared" si="64"/>
        <v>0</v>
      </c>
      <c r="F39" s="13">
        <f t="shared" si="64"/>
        <v>0</v>
      </c>
      <c r="G39" s="13">
        <f t="shared" si="64"/>
        <v>0</v>
      </c>
      <c r="H39" s="13">
        <f t="shared" si="64"/>
        <v>0</v>
      </c>
      <c r="I39" s="13">
        <f t="shared" si="64"/>
        <v>0</v>
      </c>
      <c r="J39" s="13">
        <f t="shared" si="64"/>
        <v>0</v>
      </c>
      <c r="K39" s="13">
        <f t="shared" si="64"/>
        <v>0</v>
      </c>
      <c r="L39" s="13">
        <f t="shared" si="64"/>
        <v>0</v>
      </c>
      <c r="M39" s="13">
        <f t="shared" si="64"/>
        <v>0</v>
      </c>
      <c r="N39" s="13">
        <f t="shared" si="64"/>
        <v>0</v>
      </c>
      <c r="O39" s="13">
        <f t="shared" si="33"/>
        <v>0</v>
      </c>
      <c r="P39" s="13">
        <f t="shared" ref="P39:R39" si="65">P133*$C$92*12</f>
        <v>30000</v>
      </c>
      <c r="Q39" s="13">
        <f t="shared" si="65"/>
        <v>60000</v>
      </c>
      <c r="R39" s="13">
        <f t="shared" si="65"/>
        <v>90000</v>
      </c>
    </row>
    <row r="40" ht="21.0" customHeight="1">
      <c r="A40" s="2" t="s">
        <v>53</v>
      </c>
      <c r="B40" s="2" t="s">
        <v>21</v>
      </c>
      <c r="C40" s="13">
        <f t="shared" ref="C40:N40" si="66">0</f>
        <v>0</v>
      </c>
      <c r="D40" s="13">
        <f t="shared" si="66"/>
        <v>0</v>
      </c>
      <c r="E40" s="13">
        <f t="shared" si="66"/>
        <v>0</v>
      </c>
      <c r="F40" s="13">
        <f t="shared" si="66"/>
        <v>0</v>
      </c>
      <c r="G40" s="13">
        <f t="shared" si="66"/>
        <v>0</v>
      </c>
      <c r="H40" s="13">
        <f t="shared" si="66"/>
        <v>0</v>
      </c>
      <c r="I40" s="13">
        <f t="shared" si="66"/>
        <v>0</v>
      </c>
      <c r="J40" s="13">
        <f t="shared" si="66"/>
        <v>0</v>
      </c>
      <c r="K40" s="13">
        <f t="shared" si="66"/>
        <v>0</v>
      </c>
      <c r="L40" s="13">
        <f t="shared" si="66"/>
        <v>0</v>
      </c>
      <c r="M40" s="13">
        <f t="shared" si="66"/>
        <v>0</v>
      </c>
      <c r="N40" s="13">
        <f t="shared" si="66"/>
        <v>0</v>
      </c>
      <c r="O40" s="13">
        <f t="shared" si="33"/>
        <v>0</v>
      </c>
      <c r="P40" s="13">
        <f t="shared" ref="P40:R40" si="67">P134*12</f>
        <v>24000</v>
      </c>
      <c r="Q40" s="13">
        <f t="shared" si="67"/>
        <v>42000</v>
      </c>
      <c r="R40" s="13">
        <f t="shared" si="67"/>
        <v>60000</v>
      </c>
    </row>
    <row r="41" ht="21.0" customHeight="1">
      <c r="A41" s="16" t="s">
        <v>54</v>
      </c>
      <c r="B41" s="17" t="s">
        <v>21</v>
      </c>
      <c r="C41" s="18">
        <f t="shared" ref="C41:N41" si="68">SUM(C12,C17,C22,C28,C38)</f>
        <v>15700</v>
      </c>
      <c r="D41" s="18">
        <f t="shared" si="68"/>
        <v>17500</v>
      </c>
      <c r="E41" s="18">
        <f t="shared" si="68"/>
        <v>15700</v>
      </c>
      <c r="F41" s="18">
        <f t="shared" si="68"/>
        <v>16700</v>
      </c>
      <c r="G41" s="18">
        <f t="shared" si="68"/>
        <v>16700</v>
      </c>
      <c r="H41" s="18">
        <f t="shared" si="68"/>
        <v>16700</v>
      </c>
      <c r="I41" s="18">
        <f t="shared" si="68"/>
        <v>16700</v>
      </c>
      <c r="J41" s="18">
        <f t="shared" si="68"/>
        <v>16700</v>
      </c>
      <c r="K41" s="18">
        <f t="shared" si="68"/>
        <v>16700</v>
      </c>
      <c r="L41" s="18">
        <f t="shared" si="68"/>
        <v>16700</v>
      </c>
      <c r="M41" s="18">
        <f t="shared" si="68"/>
        <v>16700</v>
      </c>
      <c r="N41" s="18">
        <f t="shared" si="68"/>
        <v>16700</v>
      </c>
      <c r="O41" s="18">
        <f t="shared" si="33"/>
        <v>199200</v>
      </c>
      <c r="P41" s="18">
        <f t="shared" ref="P41:R41" si="69">SUM(P12,P17,P22,P28,P38)</f>
        <v>267381.6265</v>
      </c>
      <c r="Q41" s="18">
        <f t="shared" si="69"/>
        <v>816939.7311</v>
      </c>
      <c r="R41" s="19">
        <f t="shared" si="69"/>
        <v>1779357.471</v>
      </c>
      <c r="S41" s="20"/>
      <c r="T41" s="20"/>
      <c r="U41" s="20"/>
      <c r="V41" s="20"/>
      <c r="W41" s="20"/>
      <c r="X41" s="20"/>
      <c r="Y41" s="20"/>
      <c r="Z41" s="20"/>
      <c r="AA41" s="20"/>
    </row>
    <row r="42" ht="21.0" customHeight="1">
      <c r="A42" s="12" t="s">
        <v>55</v>
      </c>
      <c r="B42" s="12" t="s">
        <v>21</v>
      </c>
      <c r="C42" s="21">
        <f t="shared" ref="C42:N42" si="70">C9-C41</f>
        <v>183500</v>
      </c>
      <c r="D42" s="21">
        <f t="shared" si="70"/>
        <v>-17500</v>
      </c>
      <c r="E42" s="21">
        <f t="shared" si="70"/>
        <v>-15700</v>
      </c>
      <c r="F42" s="21">
        <f t="shared" si="70"/>
        <v>-16700</v>
      </c>
      <c r="G42" s="21">
        <f t="shared" si="70"/>
        <v>-16700</v>
      </c>
      <c r="H42" s="21">
        <f t="shared" si="70"/>
        <v>-16700</v>
      </c>
      <c r="I42" s="21">
        <f t="shared" si="70"/>
        <v>-16700</v>
      </c>
      <c r="J42" s="21">
        <f t="shared" si="70"/>
        <v>-16700</v>
      </c>
      <c r="K42" s="21">
        <f t="shared" si="70"/>
        <v>-16700</v>
      </c>
      <c r="L42" s="21">
        <f t="shared" si="70"/>
        <v>-16700</v>
      </c>
      <c r="M42" s="21">
        <f t="shared" si="70"/>
        <v>-16700</v>
      </c>
      <c r="N42" s="21">
        <f t="shared" si="70"/>
        <v>-16700</v>
      </c>
      <c r="O42" s="21">
        <f t="shared" si="33"/>
        <v>0</v>
      </c>
      <c r="P42" s="21">
        <f t="shared" ref="P42:R42" si="71">P9-P41</f>
        <v>15968.37348</v>
      </c>
      <c r="Q42" s="21">
        <f t="shared" si="71"/>
        <v>139335.2689</v>
      </c>
      <c r="R42" s="21">
        <f t="shared" si="71"/>
        <v>451017.529</v>
      </c>
    </row>
    <row r="43" ht="21.0" customHeight="1">
      <c r="A43" s="22" t="s">
        <v>56</v>
      </c>
      <c r="B43" s="22" t="s">
        <v>21</v>
      </c>
      <c r="C43" s="23">
        <f>C42</f>
        <v>183500</v>
      </c>
      <c r="D43" s="23">
        <f t="shared" ref="D43:N43" si="72">C43+D42</f>
        <v>166000</v>
      </c>
      <c r="E43" s="23">
        <f t="shared" si="72"/>
        <v>150300</v>
      </c>
      <c r="F43" s="23">
        <f t="shared" si="72"/>
        <v>133600</v>
      </c>
      <c r="G43" s="23">
        <f t="shared" si="72"/>
        <v>116900</v>
      </c>
      <c r="H43" s="23">
        <f t="shared" si="72"/>
        <v>100200</v>
      </c>
      <c r="I43" s="23">
        <f t="shared" si="72"/>
        <v>83500</v>
      </c>
      <c r="J43" s="23">
        <f t="shared" si="72"/>
        <v>66800</v>
      </c>
      <c r="K43" s="23">
        <f t="shared" si="72"/>
        <v>50100</v>
      </c>
      <c r="L43" s="23">
        <f t="shared" si="72"/>
        <v>33400</v>
      </c>
      <c r="M43" s="23">
        <f t="shared" si="72"/>
        <v>16700</v>
      </c>
      <c r="N43" s="23">
        <f t="shared" si="72"/>
        <v>0</v>
      </c>
      <c r="O43" s="23">
        <f>N43</f>
        <v>0</v>
      </c>
      <c r="P43" s="23">
        <f>N43+P42</f>
        <v>15968.37348</v>
      </c>
      <c r="Q43" s="23">
        <f t="shared" ref="Q43:R43" si="73">P43+Q42</f>
        <v>155303.6424</v>
      </c>
      <c r="R43" s="23">
        <f t="shared" si="73"/>
        <v>606321.1713</v>
      </c>
      <c r="S43" s="24"/>
      <c r="T43" s="24"/>
      <c r="U43" s="24"/>
      <c r="V43" s="24"/>
      <c r="W43" s="24"/>
      <c r="X43" s="24"/>
      <c r="Y43" s="24"/>
      <c r="Z43" s="24"/>
      <c r="AA43" s="24"/>
    </row>
    <row r="44" ht="21.0" customHeight="1">
      <c r="A44" s="2"/>
      <c r="B44" s="2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</row>
    <row r="45" ht="21.0" customHeight="1">
      <c r="A45" s="12" t="s">
        <v>57</v>
      </c>
      <c r="B45" s="12" t="s">
        <v>21</v>
      </c>
      <c r="C45" s="26">
        <f t="shared" ref="C45:N45" si="74">SUM(C5:C7)-C41</f>
        <v>-15700</v>
      </c>
      <c r="D45" s="26">
        <f t="shared" si="74"/>
        <v>-17500</v>
      </c>
      <c r="E45" s="26">
        <f t="shared" si="74"/>
        <v>-15700</v>
      </c>
      <c r="F45" s="26">
        <f t="shared" si="74"/>
        <v>-16700</v>
      </c>
      <c r="G45" s="26">
        <f t="shared" si="74"/>
        <v>-16700</v>
      </c>
      <c r="H45" s="26">
        <f t="shared" si="74"/>
        <v>-16700</v>
      </c>
      <c r="I45" s="26">
        <f t="shared" si="74"/>
        <v>-16700</v>
      </c>
      <c r="J45" s="26">
        <f t="shared" si="74"/>
        <v>-16700</v>
      </c>
      <c r="K45" s="26">
        <f t="shared" si="74"/>
        <v>-16700</v>
      </c>
      <c r="L45" s="26">
        <f t="shared" si="74"/>
        <v>-16700</v>
      </c>
      <c r="M45" s="26">
        <f t="shared" si="74"/>
        <v>-16700</v>
      </c>
      <c r="N45" s="26">
        <f t="shared" si="74"/>
        <v>-16700</v>
      </c>
      <c r="O45" s="26">
        <f>SUM(C45:N45)</f>
        <v>-199200</v>
      </c>
      <c r="P45" s="26">
        <f t="shared" ref="P45:R45" si="75">SUM(P5:P7)-P41</f>
        <v>15968.37348</v>
      </c>
      <c r="Q45" s="26">
        <f t="shared" si="75"/>
        <v>139335.2689</v>
      </c>
      <c r="R45" s="26">
        <f t="shared" si="75"/>
        <v>451017.529</v>
      </c>
    </row>
    <row r="46" ht="21.0" customHeight="1">
      <c r="A46" s="12" t="s">
        <v>58</v>
      </c>
      <c r="B46" s="12" t="s">
        <v>21</v>
      </c>
      <c r="C46" s="26">
        <f>C45</f>
        <v>-15700</v>
      </c>
      <c r="D46" s="26">
        <f t="shared" ref="D46:N46" si="76">C46+D45</f>
        <v>-33200</v>
      </c>
      <c r="E46" s="26">
        <f t="shared" si="76"/>
        <v>-48900</v>
      </c>
      <c r="F46" s="26">
        <f t="shared" si="76"/>
        <v>-65600</v>
      </c>
      <c r="G46" s="26">
        <f t="shared" si="76"/>
        <v>-82300</v>
      </c>
      <c r="H46" s="26">
        <f t="shared" si="76"/>
        <v>-99000</v>
      </c>
      <c r="I46" s="26">
        <f t="shared" si="76"/>
        <v>-115700</v>
      </c>
      <c r="J46" s="26">
        <f t="shared" si="76"/>
        <v>-132400</v>
      </c>
      <c r="K46" s="26">
        <f t="shared" si="76"/>
        <v>-149100</v>
      </c>
      <c r="L46" s="26">
        <f t="shared" si="76"/>
        <v>-165800</v>
      </c>
      <c r="M46" s="26">
        <f t="shared" si="76"/>
        <v>-182500</v>
      </c>
      <c r="N46" s="26">
        <f t="shared" si="76"/>
        <v>-199200</v>
      </c>
      <c r="O46" s="26">
        <f>N46</f>
        <v>-199200</v>
      </c>
      <c r="P46" s="26">
        <f>N46+P45</f>
        <v>-183231.6265</v>
      </c>
      <c r="Q46" s="26">
        <f t="shared" ref="Q46:R46" si="77">P46+Q45</f>
        <v>-43896.35764</v>
      </c>
      <c r="R46" s="26">
        <f t="shared" si="77"/>
        <v>407121.1713</v>
      </c>
    </row>
    <row r="47" ht="21.0" customHeight="1">
      <c r="A47" s="2"/>
      <c r="B47" s="2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</row>
    <row r="48" ht="21.0" customHeight="1">
      <c r="A48" s="7" t="s">
        <v>59</v>
      </c>
      <c r="B48" s="8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8"/>
    </row>
    <row r="49" ht="21.0" customHeight="1">
      <c r="A49" s="2" t="s">
        <v>60</v>
      </c>
      <c r="B49" s="2" t="s">
        <v>21</v>
      </c>
      <c r="C49" s="25">
        <f>SUM(O5:R6)</f>
        <v>3470000</v>
      </c>
      <c r="D49" s="25"/>
      <c r="E49" s="26" t="s">
        <v>61</v>
      </c>
      <c r="F49" s="26"/>
      <c r="G49" s="26">
        <f>XNPV(C153,G166:G181,F166:F181)</f>
        <v>128591.039</v>
      </c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ht="21.0" customHeight="1">
      <c r="A50" s="2" t="s">
        <v>62</v>
      </c>
      <c r="B50" s="2" t="s">
        <v>21</v>
      </c>
      <c r="C50" s="25">
        <f>SUM(O41:R41)</f>
        <v>3062878.829</v>
      </c>
      <c r="D50" s="25"/>
      <c r="E50" s="26" t="s">
        <v>63</v>
      </c>
      <c r="F50" s="26"/>
      <c r="G50" s="29">
        <f>XIRR(G166:G181,F166:F181,20%)</f>
        <v>0.4257123635</v>
      </c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ht="21.0" customHeight="1">
      <c r="A51" s="2" t="s">
        <v>64</v>
      </c>
      <c r="B51" s="2" t="s">
        <v>21</v>
      </c>
      <c r="C51" s="25">
        <f>SUM(O45:R45)</f>
        <v>407121.1713</v>
      </c>
      <c r="D51" s="25"/>
      <c r="E51" s="26" t="s">
        <v>65</v>
      </c>
      <c r="F51" s="26"/>
      <c r="G51" s="30">
        <f>$C$96</f>
        <v>0.2</v>
      </c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ht="21.0" customHeight="1">
      <c r="A52" s="12" t="s">
        <v>66</v>
      </c>
      <c r="B52" s="12" t="s">
        <v>21</v>
      </c>
      <c r="C52" s="26">
        <f>MAX(0,-MIN(C46:N46,P46:R46))</f>
        <v>199200</v>
      </c>
      <c r="D52" s="26"/>
      <c r="E52" s="26" t="s">
        <v>67</v>
      </c>
      <c r="F52" s="26"/>
      <c r="G52" s="26">
        <f>$C$73+$C$74</f>
        <v>4</v>
      </c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</row>
    <row r="53" ht="21.0" customHeight="1">
      <c r="A53" s="2" t="s">
        <v>68</v>
      </c>
      <c r="B53" s="2" t="s">
        <v>21</v>
      </c>
      <c r="C53" s="25">
        <f>C52+C97</f>
        <v>199200</v>
      </c>
      <c r="D53" s="25"/>
      <c r="E53" s="25" t="s">
        <v>69</v>
      </c>
      <c r="F53" s="25"/>
      <c r="G53" s="25">
        <f>($C$73+$C$74)*$C$75*$C$76</f>
        <v>7680</v>
      </c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ht="21.0" customHeight="1">
      <c r="A54" s="12" t="s">
        <v>70</v>
      </c>
      <c r="B54" s="12" t="s">
        <v>21</v>
      </c>
      <c r="C54" s="26">
        <f>R43</f>
        <v>606321.1713</v>
      </c>
      <c r="D54" s="26"/>
      <c r="E54" s="26" t="s">
        <v>71</v>
      </c>
      <c r="F54" s="26"/>
      <c r="G54" s="26" t="s">
        <v>16</v>
      </c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</row>
    <row r="55" ht="21.0" customHeight="1">
      <c r="A55" s="2" t="s">
        <v>72</v>
      </c>
      <c r="B55" s="2" t="s">
        <v>21</v>
      </c>
      <c r="C55" s="25">
        <f>O41</f>
        <v>199200</v>
      </c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ht="21.0" customHeight="1">
      <c r="A56" s="2" t="s">
        <v>73</v>
      </c>
      <c r="B56" s="2" t="s">
        <v>21</v>
      </c>
      <c r="C56" s="25">
        <f>O41-SUM(C41:N41)</f>
        <v>0</v>
      </c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</row>
    <row r="57" ht="21.0" customHeight="1">
      <c r="A57" s="2"/>
      <c r="B57" s="2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ht="21.0" customHeight="1">
      <c r="A58" s="7" t="s">
        <v>74</v>
      </c>
      <c r="B58" s="8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8"/>
    </row>
    <row r="59" ht="21.0" customHeight="1">
      <c r="A59" s="2" t="s">
        <v>75</v>
      </c>
      <c r="B59" s="2" t="s">
        <v>76</v>
      </c>
      <c r="C59" s="31">
        <f t="shared" ref="C59:N59" si="78">0</f>
        <v>0</v>
      </c>
      <c r="D59" s="31">
        <f t="shared" si="78"/>
        <v>0</v>
      </c>
      <c r="E59" s="31">
        <f t="shared" si="78"/>
        <v>0</v>
      </c>
      <c r="F59" s="31">
        <f t="shared" si="78"/>
        <v>0</v>
      </c>
      <c r="G59" s="31">
        <f t="shared" si="78"/>
        <v>0</v>
      </c>
      <c r="H59" s="31">
        <f t="shared" si="78"/>
        <v>0</v>
      </c>
      <c r="I59" s="31">
        <f t="shared" si="78"/>
        <v>0</v>
      </c>
      <c r="J59" s="31">
        <f t="shared" si="78"/>
        <v>0</v>
      </c>
      <c r="K59" s="31">
        <f t="shared" si="78"/>
        <v>0</v>
      </c>
      <c r="L59" s="31">
        <f t="shared" si="78"/>
        <v>0</v>
      </c>
      <c r="M59" s="31">
        <f t="shared" si="78"/>
        <v>0</v>
      </c>
      <c r="N59" s="31">
        <f t="shared" si="78"/>
        <v>0</v>
      </c>
      <c r="O59" s="31">
        <f>SUM(C59:N59)</f>
        <v>0</v>
      </c>
      <c r="P59" s="31">
        <f t="shared" ref="P59:R59" si="79">P131</f>
        <v>300</v>
      </c>
      <c r="Q59" s="31">
        <f t="shared" si="79"/>
        <v>800</v>
      </c>
      <c r="R59" s="31">
        <f t="shared" si="79"/>
        <v>1680</v>
      </c>
    </row>
    <row r="60" ht="21.0" customHeight="1">
      <c r="A60" s="2" t="s">
        <v>77</v>
      </c>
      <c r="B60" s="2" t="s">
        <v>78</v>
      </c>
      <c r="C60" s="31">
        <f>0</f>
        <v>0</v>
      </c>
      <c r="D60" s="31">
        <f t="shared" ref="D60:N60" si="80">C60*$C$101+C59</f>
        <v>0</v>
      </c>
      <c r="E60" s="31">
        <f t="shared" si="80"/>
        <v>0</v>
      </c>
      <c r="F60" s="31">
        <f t="shared" si="80"/>
        <v>0</v>
      </c>
      <c r="G60" s="31">
        <f t="shared" si="80"/>
        <v>0</v>
      </c>
      <c r="H60" s="31">
        <f t="shared" si="80"/>
        <v>0</v>
      </c>
      <c r="I60" s="31">
        <f t="shared" si="80"/>
        <v>0</v>
      </c>
      <c r="J60" s="31">
        <f t="shared" si="80"/>
        <v>0</v>
      </c>
      <c r="K60" s="31">
        <f t="shared" si="80"/>
        <v>0</v>
      </c>
      <c r="L60" s="31">
        <f t="shared" si="80"/>
        <v>0</v>
      </c>
      <c r="M60" s="31">
        <f t="shared" si="80"/>
        <v>0</v>
      </c>
      <c r="N60" s="31">
        <f t="shared" si="80"/>
        <v>0</v>
      </c>
      <c r="O60" s="31">
        <f>AVERAGE(C60:N60)</f>
        <v>0</v>
      </c>
      <c r="P60" s="31">
        <f t="shared" ref="P60:R60" si="81">(P140*P138+P131/P137*P139)/P137</f>
        <v>136.1184027</v>
      </c>
      <c r="Q60" s="31">
        <f t="shared" si="81"/>
        <v>530.2369128</v>
      </c>
      <c r="R60" s="31">
        <f t="shared" si="81"/>
        <v>1298.652729</v>
      </c>
    </row>
    <row r="61" ht="21.0" customHeight="1">
      <c r="A61" s="2" t="s">
        <v>79</v>
      </c>
      <c r="B61" s="2" t="s">
        <v>76</v>
      </c>
      <c r="C61" s="31">
        <f t="shared" ref="C61:N61" si="82">ROUND(C60*$C$100,0)</f>
        <v>0</v>
      </c>
      <c r="D61" s="31">
        <f t="shared" si="82"/>
        <v>0</v>
      </c>
      <c r="E61" s="31">
        <f t="shared" si="82"/>
        <v>0</v>
      </c>
      <c r="F61" s="31">
        <f t="shared" si="82"/>
        <v>0</v>
      </c>
      <c r="G61" s="31">
        <f t="shared" si="82"/>
        <v>0</v>
      </c>
      <c r="H61" s="31">
        <f t="shared" si="82"/>
        <v>0</v>
      </c>
      <c r="I61" s="31">
        <f t="shared" si="82"/>
        <v>0</v>
      </c>
      <c r="J61" s="31">
        <f t="shared" si="82"/>
        <v>0</v>
      </c>
      <c r="K61" s="31">
        <f t="shared" si="82"/>
        <v>0</v>
      </c>
      <c r="L61" s="31">
        <f t="shared" si="82"/>
        <v>0</v>
      </c>
      <c r="M61" s="31">
        <f t="shared" si="82"/>
        <v>0</v>
      </c>
      <c r="N61" s="31">
        <f t="shared" si="82"/>
        <v>0</v>
      </c>
      <c r="O61" s="31">
        <f>SUM(C61:N61)</f>
        <v>0</v>
      </c>
      <c r="P61" s="31">
        <f t="shared" ref="P61:R61" si="83">ROUND(P60*P137*$C$100,0)</f>
        <v>6534</v>
      </c>
      <c r="Q61" s="31">
        <f t="shared" si="83"/>
        <v>25451</v>
      </c>
      <c r="R61" s="31">
        <f t="shared" si="83"/>
        <v>62335</v>
      </c>
    </row>
    <row r="62" ht="21.0" customHeight="1">
      <c r="A62" s="2" t="s">
        <v>80</v>
      </c>
      <c r="B62" s="2" t="s">
        <v>76</v>
      </c>
      <c r="C62" s="31">
        <f>C114-C59</f>
        <v>0</v>
      </c>
      <c r="D62" s="31">
        <f t="shared" ref="D62:N62" si="84">C62+D114-D59</f>
        <v>0</v>
      </c>
      <c r="E62" s="31">
        <f t="shared" si="84"/>
        <v>0</v>
      </c>
      <c r="F62" s="31">
        <f t="shared" si="84"/>
        <v>0</v>
      </c>
      <c r="G62" s="31">
        <f t="shared" si="84"/>
        <v>0</v>
      </c>
      <c r="H62" s="31">
        <f t="shared" si="84"/>
        <v>0</v>
      </c>
      <c r="I62" s="31">
        <f t="shared" si="84"/>
        <v>0</v>
      </c>
      <c r="J62" s="31">
        <f t="shared" si="84"/>
        <v>0</v>
      </c>
      <c r="K62" s="31">
        <f t="shared" si="84"/>
        <v>0</v>
      </c>
      <c r="L62" s="31">
        <f t="shared" si="84"/>
        <v>0</v>
      </c>
      <c r="M62" s="31">
        <f t="shared" si="84"/>
        <v>100</v>
      </c>
      <c r="N62" s="31">
        <f t="shared" si="84"/>
        <v>100</v>
      </c>
      <c r="O62" s="31">
        <f>N62</f>
        <v>100</v>
      </c>
      <c r="P62" s="31">
        <f>N62+P132-P59-P135</f>
        <v>30</v>
      </c>
      <c r="Q62" s="31">
        <f t="shared" ref="Q62:R62" si="85">P62+Q132-Q59-Q135</f>
        <v>80</v>
      </c>
      <c r="R62" s="31">
        <f t="shared" si="85"/>
        <v>168</v>
      </c>
    </row>
    <row r="63" ht="21.0" customHeight="1">
      <c r="A63" s="32" t="s">
        <v>81</v>
      </c>
      <c r="B63" s="32" t="s">
        <v>76</v>
      </c>
      <c r="C63" s="33">
        <f t="shared" ref="C63:N63" si="86">0</f>
        <v>0</v>
      </c>
      <c r="D63" s="33">
        <f t="shared" si="86"/>
        <v>0</v>
      </c>
      <c r="E63" s="33">
        <f t="shared" si="86"/>
        <v>0</v>
      </c>
      <c r="F63" s="33">
        <f t="shared" si="86"/>
        <v>0</v>
      </c>
      <c r="G63" s="33">
        <f t="shared" si="86"/>
        <v>0</v>
      </c>
      <c r="H63" s="33">
        <f t="shared" si="86"/>
        <v>0</v>
      </c>
      <c r="I63" s="33">
        <f t="shared" si="86"/>
        <v>0</v>
      </c>
      <c r="J63" s="33">
        <f t="shared" si="86"/>
        <v>0</v>
      </c>
      <c r="K63" s="33">
        <f t="shared" si="86"/>
        <v>0</v>
      </c>
      <c r="L63" s="33">
        <f t="shared" si="86"/>
        <v>0</v>
      </c>
      <c r="M63" s="33">
        <f t="shared" si="86"/>
        <v>0</v>
      </c>
      <c r="N63" s="33">
        <f t="shared" si="86"/>
        <v>0</v>
      </c>
      <c r="O63" s="34">
        <f>SUM(C63:N63)</f>
        <v>0</v>
      </c>
      <c r="P63" s="35">
        <f t="shared" ref="P63:R63" si="87">P135</f>
        <v>7</v>
      </c>
      <c r="Q63" s="35">
        <f t="shared" si="87"/>
        <v>15</v>
      </c>
      <c r="R63" s="35">
        <f t="shared" si="87"/>
        <v>24</v>
      </c>
    </row>
    <row r="64" ht="21.0" customHeight="1">
      <c r="A64" s="7" t="s">
        <v>82</v>
      </c>
      <c r="B64" s="8"/>
      <c r="C64" s="36"/>
      <c r="D64" s="36"/>
      <c r="E64" s="37" t="s">
        <v>83</v>
      </c>
      <c r="F64" s="38"/>
      <c r="G64" s="39"/>
      <c r="H64" s="36"/>
      <c r="I64" s="36"/>
      <c r="J64" s="37" t="s">
        <v>84</v>
      </c>
      <c r="K64" s="38"/>
      <c r="L64" s="39"/>
      <c r="M64" s="36"/>
      <c r="N64" s="37" t="s">
        <v>85</v>
      </c>
      <c r="O64" s="38"/>
      <c r="P64" s="39"/>
      <c r="Q64" s="40"/>
      <c r="R64" s="41"/>
    </row>
    <row r="65" ht="21.0" customHeight="1">
      <c r="A65" s="2" t="s">
        <v>86</v>
      </c>
      <c r="B65" s="2" t="s">
        <v>76</v>
      </c>
      <c r="C65" s="42">
        <v>100.0</v>
      </c>
      <c r="D65" s="3"/>
      <c r="E65" s="43" t="s">
        <v>87</v>
      </c>
      <c r="F65" s="43" t="s">
        <v>88</v>
      </c>
      <c r="G65" s="44">
        <v>49.3</v>
      </c>
      <c r="H65" s="3"/>
      <c r="I65" s="3"/>
      <c r="J65" s="43" t="s">
        <v>89</v>
      </c>
      <c r="K65" s="43" t="s">
        <v>90</v>
      </c>
      <c r="L65" s="45">
        <f>SUM(G65,G71)</f>
        <v>55.38</v>
      </c>
      <c r="M65" s="3"/>
      <c r="N65" s="43" t="s">
        <v>91</v>
      </c>
      <c r="O65" s="46" t="s">
        <v>21</v>
      </c>
      <c r="P65" s="47">
        <v>3000.0</v>
      </c>
      <c r="Q65" s="48"/>
      <c r="R65" s="48"/>
    </row>
    <row r="66" ht="21.0" customHeight="1">
      <c r="A66" s="2" t="s">
        <v>92</v>
      </c>
      <c r="B66" s="2" t="s">
        <v>90</v>
      </c>
      <c r="C66" s="49">
        <f>G85</f>
        <v>102.46</v>
      </c>
      <c r="D66" s="3"/>
      <c r="E66" s="43" t="s">
        <v>93</v>
      </c>
      <c r="F66" s="43" t="s">
        <v>94</v>
      </c>
      <c r="G66" s="42">
        <v>10.0</v>
      </c>
      <c r="H66" s="3"/>
      <c r="I66" s="3"/>
      <c r="J66" s="43" t="s">
        <v>95</v>
      </c>
      <c r="K66" s="43" t="s">
        <v>90</v>
      </c>
      <c r="L66" s="45">
        <f>SUM(G72,G78)</f>
        <v>31.75</v>
      </c>
      <c r="M66" s="3"/>
      <c r="N66" s="43" t="s">
        <v>96</v>
      </c>
      <c r="O66" s="46" t="s">
        <v>21</v>
      </c>
      <c r="P66" s="47">
        <v>2500.0</v>
      </c>
      <c r="Q66" s="48"/>
      <c r="R66" s="48"/>
    </row>
    <row r="67" ht="21.0" customHeight="1">
      <c r="A67" s="2" t="s">
        <v>97</v>
      </c>
      <c r="B67" s="2" t="s">
        <v>90</v>
      </c>
      <c r="C67" s="49">
        <f>L78</f>
        <v>69.0585</v>
      </c>
      <c r="D67" s="3"/>
      <c r="E67" s="43" t="s">
        <v>98</v>
      </c>
      <c r="F67" s="43" t="s">
        <v>94</v>
      </c>
      <c r="G67" s="42">
        <v>4.0</v>
      </c>
      <c r="H67" s="3"/>
      <c r="I67" s="3"/>
      <c r="J67" s="50" t="s">
        <v>99</v>
      </c>
      <c r="K67" s="50" t="s">
        <v>90</v>
      </c>
      <c r="L67" s="51">
        <f>SUM(L65:L66)</f>
        <v>87.13</v>
      </c>
      <c r="M67" s="3"/>
      <c r="N67" s="43" t="s">
        <v>100</v>
      </c>
      <c r="O67" s="46" t="s">
        <v>21</v>
      </c>
      <c r="P67" s="47">
        <v>3500.0</v>
      </c>
      <c r="Q67" s="48"/>
      <c r="R67" s="48"/>
    </row>
    <row r="68" ht="21.0" customHeight="1">
      <c r="A68" s="2" t="s">
        <v>101</v>
      </c>
      <c r="B68" s="2" t="s">
        <v>21</v>
      </c>
      <c r="C68" s="52">
        <v>300.0</v>
      </c>
      <c r="D68" s="3"/>
      <c r="E68" s="43" t="s">
        <v>102</v>
      </c>
      <c r="F68" s="43" t="s">
        <v>94</v>
      </c>
      <c r="G68" s="42">
        <v>8.0</v>
      </c>
      <c r="H68" s="3"/>
      <c r="I68" s="3"/>
      <c r="J68" s="43" t="s">
        <v>103</v>
      </c>
      <c r="K68" s="43" t="s">
        <v>90</v>
      </c>
      <c r="L68" s="44">
        <v>12.0</v>
      </c>
      <c r="M68" s="3"/>
      <c r="N68" s="43" t="s">
        <v>104</v>
      </c>
      <c r="O68" s="46" t="s">
        <v>21</v>
      </c>
      <c r="P68" s="47">
        <v>1000.0</v>
      </c>
      <c r="Q68" s="48"/>
      <c r="R68" s="48"/>
    </row>
    <row r="69" ht="21.0" customHeight="1">
      <c r="A69" s="2" t="s">
        <v>105</v>
      </c>
      <c r="B69" s="2" t="s">
        <v>106</v>
      </c>
      <c r="C69" s="49">
        <f>G86</f>
        <v>11.33</v>
      </c>
      <c r="D69" s="3"/>
      <c r="E69" s="43" t="s">
        <v>107</v>
      </c>
      <c r="F69" s="43" t="s">
        <v>94</v>
      </c>
      <c r="G69" s="42">
        <v>3.0</v>
      </c>
      <c r="H69" s="3"/>
      <c r="I69" s="3"/>
      <c r="J69" s="43" t="s">
        <v>108</v>
      </c>
      <c r="K69" s="43" t="s">
        <v>90</v>
      </c>
      <c r="L69" s="44">
        <v>1.0</v>
      </c>
      <c r="M69" s="3"/>
      <c r="N69" s="53" t="s">
        <v>109</v>
      </c>
      <c r="O69" s="54" t="s">
        <v>21</v>
      </c>
      <c r="P69" s="55">
        <f>SUM(P65:P68)</f>
        <v>10000</v>
      </c>
      <c r="Q69" s="48"/>
      <c r="R69" s="48"/>
    </row>
    <row r="70" ht="21.0" customHeight="1">
      <c r="A70" s="2" t="s">
        <v>110</v>
      </c>
      <c r="B70" s="2" t="s">
        <v>106</v>
      </c>
      <c r="C70" s="52">
        <v>3.0</v>
      </c>
      <c r="D70" s="3"/>
      <c r="E70" s="43" t="s">
        <v>111</v>
      </c>
      <c r="F70" s="43" t="s">
        <v>94</v>
      </c>
      <c r="G70" s="56">
        <f>SUM(G66:G69)</f>
        <v>25</v>
      </c>
      <c r="H70" s="3"/>
      <c r="I70" s="3"/>
      <c r="J70" s="50" t="s">
        <v>112</v>
      </c>
      <c r="K70" s="50" t="s">
        <v>90</v>
      </c>
      <c r="L70" s="51">
        <f>SUM(L67:L69)</f>
        <v>100.13</v>
      </c>
      <c r="M70" s="3"/>
      <c r="N70" s="3"/>
      <c r="O70" s="48"/>
      <c r="P70" s="48"/>
      <c r="Q70" s="48"/>
      <c r="R70" s="48"/>
    </row>
    <row r="71" ht="21.0" customHeight="1">
      <c r="A71" s="2" t="s">
        <v>113</v>
      </c>
      <c r="B71" s="2" t="s">
        <v>114</v>
      </c>
      <c r="C71" s="57">
        <v>3500000.0</v>
      </c>
      <c r="D71" s="3"/>
      <c r="E71" s="43" t="s">
        <v>115</v>
      </c>
      <c r="F71" s="43" t="s">
        <v>88</v>
      </c>
      <c r="G71" s="45">
        <f>ROUND(G70/60*$C$80,2)</f>
        <v>6.08</v>
      </c>
      <c r="H71" s="3"/>
      <c r="I71" s="3"/>
      <c r="J71" s="43" t="s">
        <v>116</v>
      </c>
      <c r="K71" s="43" t="s">
        <v>117</v>
      </c>
      <c r="L71" s="58">
        <v>0.16</v>
      </c>
      <c r="M71" s="3"/>
      <c r="N71" s="3"/>
      <c r="O71" s="48"/>
      <c r="P71" s="48"/>
      <c r="Q71" s="48"/>
      <c r="R71" s="48"/>
    </row>
    <row r="72" ht="21.0" customHeight="1">
      <c r="A72" s="2" t="s">
        <v>118</v>
      </c>
      <c r="B72" s="2" t="s">
        <v>114</v>
      </c>
      <c r="C72" s="59">
        <v>2500000.0</v>
      </c>
      <c r="D72" s="3"/>
      <c r="E72" s="43" t="s">
        <v>119</v>
      </c>
      <c r="F72" s="43" t="s">
        <v>88</v>
      </c>
      <c r="G72" s="44">
        <v>26.65</v>
      </c>
      <c r="H72" s="3"/>
      <c r="I72" s="3"/>
      <c r="J72" s="43" t="s">
        <v>120</v>
      </c>
      <c r="K72" s="43" t="s">
        <v>117</v>
      </c>
      <c r="L72" s="58">
        <v>0.03</v>
      </c>
      <c r="M72" s="3"/>
      <c r="N72" s="3"/>
      <c r="O72" s="48"/>
      <c r="P72" s="48"/>
      <c r="Q72" s="48"/>
      <c r="R72" s="48"/>
    </row>
    <row r="73" ht="21.0" customHeight="1">
      <c r="A73" s="2" t="s">
        <v>121</v>
      </c>
      <c r="B73" s="2" t="s">
        <v>122</v>
      </c>
      <c r="C73" s="57">
        <v>2.0</v>
      </c>
      <c r="D73" s="3"/>
      <c r="E73" s="43" t="s">
        <v>123</v>
      </c>
      <c r="F73" s="43" t="s">
        <v>94</v>
      </c>
      <c r="G73" s="42">
        <v>8.0</v>
      </c>
      <c r="H73" s="3"/>
      <c r="I73" s="3"/>
      <c r="J73" s="43" t="s">
        <v>124</v>
      </c>
      <c r="K73" s="43" t="s">
        <v>117</v>
      </c>
      <c r="L73" s="58">
        <v>0.25</v>
      </c>
      <c r="M73" s="3"/>
      <c r="N73" s="3"/>
      <c r="O73" s="48"/>
      <c r="P73" s="48"/>
      <c r="Q73" s="48"/>
      <c r="R73" s="48"/>
    </row>
    <row r="74" ht="21.0" customHeight="1">
      <c r="A74" s="2" t="s">
        <v>125</v>
      </c>
      <c r="B74" s="2" t="s">
        <v>122</v>
      </c>
      <c r="C74" s="57">
        <v>2.0</v>
      </c>
      <c r="D74" s="3"/>
      <c r="E74" s="43" t="s">
        <v>126</v>
      </c>
      <c r="F74" s="43" t="s">
        <v>94</v>
      </c>
      <c r="G74" s="42">
        <v>4.0</v>
      </c>
      <c r="H74" s="3"/>
      <c r="I74" s="3"/>
      <c r="J74" s="43" t="s">
        <v>127</v>
      </c>
      <c r="K74" s="43" t="s">
        <v>128</v>
      </c>
      <c r="L74" s="45">
        <f>L70*45%</f>
        <v>45.0585</v>
      </c>
      <c r="M74" s="3"/>
      <c r="N74" s="3"/>
      <c r="O74" s="48"/>
      <c r="P74" s="48"/>
      <c r="Q74" s="48"/>
      <c r="R74" s="48"/>
    </row>
    <row r="75" ht="21.0" customHeight="1">
      <c r="A75" s="2" t="s">
        <v>129</v>
      </c>
      <c r="B75" s="2" t="s">
        <v>130</v>
      </c>
      <c r="C75" s="57">
        <v>12.0</v>
      </c>
      <c r="D75" s="3"/>
      <c r="E75" s="43" t="s">
        <v>131</v>
      </c>
      <c r="F75" s="43" t="s">
        <v>94</v>
      </c>
      <c r="G75" s="42">
        <v>6.0</v>
      </c>
      <c r="H75" s="3"/>
      <c r="I75" s="3"/>
      <c r="J75" s="43" t="s">
        <v>132</v>
      </c>
      <c r="K75" s="43" t="s">
        <v>90</v>
      </c>
      <c r="L75" s="44">
        <v>6.0</v>
      </c>
      <c r="M75" s="3"/>
      <c r="N75" s="3"/>
      <c r="O75" s="48"/>
      <c r="P75" s="48"/>
      <c r="Q75" s="48"/>
      <c r="R75" s="48"/>
    </row>
    <row r="76" ht="21.0" customHeight="1">
      <c r="A76" s="2" t="s">
        <v>133</v>
      </c>
      <c r="B76" s="2" t="s">
        <v>134</v>
      </c>
      <c r="C76" s="57">
        <v>160.0</v>
      </c>
      <c r="D76" s="3"/>
      <c r="E76" s="43" t="s">
        <v>135</v>
      </c>
      <c r="F76" s="43" t="s">
        <v>94</v>
      </c>
      <c r="G76" s="42">
        <v>3.0</v>
      </c>
      <c r="H76" s="3"/>
      <c r="I76" s="3"/>
      <c r="J76" s="43" t="s">
        <v>136</v>
      </c>
      <c r="K76" s="43" t="s">
        <v>90</v>
      </c>
      <c r="L76" s="44">
        <v>3.0</v>
      </c>
      <c r="M76" s="3"/>
      <c r="N76" s="3"/>
      <c r="O76" s="48"/>
      <c r="P76" s="48"/>
      <c r="Q76" s="48"/>
      <c r="R76" s="48"/>
    </row>
    <row r="77" ht="21.0" customHeight="1">
      <c r="A77" s="2" t="s">
        <v>137</v>
      </c>
      <c r="B77" s="2" t="s">
        <v>138</v>
      </c>
      <c r="C77" s="57">
        <v>1.4</v>
      </c>
      <c r="D77" s="3"/>
      <c r="E77" s="43" t="s">
        <v>139</v>
      </c>
      <c r="F77" s="43" t="s">
        <v>94</v>
      </c>
      <c r="G77" s="56">
        <f>SUM(G73:G76)</f>
        <v>21</v>
      </c>
      <c r="H77" s="3"/>
      <c r="I77" s="3"/>
      <c r="J77" s="43" t="s">
        <v>140</v>
      </c>
      <c r="K77" s="43" t="s">
        <v>90</v>
      </c>
      <c r="L77" s="44">
        <v>2.0</v>
      </c>
      <c r="M77" s="3"/>
      <c r="N77" s="3"/>
      <c r="O77" s="48"/>
      <c r="P77" s="48"/>
      <c r="Q77" s="48"/>
      <c r="R77" s="48"/>
    </row>
    <row r="78" ht="21.0" customHeight="1">
      <c r="A78" s="2" t="s">
        <v>141</v>
      </c>
      <c r="B78" s="2" t="s">
        <v>142</v>
      </c>
      <c r="C78" s="57">
        <v>1500.0</v>
      </c>
      <c r="D78" s="3"/>
      <c r="E78" s="43" t="s">
        <v>143</v>
      </c>
      <c r="F78" s="43" t="s">
        <v>88</v>
      </c>
      <c r="G78" s="45">
        <f>ROUND(G77/60*$C$80,2)</f>
        <v>5.1</v>
      </c>
      <c r="H78" s="3"/>
      <c r="I78" s="3"/>
      <c r="J78" s="50" t="s">
        <v>97</v>
      </c>
      <c r="K78" s="50" t="s">
        <v>90</v>
      </c>
      <c r="L78" s="51">
        <f>SUM(L68:L69,L74:L77)</f>
        <v>69.0585</v>
      </c>
      <c r="M78" s="3"/>
      <c r="N78" s="3"/>
      <c r="O78" s="48"/>
      <c r="P78" s="48"/>
      <c r="Q78" s="48"/>
      <c r="R78" s="48"/>
    </row>
    <row r="79" ht="21.0" customHeight="1">
      <c r="A79" s="2" t="s">
        <v>144</v>
      </c>
      <c r="B79" s="2" t="s">
        <v>145</v>
      </c>
      <c r="C79" s="60">
        <f>C71/C76*C77/C78</f>
        <v>20.41666667</v>
      </c>
      <c r="D79" s="3"/>
      <c r="E79" s="43" t="s">
        <v>146</v>
      </c>
      <c r="F79" s="43" t="s">
        <v>88</v>
      </c>
      <c r="G79" s="44">
        <v>7.25</v>
      </c>
      <c r="H79" s="3"/>
      <c r="I79" s="3"/>
      <c r="J79" s="50" t="s">
        <v>147</v>
      </c>
      <c r="K79" s="50" t="s">
        <v>90</v>
      </c>
      <c r="L79" s="51">
        <f>$C$68/$C$65</f>
        <v>3</v>
      </c>
      <c r="M79" s="3"/>
      <c r="N79" s="3"/>
      <c r="O79" s="48"/>
      <c r="P79" s="48"/>
      <c r="Q79" s="48"/>
      <c r="R79" s="48"/>
    </row>
    <row r="80" ht="21.0" customHeight="1">
      <c r="A80" s="2" t="s">
        <v>148</v>
      </c>
      <c r="B80" s="2" t="s">
        <v>145</v>
      </c>
      <c r="C80" s="61">
        <f>C72/C76*C77/C78</f>
        <v>14.58333333</v>
      </c>
      <c r="D80" s="3"/>
      <c r="E80" s="43" t="s">
        <v>149</v>
      </c>
      <c r="F80" s="43" t="s">
        <v>150</v>
      </c>
      <c r="G80" s="44">
        <v>20.0</v>
      </c>
      <c r="H80" s="3"/>
      <c r="I80" s="3"/>
      <c r="J80" s="53" t="s">
        <v>151</v>
      </c>
      <c r="K80" s="53" t="s">
        <v>90</v>
      </c>
      <c r="L80" s="62">
        <f>SUM($C$66:$C$67,L79)</f>
        <v>174.5185</v>
      </c>
      <c r="M80" s="3"/>
      <c r="N80" s="3"/>
      <c r="O80" s="48"/>
      <c r="P80" s="48"/>
      <c r="Q80" s="48"/>
      <c r="R80" s="48"/>
    </row>
    <row r="81" ht="21.0" customHeight="1">
      <c r="A81" s="2" t="s">
        <v>152</v>
      </c>
      <c r="B81" s="2" t="s">
        <v>153</v>
      </c>
      <c r="C81" s="57">
        <v>500.0</v>
      </c>
      <c r="D81" s="3"/>
      <c r="E81" s="43" t="s">
        <v>154</v>
      </c>
      <c r="F81" s="43" t="s">
        <v>145</v>
      </c>
      <c r="G81" s="45">
        <f>$C$79</f>
        <v>20.41666667</v>
      </c>
      <c r="H81" s="3"/>
      <c r="I81" s="3"/>
      <c r="J81" s="3"/>
      <c r="K81" s="3"/>
      <c r="L81" s="3"/>
      <c r="M81" s="3"/>
      <c r="N81" s="3"/>
      <c r="O81" s="48"/>
      <c r="P81" s="48"/>
      <c r="Q81" s="48"/>
      <c r="R81" s="48"/>
    </row>
    <row r="82" ht="21.0" customHeight="1">
      <c r="A82" s="2" t="s">
        <v>155</v>
      </c>
      <c r="B82" s="2" t="s">
        <v>153</v>
      </c>
      <c r="C82" s="57">
        <v>500.0</v>
      </c>
      <c r="D82" s="3"/>
      <c r="E82" s="43" t="s">
        <v>156</v>
      </c>
      <c r="F82" s="43" t="s">
        <v>88</v>
      </c>
      <c r="G82" s="45">
        <f>ROUND(G80/100*G81,2)</f>
        <v>4.08</v>
      </c>
      <c r="H82" s="3"/>
      <c r="I82" s="3"/>
      <c r="J82" s="37" t="s">
        <v>157</v>
      </c>
      <c r="K82" s="38"/>
      <c r="L82" s="39"/>
      <c r="M82" s="3"/>
      <c r="N82" s="3"/>
      <c r="O82" s="48"/>
      <c r="P82" s="48"/>
      <c r="Q82" s="48"/>
      <c r="R82" s="48"/>
    </row>
    <row r="83" ht="21.0" customHeight="1">
      <c r="A83" s="2" t="s">
        <v>158</v>
      </c>
      <c r="B83" s="2" t="s">
        <v>153</v>
      </c>
      <c r="C83" s="57">
        <v>1000.0</v>
      </c>
      <c r="D83" s="3"/>
      <c r="E83" s="43" t="s">
        <v>159</v>
      </c>
      <c r="F83" s="43" t="s">
        <v>90</v>
      </c>
      <c r="G83" s="44">
        <v>4.0</v>
      </c>
      <c r="H83" s="3"/>
      <c r="I83" s="3"/>
      <c r="J83" s="50" t="s">
        <v>160</v>
      </c>
      <c r="K83" s="50" t="s">
        <v>90</v>
      </c>
      <c r="L83" s="51">
        <f>SUM(G65,G72,G79,G83:G84)</f>
        <v>87.2</v>
      </c>
      <c r="M83" s="3"/>
      <c r="N83" s="3"/>
      <c r="O83" s="48"/>
      <c r="P83" s="48"/>
      <c r="Q83" s="48"/>
      <c r="R83" s="48"/>
    </row>
    <row r="84" ht="21.0" customHeight="1">
      <c r="A84" s="2" t="s">
        <v>161</v>
      </c>
      <c r="B84" s="2" t="s">
        <v>21</v>
      </c>
      <c r="C84" s="57">
        <v>6000.0</v>
      </c>
      <c r="D84" s="3"/>
      <c r="E84" s="43" t="s">
        <v>162</v>
      </c>
      <c r="F84" s="43" t="s">
        <v>90</v>
      </c>
      <c r="G84" s="44">
        <v>0.0</v>
      </c>
      <c r="H84" s="3"/>
      <c r="I84" s="3"/>
      <c r="J84" s="50" t="s">
        <v>163</v>
      </c>
      <c r="K84" s="50" t="s">
        <v>90</v>
      </c>
      <c r="L84" s="51">
        <f>SUM(G65,G72)</f>
        <v>75.95</v>
      </c>
      <c r="M84" s="3"/>
      <c r="N84" s="3"/>
      <c r="O84" s="48"/>
      <c r="P84" s="48"/>
      <c r="Q84" s="48"/>
      <c r="R84" s="48"/>
    </row>
    <row r="85" ht="21.0" customHeight="1">
      <c r="A85" s="2" t="s">
        <v>33</v>
      </c>
      <c r="B85" s="2" t="s">
        <v>21</v>
      </c>
      <c r="C85" s="57">
        <v>2000.0</v>
      </c>
      <c r="D85" s="3"/>
      <c r="E85" s="50" t="s">
        <v>92</v>
      </c>
      <c r="F85" s="50" t="s">
        <v>90</v>
      </c>
      <c r="G85" s="51">
        <f>SUM(G65,G71,G72,G78,G79,G82:G84)</f>
        <v>102.46</v>
      </c>
      <c r="H85" s="3"/>
      <c r="I85" s="3"/>
      <c r="J85" s="50" t="s">
        <v>164</v>
      </c>
      <c r="K85" s="50" t="s">
        <v>90</v>
      </c>
      <c r="L85" s="51">
        <f>SUM(L84,L68:L69)</f>
        <v>88.95</v>
      </c>
      <c r="M85" s="3"/>
      <c r="N85" s="3"/>
      <c r="O85" s="48"/>
      <c r="P85" s="48"/>
      <c r="Q85" s="48"/>
      <c r="R85" s="48"/>
    </row>
    <row r="86" ht="21.0" customHeight="1">
      <c r="A86" s="2" t="s">
        <v>165</v>
      </c>
      <c r="B86" s="2" t="s">
        <v>21</v>
      </c>
      <c r="C86" s="57">
        <v>4000.0</v>
      </c>
      <c r="D86" s="3"/>
      <c r="E86" s="53" t="s">
        <v>166</v>
      </c>
      <c r="F86" s="53" t="s">
        <v>88</v>
      </c>
      <c r="G86" s="62">
        <f>SUM(G79,G82)</f>
        <v>11.33</v>
      </c>
      <c r="H86" s="3"/>
      <c r="I86" s="3"/>
      <c r="J86" s="53" t="s">
        <v>167</v>
      </c>
      <c r="K86" s="53" t="s">
        <v>90</v>
      </c>
      <c r="L86" s="62">
        <f>SUM(L68:L69,L85*45%,L75:L77)</f>
        <v>64.0275</v>
      </c>
      <c r="M86" s="3"/>
      <c r="N86" s="3"/>
      <c r="O86" s="48"/>
      <c r="P86" s="48"/>
      <c r="Q86" s="48"/>
      <c r="R86" s="48"/>
    </row>
    <row r="87" ht="21.0" customHeight="1">
      <c r="A87" s="2" t="s">
        <v>44</v>
      </c>
      <c r="B87" s="2" t="s">
        <v>21</v>
      </c>
      <c r="C87" s="63">
        <v>12000.0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48"/>
      <c r="P87" s="48"/>
      <c r="Q87" s="48"/>
      <c r="R87" s="48"/>
    </row>
    <row r="88" ht="21.0" customHeight="1">
      <c r="A88" s="2" t="s">
        <v>168</v>
      </c>
      <c r="B88" s="2" t="s">
        <v>21</v>
      </c>
      <c r="C88" s="56">
        <f>P69</f>
        <v>10000</v>
      </c>
      <c r="D88" s="3"/>
      <c r="E88" s="37" t="s">
        <v>169</v>
      </c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9"/>
      <c r="Q88" s="48"/>
      <c r="R88" s="48"/>
    </row>
    <row r="89" ht="24.0" customHeight="1">
      <c r="A89" s="2" t="s">
        <v>46</v>
      </c>
      <c r="B89" s="2" t="s">
        <v>21</v>
      </c>
      <c r="C89" s="57">
        <v>8000.0</v>
      </c>
      <c r="D89" s="3"/>
      <c r="E89" s="64" t="s">
        <v>170</v>
      </c>
      <c r="Q89" s="48"/>
      <c r="R89" s="48"/>
    </row>
    <row r="90" ht="24.0" customHeight="1">
      <c r="A90" s="2" t="s">
        <v>171</v>
      </c>
      <c r="B90" s="2" t="s">
        <v>172</v>
      </c>
      <c r="C90" s="63">
        <v>0.1</v>
      </c>
      <c r="D90" s="3"/>
      <c r="E90" s="64" t="s">
        <v>173</v>
      </c>
      <c r="Q90" s="48"/>
      <c r="R90" s="48"/>
    </row>
    <row r="91" ht="24.0" customHeight="1">
      <c r="A91" s="2" t="s">
        <v>174</v>
      </c>
      <c r="B91" s="2" t="s">
        <v>175</v>
      </c>
      <c r="C91" s="63">
        <v>0.08</v>
      </c>
      <c r="D91" s="3"/>
      <c r="E91" s="64" t="s">
        <v>176</v>
      </c>
      <c r="Q91" s="48"/>
      <c r="R91" s="48"/>
    </row>
    <row r="92" ht="24.0" customHeight="1">
      <c r="A92" s="2" t="s">
        <v>177</v>
      </c>
      <c r="B92" s="2" t="s">
        <v>178</v>
      </c>
      <c r="C92" s="57">
        <v>2500.0</v>
      </c>
      <c r="D92" s="3"/>
      <c r="E92" s="64" t="s">
        <v>179</v>
      </c>
      <c r="Q92" s="48"/>
      <c r="R92" s="48"/>
    </row>
    <row r="93" ht="24.0" customHeight="1">
      <c r="A93" s="2" t="s">
        <v>180</v>
      </c>
      <c r="B93" s="2" t="s">
        <v>153</v>
      </c>
      <c r="C93" s="65">
        <v>2000.0</v>
      </c>
      <c r="D93" s="3"/>
      <c r="E93" s="64" t="s">
        <v>181</v>
      </c>
      <c r="Q93" s="48"/>
      <c r="R93" s="48"/>
    </row>
    <row r="94" ht="21.0" customHeight="1">
      <c r="A94" s="66" t="s">
        <v>182</v>
      </c>
      <c r="B94" s="66" t="s">
        <v>183</v>
      </c>
      <c r="C94" s="67">
        <v>40.0</v>
      </c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48"/>
      <c r="P94" s="48"/>
      <c r="Q94" s="48"/>
      <c r="R94" s="48"/>
    </row>
    <row r="95" ht="21.0" customHeight="1">
      <c r="A95" s="2" t="s">
        <v>184</v>
      </c>
      <c r="B95" s="2" t="s">
        <v>145</v>
      </c>
      <c r="C95" s="3">
        <f>C80</f>
        <v>14.58333333</v>
      </c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48"/>
      <c r="P95" s="48"/>
      <c r="Q95" s="48"/>
      <c r="R95" s="48"/>
    </row>
    <row r="96" ht="21.0" customHeight="1">
      <c r="A96" s="2" t="s">
        <v>185</v>
      </c>
      <c r="B96" s="2" t="s">
        <v>186</v>
      </c>
      <c r="C96" s="63">
        <v>0.2</v>
      </c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48"/>
      <c r="P96" s="48"/>
      <c r="Q96" s="48"/>
      <c r="R96" s="48"/>
    </row>
    <row r="97" ht="21.0" customHeight="1">
      <c r="A97" s="2" t="s">
        <v>187</v>
      </c>
      <c r="B97" s="2" t="s">
        <v>21</v>
      </c>
      <c r="C97" s="65">
        <v>0.0</v>
      </c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48"/>
      <c r="P97" s="48"/>
      <c r="Q97" s="48"/>
      <c r="R97" s="48"/>
    </row>
    <row r="98" ht="21.0" customHeight="1">
      <c r="A98" s="2" t="s">
        <v>188</v>
      </c>
      <c r="B98" s="2" t="s">
        <v>90</v>
      </c>
      <c r="C98" s="65">
        <v>400.0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48"/>
      <c r="P98" s="48"/>
      <c r="Q98" s="48"/>
      <c r="R98" s="48"/>
    </row>
    <row r="99" ht="21.0" customHeight="1">
      <c r="A99" s="2" t="s">
        <v>189</v>
      </c>
      <c r="B99" s="2" t="s">
        <v>106</v>
      </c>
      <c r="C99" s="65">
        <v>25.0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48"/>
      <c r="P99" s="48"/>
      <c r="Q99" s="48"/>
      <c r="R99" s="48"/>
    </row>
    <row r="100" ht="21.0" customHeight="1">
      <c r="A100" s="2" t="s">
        <v>190</v>
      </c>
      <c r="B100" s="2" t="s">
        <v>191</v>
      </c>
      <c r="C100" s="65">
        <v>4.0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48"/>
      <c r="P100" s="48"/>
      <c r="Q100" s="48"/>
      <c r="R100" s="48"/>
    </row>
    <row r="101" ht="21.0" customHeight="1">
      <c r="A101" s="2" t="s">
        <v>192</v>
      </c>
      <c r="B101" s="2" t="s">
        <v>193</v>
      </c>
      <c r="C101" s="63">
        <v>0.95</v>
      </c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48"/>
      <c r="P101" s="48"/>
      <c r="Q101" s="48"/>
      <c r="R101" s="48"/>
    </row>
    <row r="102" ht="21.0" customHeight="1">
      <c r="A102" s="2" t="s">
        <v>194</v>
      </c>
      <c r="B102" s="2" t="s">
        <v>195</v>
      </c>
      <c r="C102" s="63">
        <v>0.1</v>
      </c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48"/>
      <c r="P102" s="48"/>
      <c r="Q102" s="48"/>
      <c r="R102" s="48"/>
    </row>
    <row r="103" ht="21.0" customHeight="1">
      <c r="A103" s="2" t="s">
        <v>196</v>
      </c>
      <c r="B103" s="2" t="s">
        <v>153</v>
      </c>
      <c r="C103" s="65">
        <v>500.0</v>
      </c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48"/>
      <c r="P103" s="48"/>
      <c r="Q103" s="48"/>
      <c r="R103" s="48"/>
    </row>
    <row r="104" ht="21.0" customHeight="1">
      <c r="A104" s="2" t="s">
        <v>48</v>
      </c>
      <c r="B104" s="2" t="s">
        <v>197</v>
      </c>
      <c r="C104" s="63">
        <v>0.1</v>
      </c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48"/>
      <c r="P104" s="48"/>
      <c r="Q104" s="48"/>
      <c r="R104" s="48"/>
    </row>
    <row r="105" ht="21.0" customHeight="1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48"/>
      <c r="P105" s="48"/>
      <c r="Q105" s="48"/>
      <c r="R105" s="48"/>
    </row>
    <row r="106" ht="21.0" customHeight="1">
      <c r="A106" s="7" t="s">
        <v>198</v>
      </c>
      <c r="B106" s="8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40"/>
      <c r="P106" s="40"/>
      <c r="Q106" s="40"/>
      <c r="R106" s="41"/>
    </row>
    <row r="107" ht="21.0" customHeight="1">
      <c r="A107" s="69" t="s">
        <v>199</v>
      </c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48"/>
      <c r="P107" s="48"/>
      <c r="Q107" s="48"/>
      <c r="R107" s="48"/>
    </row>
    <row r="108" ht="21.0" customHeight="1">
      <c r="A108" s="70" t="s">
        <v>200</v>
      </c>
      <c r="B108" s="66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48"/>
      <c r="P108" s="48"/>
      <c r="Q108" s="48"/>
      <c r="R108" s="48"/>
    </row>
    <row r="109" ht="21.0" customHeight="1">
      <c r="A109" s="69" t="s">
        <v>201</v>
      </c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48"/>
      <c r="P109" s="48"/>
      <c r="Q109" s="48"/>
      <c r="R109" s="48"/>
    </row>
    <row r="110" ht="21.0" customHeight="1">
      <c r="A110" s="69" t="s">
        <v>202</v>
      </c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48"/>
      <c r="P110" s="48"/>
      <c r="Q110" s="48"/>
      <c r="R110" s="48"/>
    </row>
    <row r="111" ht="21.0" customHeight="1">
      <c r="A111" s="69" t="s">
        <v>203</v>
      </c>
      <c r="B111" s="2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48"/>
      <c r="P111" s="48"/>
      <c r="Q111" s="48"/>
      <c r="R111" s="48"/>
    </row>
    <row r="112" ht="21.0" customHeight="1">
      <c r="A112" s="69" t="s">
        <v>204</v>
      </c>
      <c r="B112" s="2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48"/>
      <c r="P112" s="48"/>
      <c r="Q112" s="48"/>
      <c r="R112" s="48"/>
    </row>
    <row r="113" ht="21.0" customHeight="1">
      <c r="A113" s="69" t="s">
        <v>205</v>
      </c>
      <c r="B113" s="2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48"/>
      <c r="P113" s="48"/>
      <c r="Q113" s="48"/>
      <c r="R113" s="48"/>
    </row>
    <row r="114" ht="21.0" customHeight="1">
      <c r="A114" s="69" t="s">
        <v>206</v>
      </c>
      <c r="B114" s="2"/>
      <c r="C114" s="3">
        <f t="shared" ref="C114:N114" si="88">C118</f>
        <v>0</v>
      </c>
      <c r="D114" s="3">
        <f t="shared" si="88"/>
        <v>0</v>
      </c>
      <c r="E114" s="3">
        <f t="shared" si="88"/>
        <v>0</v>
      </c>
      <c r="F114" s="3">
        <f t="shared" si="88"/>
        <v>0</v>
      </c>
      <c r="G114" s="3">
        <f t="shared" si="88"/>
        <v>0</v>
      </c>
      <c r="H114" s="3">
        <f t="shared" si="88"/>
        <v>0</v>
      </c>
      <c r="I114" s="3">
        <f t="shared" si="88"/>
        <v>0</v>
      </c>
      <c r="J114" s="3">
        <f t="shared" si="88"/>
        <v>0</v>
      </c>
      <c r="K114" s="3">
        <f t="shared" si="88"/>
        <v>0</v>
      </c>
      <c r="L114" s="3">
        <f t="shared" si="88"/>
        <v>0</v>
      </c>
      <c r="M114" s="3">
        <f t="shared" si="88"/>
        <v>100</v>
      </c>
      <c r="N114" s="3">
        <f t="shared" si="88"/>
        <v>0</v>
      </c>
      <c r="O114" s="48"/>
      <c r="P114" s="48"/>
      <c r="Q114" s="48"/>
      <c r="R114" s="48"/>
    </row>
    <row r="115" ht="21.0" customHeight="1">
      <c r="A115" s="2"/>
      <c r="B115" s="2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48"/>
      <c r="P115" s="48"/>
      <c r="Q115" s="48"/>
      <c r="R115" s="48"/>
    </row>
    <row r="116" ht="21.0" customHeight="1">
      <c r="A116" s="7" t="s">
        <v>207</v>
      </c>
      <c r="B116" s="8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40"/>
      <c r="P116" s="40"/>
      <c r="Q116" s="40"/>
      <c r="R116" s="41"/>
    </row>
    <row r="117" ht="21.0" customHeight="1">
      <c r="A117" s="2" t="s">
        <v>208</v>
      </c>
      <c r="B117" s="2" t="s">
        <v>2</v>
      </c>
      <c r="C117" s="61" t="s">
        <v>3</v>
      </c>
      <c r="D117" s="61" t="s">
        <v>4</v>
      </c>
      <c r="E117" s="61" t="s">
        <v>5</v>
      </c>
      <c r="F117" s="61" t="s">
        <v>6</v>
      </c>
      <c r="G117" s="61" t="s">
        <v>7</v>
      </c>
      <c r="H117" s="61" t="s">
        <v>8</v>
      </c>
      <c r="I117" s="61" t="s">
        <v>9</v>
      </c>
      <c r="J117" s="61" t="s">
        <v>10</v>
      </c>
      <c r="K117" s="61" t="s">
        <v>11</v>
      </c>
      <c r="L117" s="61" t="s">
        <v>12</v>
      </c>
      <c r="M117" s="61" t="s">
        <v>13</v>
      </c>
      <c r="N117" s="61" t="s">
        <v>14</v>
      </c>
      <c r="O117" s="48"/>
      <c r="P117" s="48"/>
      <c r="Q117" s="48"/>
      <c r="R117" s="48"/>
    </row>
    <row r="118" ht="21.0" customHeight="1">
      <c r="A118" s="2" t="s">
        <v>209</v>
      </c>
      <c r="B118" s="2" t="s">
        <v>76</v>
      </c>
      <c r="C118" s="61">
        <v>0.0</v>
      </c>
      <c r="D118" s="61">
        <v>0.0</v>
      </c>
      <c r="E118" s="61">
        <v>0.0</v>
      </c>
      <c r="F118" s="61">
        <v>0.0</v>
      </c>
      <c r="G118" s="61">
        <v>0.0</v>
      </c>
      <c r="H118" s="61">
        <v>0.0</v>
      </c>
      <c r="I118" s="61">
        <v>0.0</v>
      </c>
      <c r="J118" s="61">
        <v>0.0</v>
      </c>
      <c r="K118" s="61">
        <v>0.0</v>
      </c>
      <c r="L118" s="61">
        <v>0.0</v>
      </c>
      <c r="M118" s="61">
        <v>100.0</v>
      </c>
      <c r="N118" s="61">
        <v>0.0</v>
      </c>
      <c r="O118" s="48"/>
      <c r="P118" s="48"/>
      <c r="Q118" s="48"/>
      <c r="R118" s="48"/>
    </row>
    <row r="119" ht="21.0" customHeight="1">
      <c r="A119" s="2" t="s">
        <v>210</v>
      </c>
      <c r="B119" s="2" t="s">
        <v>122</v>
      </c>
      <c r="C119" s="61">
        <f>$C$73+$C$74</f>
        <v>4</v>
      </c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48"/>
      <c r="P119" s="48"/>
      <c r="Q119" s="48"/>
      <c r="R119" s="48"/>
    </row>
    <row r="120" ht="21.0" customHeight="1">
      <c r="A120" s="2" t="s">
        <v>211</v>
      </c>
      <c r="B120" s="2" t="s">
        <v>212</v>
      </c>
      <c r="C120" s="61">
        <f>C119*$C$75*$C$76</f>
        <v>7680</v>
      </c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48"/>
      <c r="P120" s="48"/>
      <c r="Q120" s="48"/>
      <c r="R120" s="48"/>
    </row>
    <row r="121" ht="21.0" customHeight="1">
      <c r="A121" s="2"/>
      <c r="B121" s="2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48"/>
      <c r="P121" s="48"/>
      <c r="Q121" s="48"/>
      <c r="R121" s="48"/>
    </row>
    <row r="122" ht="21.0" customHeight="1">
      <c r="A122" s="2"/>
      <c r="B122" s="2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48"/>
      <c r="P122" s="48"/>
      <c r="Q122" s="48"/>
      <c r="R122" s="48"/>
    </row>
    <row r="123" ht="21.0" customHeight="1">
      <c r="A123" s="2"/>
      <c r="B123" s="2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48"/>
      <c r="P123" s="48"/>
      <c r="Q123" s="48"/>
      <c r="R123" s="48"/>
    </row>
    <row r="124" ht="21.0" customHeight="1">
      <c r="A124" s="2"/>
      <c r="B124" s="2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48"/>
      <c r="P124" s="48"/>
      <c r="Q124" s="48"/>
      <c r="R124" s="48"/>
    </row>
    <row r="125" ht="21.0" customHeight="1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48"/>
      <c r="P125" s="48"/>
      <c r="Q125" s="48"/>
      <c r="R125" s="48"/>
    </row>
    <row r="126" ht="21.0" customHeight="1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48"/>
      <c r="P126" s="48"/>
      <c r="Q126" s="48"/>
      <c r="R126" s="48"/>
    </row>
    <row r="127" ht="21.0" customHeight="1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48"/>
      <c r="P127" s="48"/>
      <c r="Q127" s="48"/>
      <c r="R127" s="48"/>
    </row>
    <row r="128" ht="15.75" customHeight="1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48"/>
      <c r="P128" s="48"/>
      <c r="Q128" s="48"/>
      <c r="R128" s="48"/>
    </row>
    <row r="129" ht="21.0" customHeight="1">
      <c r="A129" s="7" t="s">
        <v>213</v>
      </c>
      <c r="B129" s="8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40"/>
      <c r="P129" s="40"/>
      <c r="Q129" s="40"/>
      <c r="R129" s="41"/>
    </row>
    <row r="130" ht="21.0" customHeight="1">
      <c r="A130" s="2"/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48"/>
      <c r="P130" s="48" t="s">
        <v>16</v>
      </c>
      <c r="Q130" s="48" t="s">
        <v>17</v>
      </c>
      <c r="R130" s="48" t="s">
        <v>18</v>
      </c>
    </row>
    <row r="131" ht="21.0" customHeight="1">
      <c r="A131" s="2" t="s">
        <v>214</v>
      </c>
      <c r="B131" s="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71"/>
      <c r="P131" s="71">
        <f>'Plan comercial'!C24</f>
        <v>300</v>
      </c>
      <c r="Q131" s="71">
        <f>'Plan comercial'!D24</f>
        <v>800</v>
      </c>
      <c r="R131" s="71">
        <f>'Plan comercial'!E24</f>
        <v>1680</v>
      </c>
    </row>
    <row r="132" ht="21.0" customHeight="1">
      <c r="A132" s="2" t="s">
        <v>215</v>
      </c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71"/>
      <c r="P132" s="71">
        <f>ROUNDUP(MAX(0,P131+P135+P131*$C$102-N62),0)</f>
        <v>237</v>
      </c>
      <c r="Q132" s="71">
        <f t="shared" ref="Q132:R132" si="89">ROUNDUP(MAX(0,Q131+Q135+Q131*$C$102-P62),0)</f>
        <v>865</v>
      </c>
      <c r="R132" s="71">
        <f t="shared" si="89"/>
        <v>1792</v>
      </c>
    </row>
    <row r="133" ht="21.0" customHeight="1">
      <c r="A133" s="2" t="s">
        <v>216</v>
      </c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71"/>
      <c r="P133" s="71">
        <f>'Plan comercial'!C28</f>
        <v>1</v>
      </c>
      <c r="Q133" s="71">
        <f>'Plan comercial'!D28</f>
        <v>2</v>
      </c>
      <c r="R133" s="71">
        <f>'Plan comercial'!E28</f>
        <v>3</v>
      </c>
    </row>
    <row r="134" ht="21.0" customHeight="1">
      <c r="A134" s="2" t="s">
        <v>217</v>
      </c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71"/>
      <c r="P134" s="71">
        <f>'Plan comercial'!C34</f>
        <v>2000</v>
      </c>
      <c r="Q134" s="71">
        <f>'Plan comercial'!D34</f>
        <v>3500</v>
      </c>
      <c r="R134" s="71">
        <f>'Plan comercial'!E34</f>
        <v>5000</v>
      </c>
    </row>
    <row r="135" ht="21.0" customHeight="1">
      <c r="A135" s="2" t="s">
        <v>218</v>
      </c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48"/>
      <c r="P135" s="48">
        <f>'Plan comercial'!C62</f>
        <v>7</v>
      </c>
      <c r="Q135" s="48">
        <f>'Plan comercial'!D62</f>
        <v>15</v>
      </c>
      <c r="R135" s="48">
        <f>'Plan comercial'!E62</f>
        <v>24</v>
      </c>
    </row>
    <row r="136" ht="21.0" customHeight="1">
      <c r="A136" s="7" t="s">
        <v>219</v>
      </c>
      <c r="B136" s="8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40"/>
      <c r="P136" s="40"/>
      <c r="Q136" s="40"/>
      <c r="R136" s="41"/>
    </row>
    <row r="137" ht="21.0" customHeight="1">
      <c r="A137" s="2" t="s">
        <v>220</v>
      </c>
      <c r="B137" s="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48"/>
      <c r="P137" s="48">
        <v>12.0</v>
      </c>
      <c r="Q137" s="48">
        <v>12.0</v>
      </c>
      <c r="R137" s="48">
        <v>12.0</v>
      </c>
    </row>
    <row r="138" ht="21.0" customHeight="1">
      <c r="A138" s="2" t="s">
        <v>221</v>
      </c>
      <c r="B138" s="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72"/>
      <c r="P138" s="72">
        <f t="shared" ref="P138:R138" si="90">IF($C$101=1,P137,(1-$C$101^P137)/(1-$C$101))</f>
        <v>9.192798247</v>
      </c>
      <c r="Q138" s="72">
        <f t="shared" si="90"/>
        <v>9.192798247</v>
      </c>
      <c r="R138" s="72">
        <f t="shared" si="90"/>
        <v>9.192798247</v>
      </c>
    </row>
    <row r="139" ht="21.0" customHeight="1">
      <c r="A139" s="2" t="s">
        <v>222</v>
      </c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72"/>
      <c r="P139" s="72">
        <f t="shared" ref="P139:R139" si="91">IF($C$101=1,P137*(P137-1)/2,(P137-P138)/(1-$C$101))</f>
        <v>56.14403507</v>
      </c>
      <c r="Q139" s="72">
        <f t="shared" si="91"/>
        <v>56.14403507</v>
      </c>
      <c r="R139" s="72">
        <f t="shared" si="91"/>
        <v>56.14403507</v>
      </c>
    </row>
    <row r="140" ht="21.0" customHeight="1">
      <c r="A140" s="2" t="s">
        <v>223</v>
      </c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72"/>
      <c r="P140" s="72">
        <f>N60*$C$101+P131/P137</f>
        <v>25</v>
      </c>
      <c r="Q140" s="72">
        <f t="shared" ref="Q140:R140" si="92">P141*$C$101+Q131/Q137</f>
        <v>284.995625</v>
      </c>
      <c r="R140" s="72">
        <f t="shared" si="92"/>
        <v>840.1868107</v>
      </c>
    </row>
    <row r="141" ht="21.0" customHeight="1">
      <c r="A141" s="2" t="s">
        <v>224</v>
      </c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72"/>
      <c r="P141" s="72">
        <f t="shared" ref="P141:R141" si="93">P140*$C$101^(P137-1)+P131/P137*(P138-$C$101^(P137-1))</f>
        <v>229.8199562</v>
      </c>
      <c r="Q141" s="72">
        <f t="shared" si="93"/>
        <v>737.0387481</v>
      </c>
      <c r="R141" s="72">
        <f t="shared" si="93"/>
        <v>1685.258077</v>
      </c>
    </row>
    <row r="142" ht="21.0" customHeight="1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48"/>
      <c r="P142" s="48"/>
      <c r="Q142" s="48"/>
      <c r="R142" s="48"/>
    </row>
    <row r="143" ht="21.0" customHeight="1">
      <c r="A143" s="2" t="s">
        <v>225</v>
      </c>
      <c r="B143" s="2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48"/>
      <c r="P143" s="73">
        <f t="shared" ref="P143:R143" si="94">P62</f>
        <v>30</v>
      </c>
      <c r="Q143" s="73">
        <f t="shared" si="94"/>
        <v>80</v>
      </c>
      <c r="R143" s="73">
        <f t="shared" si="94"/>
        <v>168</v>
      </c>
    </row>
    <row r="144" ht="21.0" customHeight="1">
      <c r="A144" s="2" t="s">
        <v>226</v>
      </c>
      <c r="B144" s="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74"/>
      <c r="P144" s="74">
        <f t="shared" ref="P144:R144" si="95">P45</f>
        <v>15968.37348</v>
      </c>
      <c r="Q144" s="74">
        <f t="shared" si="95"/>
        <v>139335.2689</v>
      </c>
      <c r="R144" s="74">
        <f t="shared" si="95"/>
        <v>451017.529</v>
      </c>
    </row>
    <row r="145" ht="21.0" customHeight="1">
      <c r="A145" s="2"/>
      <c r="B145" s="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48"/>
      <c r="P145" s="48"/>
      <c r="Q145" s="48"/>
      <c r="R145" s="48"/>
    </row>
    <row r="146" ht="21.0" customHeight="1">
      <c r="A146" s="69" t="s">
        <v>227</v>
      </c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48"/>
      <c r="P146" s="48"/>
      <c r="Q146" s="48"/>
      <c r="R146" s="48"/>
    </row>
    <row r="147" ht="21.0" customHeight="1">
      <c r="A147" s="69" t="s">
        <v>228</v>
      </c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48"/>
      <c r="P147" s="48"/>
      <c r="Q147" s="48"/>
      <c r="R147" s="48"/>
    </row>
    <row r="148" ht="21.0" customHeight="1">
      <c r="A148" s="69" t="s">
        <v>229</v>
      </c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48"/>
      <c r="P148" s="48"/>
      <c r="Q148" s="48"/>
      <c r="R148" s="48"/>
    </row>
    <row r="149" ht="21.0" customHeight="1">
      <c r="A149" s="69" t="s">
        <v>230</v>
      </c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48"/>
      <c r="P149" s="48"/>
      <c r="Q149" s="48"/>
      <c r="R149" s="48"/>
    </row>
    <row r="150" ht="21.0" customHeight="1">
      <c r="A150" s="2"/>
      <c r="B150" s="2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48"/>
      <c r="P150" s="48"/>
      <c r="Q150" s="48"/>
      <c r="R150" s="48"/>
    </row>
    <row r="151" ht="15.75" customHeight="1">
      <c r="A151" s="2"/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48"/>
      <c r="P151" s="48"/>
      <c r="Q151" s="48"/>
      <c r="R151" s="48"/>
    </row>
    <row r="152" ht="21.75" customHeight="1">
      <c r="A152" s="7" t="s">
        <v>231</v>
      </c>
      <c r="B152" s="8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40"/>
      <c r="P152" s="40"/>
      <c r="Q152" s="40"/>
      <c r="R152" s="41"/>
      <c r="S152" s="75"/>
    </row>
    <row r="153" ht="21.75" customHeight="1">
      <c r="A153" s="2" t="s">
        <v>185</v>
      </c>
      <c r="B153" s="2"/>
      <c r="C153" s="61">
        <f>$C$96</f>
        <v>0.2</v>
      </c>
      <c r="D153" s="3"/>
      <c r="E153" s="3" t="s">
        <v>232</v>
      </c>
      <c r="F153" s="3"/>
      <c r="G153" s="3"/>
      <c r="H153" s="3"/>
      <c r="I153" s="3"/>
      <c r="J153" s="3"/>
      <c r="K153" s="3"/>
      <c r="L153" s="3"/>
      <c r="M153" s="3"/>
      <c r="N153" s="3"/>
      <c r="O153" s="48"/>
      <c r="P153" s="48"/>
      <c r="Q153" s="48"/>
      <c r="R153" s="48"/>
      <c r="S153" s="75"/>
    </row>
    <row r="154" ht="21.75" customHeight="1">
      <c r="A154" s="2" t="s">
        <v>233</v>
      </c>
      <c r="B154" s="2"/>
      <c r="C154" s="76">
        <f>DATE(2027,1,1)</f>
        <v>46388</v>
      </c>
      <c r="D154" s="3"/>
      <c r="E154" s="3" t="s">
        <v>234</v>
      </c>
      <c r="F154" s="3"/>
      <c r="G154" s="3"/>
      <c r="H154" s="3"/>
      <c r="I154" s="3"/>
      <c r="J154" s="3"/>
      <c r="K154" s="3"/>
      <c r="L154" s="3"/>
      <c r="M154" s="3"/>
      <c r="N154" s="3"/>
      <c r="O154" s="48"/>
      <c r="P154" s="48"/>
      <c r="Q154" s="48"/>
      <c r="R154" s="48"/>
      <c r="S154" s="75"/>
    </row>
    <row r="155" ht="21.75" customHeight="1">
      <c r="A155" s="2" t="s">
        <v>235</v>
      </c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48"/>
      <c r="P155" s="48"/>
      <c r="Q155" s="48"/>
      <c r="R155" s="48"/>
      <c r="S155" s="75"/>
    </row>
    <row r="156" ht="21.75" customHeight="1">
      <c r="A156" s="2" t="s">
        <v>236</v>
      </c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48"/>
      <c r="P156" s="48"/>
      <c r="Q156" s="48"/>
      <c r="R156" s="48"/>
      <c r="S156" s="75"/>
    </row>
    <row r="157" ht="21.75" customHeight="1">
      <c r="A157" s="2"/>
      <c r="B157" s="2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48"/>
      <c r="P157" s="48"/>
      <c r="Q157" s="48"/>
      <c r="R157" s="48"/>
      <c r="S157" s="75"/>
    </row>
    <row r="158" ht="21.75" customHeight="1">
      <c r="A158" s="2"/>
      <c r="B158" s="2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8"/>
      <c r="P158" s="78"/>
      <c r="Q158" s="78"/>
      <c r="R158" s="78"/>
      <c r="S158" s="79"/>
    </row>
    <row r="159" ht="21.75" customHeight="1">
      <c r="A159" s="2"/>
      <c r="B159" s="2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74"/>
      <c r="P159" s="74"/>
      <c r="Q159" s="74"/>
      <c r="R159" s="74"/>
      <c r="S159" s="81"/>
    </row>
    <row r="160" ht="21.75" customHeight="1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48"/>
      <c r="P160" s="48"/>
      <c r="Q160" s="48"/>
      <c r="R160" s="48"/>
      <c r="S160" s="75"/>
    </row>
    <row r="161" ht="21.75" customHeight="1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48"/>
      <c r="P161" s="48"/>
      <c r="Q161" s="48"/>
      <c r="R161" s="48"/>
      <c r="S161" s="75"/>
    </row>
    <row r="162" ht="21.75" customHeight="1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48"/>
      <c r="P162" s="48"/>
      <c r="Q162" s="48"/>
      <c r="R162" s="48"/>
      <c r="S162" s="75"/>
    </row>
    <row r="163" ht="15.75" customHeight="1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48"/>
      <c r="P163" s="48"/>
      <c r="Q163" s="48"/>
      <c r="R163" s="48"/>
    </row>
    <row r="164" ht="15.75" customHeight="1">
      <c r="A164" s="2"/>
      <c r="B164" s="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48"/>
      <c r="P164" s="48"/>
      <c r="Q164" s="48"/>
      <c r="R164" s="48"/>
    </row>
    <row r="165" ht="33.75" customHeight="1">
      <c r="A165" s="2"/>
      <c r="B165" s="2"/>
      <c r="C165" s="3"/>
      <c r="D165" s="3"/>
      <c r="E165" s="82" t="s">
        <v>237</v>
      </c>
      <c r="F165" s="82" t="s">
        <v>238</v>
      </c>
      <c r="G165" s="82" t="s">
        <v>239</v>
      </c>
      <c r="H165" s="3"/>
      <c r="I165" s="3"/>
      <c r="J165" s="3"/>
      <c r="K165" s="3"/>
      <c r="L165" s="3"/>
      <c r="M165" s="3"/>
      <c r="N165" s="3"/>
      <c r="O165" s="48"/>
      <c r="P165" s="48"/>
      <c r="Q165" s="48"/>
      <c r="R165" s="48"/>
    </row>
    <row r="166" ht="21.75" customHeight="1">
      <c r="A166" s="2"/>
      <c r="B166" s="2"/>
      <c r="C166" s="3"/>
      <c r="D166" s="3"/>
      <c r="E166" s="60">
        <v>0.0</v>
      </c>
      <c r="F166" s="76">
        <f t="shared" ref="F166:F181" si="96">$C$154+ROUND(E166*365/12,0)</f>
        <v>46388</v>
      </c>
      <c r="G166" s="80">
        <f>0</f>
        <v>0</v>
      </c>
      <c r="H166" s="3"/>
      <c r="I166" s="3"/>
      <c r="J166" s="3"/>
      <c r="K166" s="3"/>
      <c r="L166" s="3"/>
      <c r="M166" s="3"/>
      <c r="N166" s="3"/>
      <c r="O166" s="48"/>
      <c r="P166" s="48"/>
      <c r="Q166" s="48"/>
      <c r="R166" s="48"/>
    </row>
    <row r="167" ht="21.75" customHeight="1">
      <c r="A167" s="2"/>
      <c r="B167" s="2"/>
      <c r="C167" s="3"/>
      <c r="D167" s="3"/>
      <c r="E167" s="60">
        <v>1.0</v>
      </c>
      <c r="F167" s="76">
        <f t="shared" si="96"/>
        <v>46418</v>
      </c>
      <c r="G167" s="80">
        <f>C45</f>
        <v>-15700</v>
      </c>
      <c r="H167" s="3"/>
      <c r="I167" s="3"/>
      <c r="J167" s="3"/>
      <c r="K167" s="3"/>
      <c r="L167" s="3"/>
      <c r="M167" s="3"/>
      <c r="N167" s="3"/>
      <c r="O167" s="48"/>
      <c r="P167" s="48"/>
      <c r="Q167" s="48"/>
      <c r="R167" s="48"/>
    </row>
    <row r="168" ht="21.75" customHeight="1">
      <c r="A168" s="2"/>
      <c r="B168" s="2"/>
      <c r="C168" s="3"/>
      <c r="D168" s="3"/>
      <c r="E168" s="60">
        <v>2.0</v>
      </c>
      <c r="F168" s="76">
        <f t="shared" si="96"/>
        <v>46449</v>
      </c>
      <c r="G168" s="80">
        <f>D45</f>
        <v>-17500</v>
      </c>
      <c r="H168" s="3"/>
      <c r="I168" s="3"/>
      <c r="J168" s="3"/>
      <c r="K168" s="3"/>
      <c r="L168" s="3"/>
      <c r="M168" s="3"/>
      <c r="N168" s="3"/>
      <c r="O168" s="48"/>
      <c r="P168" s="48"/>
      <c r="Q168" s="48"/>
      <c r="R168" s="48"/>
    </row>
    <row r="169" ht="21.75" customHeight="1">
      <c r="A169" s="2"/>
      <c r="B169" s="2"/>
      <c r="C169" s="3"/>
      <c r="D169" s="3"/>
      <c r="E169" s="60">
        <v>3.0</v>
      </c>
      <c r="F169" s="76">
        <f t="shared" si="96"/>
        <v>46479</v>
      </c>
      <c r="G169" s="80">
        <f>E45</f>
        <v>-15700</v>
      </c>
      <c r="H169" s="3"/>
      <c r="I169" s="3"/>
      <c r="J169" s="3"/>
      <c r="K169" s="3"/>
      <c r="L169" s="3"/>
      <c r="M169" s="3"/>
      <c r="N169" s="3"/>
      <c r="O169" s="48"/>
      <c r="P169" s="48"/>
      <c r="Q169" s="48"/>
      <c r="R169" s="48"/>
    </row>
    <row r="170" ht="21.75" customHeight="1">
      <c r="A170" s="2"/>
      <c r="B170" s="2"/>
      <c r="C170" s="3"/>
      <c r="D170" s="3"/>
      <c r="E170" s="60">
        <v>4.0</v>
      </c>
      <c r="F170" s="76">
        <f t="shared" si="96"/>
        <v>46510</v>
      </c>
      <c r="G170" s="80">
        <f>F45</f>
        <v>-16700</v>
      </c>
      <c r="H170" s="3"/>
      <c r="I170" s="3"/>
      <c r="J170" s="3"/>
      <c r="K170" s="3"/>
      <c r="L170" s="3"/>
      <c r="M170" s="3"/>
      <c r="N170" s="3"/>
      <c r="O170" s="48"/>
      <c r="P170" s="48"/>
      <c r="Q170" s="48"/>
      <c r="R170" s="48"/>
    </row>
    <row r="171" ht="21.75" customHeight="1">
      <c r="A171" s="2"/>
      <c r="B171" s="2"/>
      <c r="C171" s="3"/>
      <c r="D171" s="3"/>
      <c r="E171" s="60">
        <v>5.0</v>
      </c>
      <c r="F171" s="76">
        <f t="shared" si="96"/>
        <v>46540</v>
      </c>
      <c r="G171" s="80">
        <f>G45</f>
        <v>-16700</v>
      </c>
      <c r="H171" s="3"/>
      <c r="I171" s="3"/>
      <c r="J171" s="3"/>
      <c r="K171" s="3"/>
      <c r="L171" s="3"/>
      <c r="M171" s="3"/>
      <c r="N171" s="3"/>
      <c r="O171" s="48"/>
      <c r="P171" s="48"/>
      <c r="Q171" s="48"/>
      <c r="R171" s="48"/>
    </row>
    <row r="172" ht="21.75" customHeight="1">
      <c r="A172" s="2"/>
      <c r="B172" s="2"/>
      <c r="C172" s="3"/>
      <c r="D172" s="3"/>
      <c r="E172" s="60">
        <v>6.0</v>
      </c>
      <c r="F172" s="76">
        <f t="shared" si="96"/>
        <v>46571</v>
      </c>
      <c r="G172" s="80">
        <f>H45</f>
        <v>-16700</v>
      </c>
      <c r="H172" s="3"/>
      <c r="I172" s="3"/>
      <c r="J172" s="3"/>
      <c r="K172" s="3"/>
      <c r="L172" s="3"/>
      <c r="M172" s="3"/>
      <c r="N172" s="3"/>
      <c r="O172" s="48"/>
      <c r="P172" s="48"/>
      <c r="Q172" s="48"/>
      <c r="R172" s="48"/>
    </row>
    <row r="173" ht="21.75" customHeight="1">
      <c r="A173" s="2"/>
      <c r="B173" s="2"/>
      <c r="C173" s="3"/>
      <c r="D173" s="3"/>
      <c r="E173" s="60">
        <v>7.0</v>
      </c>
      <c r="F173" s="76">
        <f t="shared" si="96"/>
        <v>46601</v>
      </c>
      <c r="G173" s="80">
        <f>I45</f>
        <v>-16700</v>
      </c>
      <c r="H173" s="3"/>
      <c r="I173" s="3"/>
      <c r="J173" s="3"/>
      <c r="K173" s="3"/>
      <c r="L173" s="3"/>
      <c r="M173" s="3"/>
      <c r="N173" s="3"/>
      <c r="O173" s="48"/>
      <c r="P173" s="48"/>
      <c r="Q173" s="48"/>
      <c r="R173" s="48"/>
    </row>
    <row r="174" ht="21.75" customHeight="1">
      <c r="A174" s="2"/>
      <c r="B174" s="2"/>
      <c r="C174" s="3"/>
      <c r="D174" s="3"/>
      <c r="E174" s="60">
        <v>8.0</v>
      </c>
      <c r="F174" s="76">
        <f t="shared" si="96"/>
        <v>46631</v>
      </c>
      <c r="G174" s="80">
        <f>J45</f>
        <v>-16700</v>
      </c>
      <c r="H174" s="3"/>
      <c r="I174" s="3"/>
      <c r="J174" s="3"/>
      <c r="K174" s="3"/>
      <c r="L174" s="3"/>
      <c r="M174" s="3"/>
      <c r="N174" s="3"/>
      <c r="O174" s="48"/>
      <c r="P174" s="48"/>
      <c r="Q174" s="48"/>
      <c r="R174" s="48"/>
    </row>
    <row r="175" ht="21.75" customHeight="1">
      <c r="A175" s="2"/>
      <c r="B175" s="2"/>
      <c r="C175" s="3"/>
      <c r="D175" s="3"/>
      <c r="E175" s="60">
        <v>9.0</v>
      </c>
      <c r="F175" s="76">
        <f t="shared" si="96"/>
        <v>46662</v>
      </c>
      <c r="G175" s="80">
        <f>K45</f>
        <v>-16700</v>
      </c>
      <c r="H175" s="3"/>
      <c r="I175" s="3"/>
      <c r="J175" s="3"/>
      <c r="K175" s="3"/>
      <c r="L175" s="3"/>
      <c r="M175" s="3"/>
      <c r="N175" s="3"/>
      <c r="O175" s="48"/>
      <c r="P175" s="48"/>
      <c r="Q175" s="48"/>
      <c r="R175" s="48"/>
    </row>
    <row r="176" ht="21.75" customHeight="1">
      <c r="A176" s="2"/>
      <c r="B176" s="2"/>
      <c r="C176" s="3"/>
      <c r="D176" s="3"/>
      <c r="E176" s="60">
        <v>10.0</v>
      </c>
      <c r="F176" s="76">
        <f t="shared" si="96"/>
        <v>46692</v>
      </c>
      <c r="G176" s="80">
        <f>L45</f>
        <v>-16700</v>
      </c>
      <c r="H176" s="3"/>
      <c r="I176" s="3"/>
      <c r="J176" s="3"/>
      <c r="K176" s="3"/>
      <c r="L176" s="3"/>
      <c r="M176" s="3"/>
      <c r="N176" s="3"/>
      <c r="O176" s="48"/>
      <c r="P176" s="48"/>
      <c r="Q176" s="48"/>
      <c r="R176" s="48"/>
    </row>
    <row r="177" ht="21.75" customHeight="1">
      <c r="A177" s="2"/>
      <c r="B177" s="2"/>
      <c r="C177" s="3"/>
      <c r="D177" s="3"/>
      <c r="E177" s="60">
        <v>11.0</v>
      </c>
      <c r="F177" s="76">
        <f t="shared" si="96"/>
        <v>46723</v>
      </c>
      <c r="G177" s="80">
        <f>M45</f>
        <v>-16700</v>
      </c>
      <c r="H177" s="3"/>
      <c r="I177" s="3"/>
      <c r="J177" s="3"/>
      <c r="K177" s="3"/>
      <c r="L177" s="3"/>
      <c r="M177" s="3"/>
      <c r="N177" s="3"/>
      <c r="O177" s="48"/>
      <c r="P177" s="48"/>
      <c r="Q177" s="48"/>
      <c r="R177" s="48"/>
    </row>
    <row r="178" ht="21.75" customHeight="1">
      <c r="A178" s="2"/>
      <c r="B178" s="2"/>
      <c r="C178" s="3"/>
      <c r="D178" s="3"/>
      <c r="E178" s="60">
        <v>12.0</v>
      </c>
      <c r="F178" s="76">
        <f t="shared" si="96"/>
        <v>46753</v>
      </c>
      <c r="G178" s="80">
        <f>N45</f>
        <v>-16700</v>
      </c>
      <c r="H178" s="3"/>
      <c r="I178" s="3"/>
      <c r="J178" s="3"/>
      <c r="K178" s="3"/>
      <c r="L178" s="3"/>
      <c r="M178" s="3"/>
      <c r="N178" s="3"/>
      <c r="O178" s="48"/>
      <c r="P178" s="48"/>
      <c r="Q178" s="48"/>
      <c r="R178" s="48"/>
    </row>
    <row r="179" ht="21.75" customHeight="1">
      <c r="A179" s="2"/>
      <c r="B179" s="2"/>
      <c r="C179" s="3"/>
      <c r="D179" s="3"/>
      <c r="E179" s="60">
        <v>24.0</v>
      </c>
      <c r="F179" s="76">
        <f t="shared" si="96"/>
        <v>47118</v>
      </c>
      <c r="G179" s="80">
        <f>P45</f>
        <v>15968.37348</v>
      </c>
      <c r="H179" s="3"/>
      <c r="I179" s="3"/>
      <c r="J179" s="3"/>
      <c r="K179" s="3"/>
      <c r="L179" s="3"/>
      <c r="M179" s="3"/>
      <c r="N179" s="3"/>
      <c r="O179" s="48"/>
      <c r="P179" s="48"/>
      <c r="Q179" s="48"/>
      <c r="R179" s="48"/>
    </row>
    <row r="180" ht="21.75" customHeight="1">
      <c r="A180" s="2"/>
      <c r="B180" s="2"/>
      <c r="C180" s="3"/>
      <c r="D180" s="3"/>
      <c r="E180" s="60">
        <v>36.0</v>
      </c>
      <c r="F180" s="76">
        <f t="shared" si="96"/>
        <v>47483</v>
      </c>
      <c r="G180" s="80">
        <f>Q45</f>
        <v>139335.2689</v>
      </c>
      <c r="H180" s="3"/>
      <c r="I180" s="3"/>
      <c r="J180" s="3"/>
      <c r="K180" s="3"/>
      <c r="L180" s="3"/>
      <c r="M180" s="3"/>
      <c r="N180" s="3"/>
      <c r="O180" s="48"/>
      <c r="P180" s="48"/>
      <c r="Q180" s="48"/>
      <c r="R180" s="48"/>
    </row>
    <row r="181" ht="21.75" customHeight="1">
      <c r="A181" s="2"/>
      <c r="B181" s="2"/>
      <c r="C181" s="3"/>
      <c r="D181" s="3"/>
      <c r="E181" s="60">
        <v>48.0</v>
      </c>
      <c r="F181" s="76">
        <f t="shared" si="96"/>
        <v>47848</v>
      </c>
      <c r="G181" s="80">
        <f>R45</f>
        <v>451017.529</v>
      </c>
      <c r="H181" s="3"/>
      <c r="I181" s="3"/>
      <c r="J181" s="3"/>
      <c r="K181" s="3"/>
      <c r="L181" s="3"/>
      <c r="M181" s="3"/>
      <c r="N181" s="3"/>
      <c r="O181" s="48"/>
      <c r="P181" s="48"/>
      <c r="Q181" s="48"/>
      <c r="R181" s="48"/>
    </row>
    <row r="182" ht="15.75" customHeight="1">
      <c r="C182" s="83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</row>
    <row r="183" ht="15.75" customHeight="1">
      <c r="C183" s="83"/>
      <c r="D183" s="83"/>
      <c r="E183" s="83"/>
      <c r="F183" s="83"/>
      <c r="G183" s="83"/>
      <c r="H183" s="83"/>
      <c r="I183" s="83"/>
      <c r="J183" s="83"/>
      <c r="K183" s="83"/>
      <c r="L183" s="83"/>
      <c r="M183" s="83"/>
      <c r="N183" s="83"/>
    </row>
    <row r="184" ht="15.75" customHeight="1">
      <c r="C184" s="83"/>
      <c r="D184" s="83"/>
      <c r="E184" s="83"/>
      <c r="F184" s="83"/>
      <c r="G184" s="83"/>
      <c r="H184" s="83"/>
      <c r="I184" s="83"/>
      <c r="J184" s="83"/>
      <c r="K184" s="83"/>
      <c r="L184" s="83"/>
      <c r="M184" s="83"/>
      <c r="N184" s="83"/>
    </row>
    <row r="185" ht="15.75" customHeight="1">
      <c r="C185" s="83"/>
      <c r="D185" s="83"/>
      <c r="E185" s="83"/>
      <c r="F185" s="83"/>
      <c r="G185" s="83"/>
      <c r="H185" s="83"/>
      <c r="I185" s="83"/>
      <c r="J185" s="83"/>
      <c r="K185" s="83"/>
      <c r="L185" s="83"/>
      <c r="M185" s="83"/>
      <c r="N185" s="83"/>
    </row>
    <row r="186" ht="15.75" customHeight="1">
      <c r="C186" s="83"/>
      <c r="D186" s="83"/>
      <c r="E186" s="83"/>
      <c r="F186" s="83"/>
      <c r="G186" s="83"/>
      <c r="H186" s="83"/>
      <c r="I186" s="83"/>
      <c r="J186" s="83"/>
      <c r="K186" s="83"/>
      <c r="L186" s="83"/>
      <c r="M186" s="83"/>
      <c r="N186" s="83"/>
    </row>
    <row r="187" ht="15.75" customHeight="1"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</row>
    <row r="188" ht="15.75" customHeight="1">
      <c r="C188" s="83"/>
      <c r="D188" s="83"/>
      <c r="E188" s="83"/>
      <c r="F188" s="83"/>
      <c r="G188" s="83"/>
      <c r="H188" s="83"/>
      <c r="I188" s="83"/>
      <c r="J188" s="83"/>
      <c r="K188" s="83"/>
      <c r="L188" s="83"/>
      <c r="M188" s="83"/>
      <c r="N188" s="83"/>
    </row>
    <row r="189" ht="15.75" customHeight="1"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</row>
    <row r="190" ht="15.75" customHeight="1">
      <c r="C190" s="83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</row>
    <row r="191" ht="15.75" customHeight="1">
      <c r="C191" s="83"/>
      <c r="D191" s="83"/>
      <c r="E191" s="83"/>
      <c r="F191" s="83"/>
      <c r="G191" s="83"/>
      <c r="H191" s="83"/>
      <c r="I191" s="83"/>
      <c r="J191" s="83"/>
      <c r="K191" s="83"/>
      <c r="L191" s="83"/>
      <c r="M191" s="83"/>
      <c r="N191" s="83"/>
    </row>
    <row r="192" ht="15.75" customHeight="1">
      <c r="C192" s="83"/>
      <c r="D192" s="83"/>
      <c r="E192" s="83"/>
      <c r="F192" s="83"/>
      <c r="G192" s="83"/>
      <c r="H192" s="83"/>
      <c r="I192" s="83"/>
      <c r="J192" s="83"/>
      <c r="K192" s="83"/>
      <c r="L192" s="83"/>
      <c r="M192" s="83"/>
      <c r="N192" s="83"/>
    </row>
    <row r="193" ht="15.75" customHeight="1">
      <c r="C193" s="83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</row>
    <row r="194" ht="15.75" customHeight="1">
      <c r="C194" s="83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</row>
    <row r="195" ht="15.75" customHeight="1"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</row>
    <row r="196" ht="15.75" customHeight="1">
      <c r="C196" s="83"/>
      <c r="D196" s="83"/>
      <c r="E196" s="83"/>
      <c r="F196" s="83"/>
      <c r="G196" s="83"/>
      <c r="H196" s="83"/>
      <c r="I196" s="83"/>
      <c r="J196" s="83"/>
      <c r="K196" s="83"/>
      <c r="L196" s="83"/>
      <c r="M196" s="83"/>
      <c r="N196" s="83"/>
    </row>
    <row r="197" ht="15.75" customHeight="1"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</row>
    <row r="198" ht="15.75" customHeight="1"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</row>
    <row r="199" ht="15.75" customHeight="1"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</row>
    <row r="200" ht="15.75" customHeight="1"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</row>
    <row r="201" ht="15.75" customHeight="1"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</row>
    <row r="202" ht="15.75" customHeight="1">
      <c r="C202" s="83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</row>
    <row r="203" ht="15.75" customHeight="1"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</row>
    <row r="204" ht="15.75" customHeight="1">
      <c r="C204" s="83"/>
      <c r="D204" s="83"/>
      <c r="E204" s="83"/>
      <c r="F204" s="83"/>
      <c r="G204" s="83"/>
      <c r="H204" s="83"/>
      <c r="I204" s="83"/>
      <c r="J204" s="83"/>
      <c r="K204" s="83"/>
      <c r="L204" s="83"/>
      <c r="M204" s="83"/>
      <c r="N204" s="83"/>
    </row>
    <row r="205" ht="15.75" customHeight="1"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</row>
    <row r="206" ht="15.75" customHeight="1"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</row>
    <row r="207" ht="15.75" customHeight="1"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  <c r="N207" s="83"/>
    </row>
    <row r="208" ht="15.75" customHeight="1"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</row>
    <row r="209" ht="15.75" customHeight="1"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</row>
    <row r="210" ht="15.75" customHeight="1"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  <c r="N210" s="83"/>
    </row>
    <row r="211" ht="15.75" customHeight="1"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  <c r="N211" s="83"/>
    </row>
    <row r="212" ht="15.75" customHeight="1"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</row>
    <row r="213" ht="15.75" customHeight="1"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  <c r="N213" s="83"/>
    </row>
    <row r="214" ht="15.75" customHeight="1">
      <c r="C214" s="83"/>
      <c r="D214" s="83"/>
      <c r="E214" s="83"/>
      <c r="F214" s="83"/>
      <c r="G214" s="83"/>
      <c r="H214" s="83"/>
      <c r="I214" s="83"/>
      <c r="J214" s="83"/>
      <c r="K214" s="83"/>
      <c r="L214" s="83"/>
      <c r="M214" s="83"/>
      <c r="N214" s="83"/>
    </row>
    <row r="215" ht="15.75" customHeight="1">
      <c r="C215" s="83"/>
      <c r="D215" s="83"/>
      <c r="E215" s="83"/>
      <c r="F215" s="83"/>
      <c r="G215" s="83"/>
      <c r="H215" s="83"/>
      <c r="I215" s="83"/>
      <c r="J215" s="83"/>
      <c r="K215" s="83"/>
      <c r="L215" s="83"/>
      <c r="M215" s="83"/>
      <c r="N215" s="83"/>
    </row>
    <row r="216" ht="15.75" customHeight="1">
      <c r="C216" s="83"/>
      <c r="D216" s="83"/>
      <c r="E216" s="83"/>
      <c r="F216" s="83"/>
      <c r="G216" s="83"/>
      <c r="H216" s="83"/>
      <c r="I216" s="83"/>
      <c r="J216" s="83"/>
      <c r="K216" s="83"/>
      <c r="L216" s="83"/>
      <c r="M216" s="83"/>
      <c r="N216" s="83"/>
    </row>
    <row r="217" ht="15.75" customHeight="1">
      <c r="C217" s="83"/>
      <c r="D217" s="83"/>
      <c r="E217" s="83"/>
      <c r="F217" s="83"/>
      <c r="G217" s="83"/>
      <c r="H217" s="83"/>
      <c r="I217" s="83"/>
      <c r="J217" s="83"/>
      <c r="K217" s="83"/>
      <c r="L217" s="83"/>
      <c r="M217" s="83"/>
      <c r="N217" s="83"/>
    </row>
    <row r="218" ht="15.75" customHeight="1">
      <c r="C218" s="83"/>
      <c r="D218" s="83"/>
      <c r="E218" s="83"/>
      <c r="F218" s="83"/>
      <c r="G218" s="83"/>
      <c r="H218" s="83"/>
      <c r="I218" s="83"/>
      <c r="J218" s="83"/>
      <c r="K218" s="83"/>
      <c r="L218" s="83"/>
      <c r="M218" s="83"/>
      <c r="N218" s="83"/>
    </row>
    <row r="219" ht="15.75" customHeight="1">
      <c r="C219" s="83"/>
      <c r="D219" s="83"/>
      <c r="E219" s="83"/>
      <c r="F219" s="83"/>
      <c r="G219" s="83"/>
      <c r="H219" s="83"/>
      <c r="I219" s="83"/>
      <c r="J219" s="83"/>
      <c r="K219" s="83"/>
      <c r="L219" s="83"/>
      <c r="M219" s="83"/>
      <c r="N219" s="83"/>
    </row>
    <row r="220" ht="15.75" customHeight="1">
      <c r="C220" s="83"/>
      <c r="D220" s="83"/>
      <c r="E220" s="83"/>
      <c r="F220" s="83"/>
      <c r="G220" s="83"/>
      <c r="H220" s="83"/>
      <c r="I220" s="83"/>
      <c r="J220" s="83"/>
      <c r="K220" s="83"/>
      <c r="L220" s="83"/>
      <c r="M220" s="83"/>
      <c r="N220" s="83"/>
    </row>
    <row r="221" ht="15.75" customHeight="1">
      <c r="C221" s="83"/>
      <c r="D221" s="83"/>
      <c r="E221" s="83"/>
      <c r="F221" s="83"/>
      <c r="G221" s="83"/>
      <c r="H221" s="83"/>
      <c r="I221" s="83"/>
      <c r="J221" s="83"/>
      <c r="K221" s="83"/>
      <c r="L221" s="83"/>
      <c r="M221" s="83"/>
      <c r="N221" s="83"/>
    </row>
    <row r="222" ht="15.75" customHeight="1">
      <c r="C222" s="83"/>
      <c r="D222" s="83"/>
      <c r="E222" s="83"/>
      <c r="F222" s="83"/>
      <c r="G222" s="83"/>
      <c r="H222" s="83"/>
      <c r="I222" s="83"/>
      <c r="J222" s="83"/>
      <c r="K222" s="83"/>
      <c r="L222" s="83"/>
      <c r="M222" s="83"/>
      <c r="N222" s="83"/>
    </row>
    <row r="223" ht="15.75" customHeight="1"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3"/>
      <c r="N223" s="83"/>
    </row>
    <row r="224" ht="15.75" customHeight="1"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  <c r="N224" s="83"/>
    </row>
    <row r="225" ht="15.75" customHeight="1"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  <c r="N225" s="83"/>
    </row>
    <row r="226" ht="15.75" customHeight="1"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  <c r="N226" s="83"/>
    </row>
    <row r="227" ht="15.75" customHeight="1"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  <c r="N227" s="83"/>
    </row>
    <row r="228" ht="15.75" customHeight="1"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  <c r="N228" s="83"/>
    </row>
    <row r="229" ht="15.75" customHeight="1"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</row>
    <row r="230" ht="15.75" customHeight="1"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</row>
    <row r="231" ht="15.75" customHeight="1"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  <c r="N231" s="83"/>
    </row>
    <row r="232" ht="15.75" customHeight="1"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</row>
    <row r="233" ht="15.75" customHeight="1"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</row>
    <row r="234" ht="15.75" customHeight="1"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</row>
    <row r="235" ht="15.75" customHeight="1"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</row>
    <row r="236" ht="15.75" customHeight="1"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</row>
    <row r="237" ht="15.75" customHeight="1"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</row>
    <row r="238" ht="15.75" customHeight="1"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</row>
    <row r="239" ht="15.75" customHeight="1"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</row>
    <row r="240" ht="15.75" customHeight="1"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</row>
    <row r="241" ht="15.75" customHeight="1"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</row>
    <row r="242" ht="15.75" customHeight="1"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</row>
    <row r="243" ht="15.75" customHeight="1"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  <c r="N243" s="83"/>
    </row>
    <row r="244" ht="15.75" customHeight="1"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  <c r="N244" s="83"/>
    </row>
    <row r="245" ht="15.75" customHeight="1"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</row>
    <row r="246" ht="15.75" customHeight="1"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  <c r="N246" s="83"/>
    </row>
    <row r="247" ht="15.75" customHeight="1"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  <c r="N247" s="83"/>
    </row>
    <row r="248" ht="15.75" customHeight="1"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  <c r="N248" s="83"/>
    </row>
    <row r="249" ht="15.75" customHeight="1"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  <c r="N249" s="83"/>
    </row>
    <row r="250" ht="15.75" customHeight="1"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  <c r="N250" s="83"/>
    </row>
    <row r="251" ht="15.75" customHeight="1"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  <c r="N251" s="83"/>
    </row>
    <row r="252" ht="15.75" customHeight="1"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  <c r="N252" s="83"/>
    </row>
    <row r="253" ht="15.75" customHeight="1"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  <c r="N253" s="83"/>
    </row>
    <row r="254" ht="15.75" customHeight="1"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  <c r="N254" s="83"/>
    </row>
    <row r="255" ht="15.75" customHeight="1"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  <c r="N255" s="83"/>
    </row>
    <row r="256" ht="15.75" customHeight="1">
      <c r="C256" s="83"/>
      <c r="D256" s="83"/>
      <c r="E256" s="83"/>
      <c r="F256" s="83"/>
      <c r="G256" s="83"/>
      <c r="H256" s="83"/>
      <c r="I256" s="83"/>
      <c r="J256" s="83"/>
      <c r="K256" s="83"/>
      <c r="L256" s="83"/>
      <c r="M256" s="83"/>
      <c r="N256" s="83"/>
    </row>
    <row r="257" ht="15.75" customHeight="1">
      <c r="C257" s="83"/>
      <c r="D257" s="83"/>
      <c r="E257" s="83"/>
      <c r="F257" s="83"/>
      <c r="G257" s="83"/>
      <c r="H257" s="83"/>
      <c r="I257" s="83"/>
      <c r="J257" s="83"/>
      <c r="K257" s="83"/>
      <c r="L257" s="83"/>
      <c r="M257" s="83"/>
      <c r="N257" s="83"/>
    </row>
    <row r="258" ht="15.75" customHeight="1"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</row>
    <row r="259" ht="15.75" customHeight="1"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  <c r="N259" s="83"/>
    </row>
    <row r="260" ht="15.75" customHeight="1"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  <c r="N260" s="83"/>
    </row>
    <row r="261" ht="15.75" customHeight="1"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  <c r="N261" s="83"/>
    </row>
    <row r="262" ht="15.75" customHeight="1"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  <c r="N262" s="83"/>
    </row>
    <row r="263" ht="15.75" customHeight="1"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  <c r="N263" s="83"/>
    </row>
    <row r="264" ht="15.75" customHeight="1"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  <c r="N264" s="83"/>
    </row>
    <row r="265" ht="15.75" customHeight="1"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  <c r="N265" s="83"/>
    </row>
    <row r="266" ht="15.75" customHeight="1"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  <c r="N266" s="83"/>
    </row>
    <row r="267" ht="15.75" customHeight="1"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  <c r="N267" s="83"/>
    </row>
    <row r="268" ht="15.75" customHeight="1"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  <c r="N268" s="83"/>
    </row>
    <row r="269" ht="15.75" customHeight="1"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  <c r="N269" s="83"/>
    </row>
    <row r="270" ht="15.75" customHeight="1"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  <c r="N270" s="83"/>
    </row>
    <row r="271" ht="15.75" customHeight="1"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  <c r="N271" s="83"/>
    </row>
    <row r="272" ht="15.75" customHeight="1"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  <c r="N272" s="83"/>
    </row>
    <row r="273" ht="15.75" customHeight="1">
      <c r="C273" s="83"/>
      <c r="D273" s="83"/>
      <c r="E273" s="83"/>
      <c r="F273" s="83"/>
      <c r="G273" s="83"/>
      <c r="H273" s="83"/>
      <c r="I273" s="83"/>
      <c r="J273" s="83"/>
      <c r="K273" s="83"/>
      <c r="L273" s="83"/>
      <c r="M273" s="83"/>
      <c r="N273" s="83"/>
    </row>
    <row r="274" ht="15.75" customHeight="1">
      <c r="C274" s="83"/>
      <c r="D274" s="83"/>
      <c r="E274" s="83"/>
      <c r="F274" s="83"/>
      <c r="G274" s="83"/>
      <c r="H274" s="83"/>
      <c r="I274" s="83"/>
      <c r="J274" s="83"/>
      <c r="K274" s="83"/>
      <c r="L274" s="83"/>
      <c r="M274" s="83"/>
      <c r="N274" s="83"/>
    </row>
    <row r="275" ht="15.75" customHeight="1">
      <c r="C275" s="83"/>
      <c r="D275" s="83"/>
      <c r="E275" s="83"/>
      <c r="F275" s="83"/>
      <c r="G275" s="83"/>
      <c r="H275" s="83"/>
      <c r="I275" s="83"/>
      <c r="J275" s="83"/>
      <c r="K275" s="83"/>
      <c r="L275" s="83"/>
      <c r="M275" s="83"/>
      <c r="N275" s="83"/>
    </row>
    <row r="276" ht="15.75" customHeight="1">
      <c r="C276" s="83"/>
      <c r="D276" s="83"/>
      <c r="E276" s="83"/>
      <c r="F276" s="83"/>
      <c r="G276" s="83"/>
      <c r="H276" s="83"/>
      <c r="I276" s="83"/>
      <c r="J276" s="83"/>
      <c r="K276" s="83"/>
      <c r="L276" s="83"/>
      <c r="M276" s="83"/>
      <c r="N276" s="83"/>
    </row>
    <row r="277" ht="15.75" customHeight="1">
      <c r="C277" s="83"/>
      <c r="D277" s="83"/>
      <c r="E277" s="83"/>
      <c r="F277" s="83"/>
      <c r="G277" s="83"/>
      <c r="H277" s="83"/>
      <c r="I277" s="83"/>
      <c r="J277" s="83"/>
      <c r="K277" s="83"/>
      <c r="L277" s="83"/>
      <c r="M277" s="83"/>
      <c r="N277" s="83"/>
    </row>
    <row r="278" ht="15.75" customHeight="1">
      <c r="C278" s="83"/>
      <c r="D278" s="83"/>
      <c r="E278" s="83"/>
      <c r="F278" s="83"/>
      <c r="G278" s="83"/>
      <c r="H278" s="83"/>
      <c r="I278" s="83"/>
      <c r="J278" s="83"/>
      <c r="K278" s="83"/>
      <c r="L278" s="83"/>
      <c r="M278" s="83"/>
      <c r="N278" s="83"/>
    </row>
    <row r="279" ht="15.75" customHeight="1"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  <c r="N279" s="83"/>
    </row>
    <row r="280" ht="15.75" customHeight="1"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  <c r="N280" s="83"/>
    </row>
    <row r="281" ht="15.75" customHeight="1"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  <c r="N281" s="83"/>
    </row>
    <row r="282" ht="15.75" customHeight="1"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  <c r="N282" s="83"/>
    </row>
    <row r="283" ht="15.75" customHeight="1"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  <c r="N283" s="83"/>
    </row>
    <row r="284" ht="15.75" customHeight="1"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  <c r="N284" s="83"/>
    </row>
    <row r="285" ht="15.75" customHeight="1"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  <c r="N285" s="83"/>
    </row>
    <row r="286" ht="15.75" customHeight="1"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  <c r="N286" s="83"/>
    </row>
    <row r="287" ht="15.75" customHeight="1"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  <c r="N287" s="83"/>
    </row>
    <row r="288" ht="15.75" customHeight="1"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  <c r="N288" s="83"/>
    </row>
    <row r="289" ht="15.75" customHeight="1"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</row>
    <row r="290" ht="15.75" customHeight="1"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</row>
    <row r="291" ht="15.75" customHeight="1"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  <c r="N291" s="83"/>
    </row>
    <row r="292" ht="15.75" customHeight="1"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  <c r="N292" s="83"/>
    </row>
    <row r="293" ht="15.75" customHeight="1"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</row>
    <row r="294" ht="15.75" customHeight="1"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</row>
    <row r="295" ht="15.75" customHeight="1"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  <c r="N295" s="83"/>
    </row>
    <row r="296" ht="15.75" customHeight="1"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  <c r="N296" s="83"/>
    </row>
    <row r="297" ht="15.75" customHeight="1"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</row>
    <row r="298" ht="15.75" customHeight="1"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</row>
    <row r="299" ht="15.75" customHeight="1"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  <c r="N299" s="83"/>
    </row>
    <row r="300" ht="15.75" customHeight="1"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  <c r="N300" s="83"/>
    </row>
    <row r="301" ht="15.75" customHeight="1"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</row>
    <row r="302" ht="15.75" customHeight="1">
      <c r="C302" s="83"/>
      <c r="D302" s="83"/>
      <c r="E302" s="83"/>
      <c r="F302" s="83"/>
      <c r="G302" s="83"/>
      <c r="H302" s="83"/>
      <c r="I302" s="83"/>
      <c r="J302" s="83"/>
      <c r="K302" s="83"/>
      <c r="L302" s="83"/>
      <c r="M302" s="83"/>
      <c r="N302" s="83"/>
    </row>
    <row r="303" ht="15.75" customHeight="1">
      <c r="C303" s="83"/>
      <c r="D303" s="83"/>
      <c r="E303" s="83"/>
      <c r="F303" s="83"/>
      <c r="G303" s="83"/>
      <c r="H303" s="83"/>
      <c r="I303" s="83"/>
      <c r="J303" s="83"/>
      <c r="K303" s="83"/>
      <c r="L303" s="83"/>
      <c r="M303" s="83"/>
      <c r="N303" s="83"/>
    </row>
    <row r="304" ht="15.75" customHeight="1">
      <c r="C304" s="83"/>
      <c r="D304" s="83"/>
      <c r="E304" s="83"/>
      <c r="F304" s="83"/>
      <c r="G304" s="83"/>
      <c r="H304" s="83"/>
      <c r="I304" s="83"/>
      <c r="J304" s="83"/>
      <c r="K304" s="83"/>
      <c r="L304" s="83"/>
      <c r="M304" s="83"/>
      <c r="N304" s="83"/>
    </row>
    <row r="305" ht="15.75" customHeight="1">
      <c r="C305" s="83"/>
      <c r="D305" s="83"/>
      <c r="E305" s="83"/>
      <c r="F305" s="83"/>
      <c r="G305" s="83"/>
      <c r="H305" s="83"/>
      <c r="I305" s="83"/>
      <c r="J305" s="83"/>
      <c r="K305" s="83"/>
      <c r="L305" s="83"/>
      <c r="M305" s="83"/>
      <c r="N305" s="83"/>
    </row>
    <row r="306" ht="15.75" customHeight="1">
      <c r="C306" s="83"/>
      <c r="D306" s="83"/>
      <c r="E306" s="83"/>
      <c r="F306" s="83"/>
      <c r="G306" s="83"/>
      <c r="H306" s="83"/>
      <c r="I306" s="83"/>
      <c r="J306" s="83"/>
      <c r="K306" s="83"/>
      <c r="L306" s="83"/>
      <c r="M306" s="83"/>
      <c r="N306" s="83"/>
    </row>
    <row r="307" ht="15.75" customHeight="1">
      <c r="C307" s="83"/>
      <c r="D307" s="83"/>
      <c r="E307" s="83"/>
      <c r="F307" s="83"/>
      <c r="G307" s="83"/>
      <c r="H307" s="83"/>
      <c r="I307" s="83"/>
      <c r="J307" s="83"/>
      <c r="K307" s="83"/>
      <c r="L307" s="83"/>
      <c r="M307" s="83"/>
      <c r="N307" s="83"/>
    </row>
    <row r="308" ht="15.75" customHeight="1">
      <c r="C308" s="83"/>
      <c r="D308" s="83"/>
      <c r="E308" s="83"/>
      <c r="F308" s="83"/>
      <c r="G308" s="83"/>
      <c r="H308" s="83"/>
      <c r="I308" s="83"/>
      <c r="J308" s="83"/>
      <c r="K308" s="83"/>
      <c r="L308" s="83"/>
      <c r="M308" s="83"/>
      <c r="N308" s="83"/>
    </row>
    <row r="309" ht="15.75" customHeight="1">
      <c r="C309" s="83"/>
      <c r="D309" s="83"/>
      <c r="E309" s="83"/>
      <c r="F309" s="83"/>
      <c r="G309" s="83"/>
      <c r="H309" s="83"/>
      <c r="I309" s="83"/>
      <c r="J309" s="83"/>
      <c r="K309" s="83"/>
      <c r="L309" s="83"/>
      <c r="M309" s="83"/>
      <c r="N309" s="83"/>
    </row>
    <row r="310" ht="15.75" customHeight="1">
      <c r="C310" s="83"/>
      <c r="D310" s="83"/>
      <c r="E310" s="83"/>
      <c r="F310" s="83"/>
      <c r="G310" s="83"/>
      <c r="H310" s="83"/>
      <c r="I310" s="83"/>
      <c r="J310" s="83"/>
      <c r="K310" s="83"/>
      <c r="L310" s="83"/>
      <c r="M310" s="83"/>
      <c r="N310" s="83"/>
    </row>
    <row r="311" ht="15.75" customHeight="1">
      <c r="C311" s="83"/>
      <c r="D311" s="83"/>
      <c r="E311" s="83"/>
      <c r="F311" s="83"/>
      <c r="G311" s="83"/>
      <c r="H311" s="83"/>
      <c r="I311" s="83"/>
      <c r="J311" s="83"/>
      <c r="K311" s="83"/>
      <c r="L311" s="83"/>
      <c r="M311" s="83"/>
      <c r="N311" s="83"/>
    </row>
    <row r="312" ht="15.75" customHeight="1">
      <c r="C312" s="83"/>
      <c r="D312" s="83"/>
      <c r="E312" s="83"/>
      <c r="F312" s="83"/>
      <c r="G312" s="83"/>
      <c r="H312" s="83"/>
      <c r="I312" s="83"/>
      <c r="J312" s="83"/>
      <c r="K312" s="83"/>
      <c r="L312" s="83"/>
      <c r="M312" s="83"/>
      <c r="N312" s="83"/>
    </row>
    <row r="313" ht="15.75" customHeight="1">
      <c r="C313" s="83"/>
      <c r="D313" s="83"/>
      <c r="E313" s="83"/>
      <c r="F313" s="83"/>
      <c r="G313" s="83"/>
      <c r="H313" s="83"/>
      <c r="I313" s="83"/>
      <c r="J313" s="83"/>
      <c r="K313" s="83"/>
      <c r="L313" s="83"/>
      <c r="M313" s="83"/>
      <c r="N313" s="83"/>
    </row>
    <row r="314" ht="15.75" customHeight="1"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  <c r="N314" s="83"/>
    </row>
    <row r="315" ht="15.75" customHeight="1"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  <c r="N315" s="83"/>
    </row>
    <row r="316" ht="15.75" customHeight="1">
      <c r="C316" s="83"/>
      <c r="D316" s="83"/>
      <c r="E316" s="83"/>
      <c r="F316" s="83"/>
      <c r="G316" s="83"/>
      <c r="H316" s="83"/>
      <c r="I316" s="83"/>
      <c r="J316" s="83"/>
      <c r="K316" s="83"/>
      <c r="L316" s="83"/>
      <c r="M316" s="83"/>
      <c r="N316" s="83"/>
    </row>
    <row r="317" ht="15.75" customHeight="1">
      <c r="C317" s="83"/>
      <c r="D317" s="83"/>
      <c r="E317" s="83"/>
      <c r="F317" s="83"/>
      <c r="G317" s="83"/>
      <c r="H317" s="83"/>
      <c r="I317" s="83"/>
      <c r="J317" s="83"/>
      <c r="K317" s="83"/>
      <c r="L317" s="83"/>
      <c r="M317" s="83"/>
      <c r="N317" s="83"/>
    </row>
    <row r="318" ht="15.75" customHeight="1">
      <c r="C318" s="83"/>
      <c r="D318" s="83"/>
      <c r="E318" s="83"/>
      <c r="F318" s="83"/>
      <c r="G318" s="83"/>
      <c r="H318" s="83"/>
      <c r="I318" s="83"/>
      <c r="J318" s="83"/>
      <c r="K318" s="83"/>
      <c r="L318" s="83"/>
      <c r="M318" s="83"/>
      <c r="N318" s="83"/>
    </row>
    <row r="319" ht="15.75" customHeight="1"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  <c r="N319" s="83"/>
    </row>
    <row r="320" ht="15.75" customHeight="1"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  <c r="N320" s="83"/>
    </row>
    <row r="321" ht="15.75" customHeight="1">
      <c r="C321" s="83"/>
      <c r="D321" s="83"/>
      <c r="E321" s="83"/>
      <c r="F321" s="83"/>
      <c r="G321" s="83"/>
      <c r="H321" s="83"/>
      <c r="I321" s="83"/>
      <c r="J321" s="83"/>
      <c r="K321" s="83"/>
      <c r="L321" s="83"/>
      <c r="M321" s="83"/>
      <c r="N321" s="83"/>
    </row>
    <row r="322" ht="15.75" customHeight="1">
      <c r="C322" s="83"/>
      <c r="D322" s="83"/>
      <c r="E322" s="83"/>
      <c r="F322" s="83"/>
      <c r="G322" s="83"/>
      <c r="H322" s="83"/>
      <c r="I322" s="83"/>
      <c r="J322" s="83"/>
      <c r="K322" s="83"/>
      <c r="L322" s="83"/>
      <c r="M322" s="83"/>
      <c r="N322" s="83"/>
    </row>
    <row r="323" ht="15.75" customHeight="1">
      <c r="C323" s="83"/>
      <c r="D323" s="83"/>
      <c r="E323" s="83"/>
      <c r="F323" s="83"/>
      <c r="G323" s="83"/>
      <c r="H323" s="83"/>
      <c r="I323" s="83"/>
      <c r="J323" s="83"/>
      <c r="K323" s="83"/>
      <c r="L323" s="83"/>
      <c r="M323" s="83"/>
      <c r="N323" s="83"/>
    </row>
    <row r="324" ht="15.75" customHeight="1">
      <c r="C324" s="83"/>
      <c r="D324" s="83"/>
      <c r="E324" s="83"/>
      <c r="F324" s="83"/>
      <c r="G324" s="83"/>
      <c r="H324" s="83"/>
      <c r="I324" s="83"/>
      <c r="J324" s="83"/>
      <c r="K324" s="83"/>
      <c r="L324" s="83"/>
      <c r="M324" s="83"/>
      <c r="N324" s="83"/>
    </row>
    <row r="325" ht="15.75" customHeight="1"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  <c r="N325" s="83"/>
    </row>
    <row r="326" ht="15.75" customHeight="1"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  <c r="N326" s="83"/>
    </row>
    <row r="327" ht="15.75" customHeight="1"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  <c r="N327" s="83"/>
    </row>
    <row r="328" ht="15.75" customHeight="1"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  <c r="N328" s="83"/>
    </row>
    <row r="329" ht="15.75" customHeight="1"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  <c r="N329" s="83"/>
    </row>
    <row r="330" ht="15.75" customHeight="1"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  <c r="N330" s="83"/>
    </row>
    <row r="331" ht="15.75" customHeight="1"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  <c r="N331" s="83"/>
    </row>
    <row r="332" ht="15.75" customHeight="1"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  <c r="N332" s="83"/>
    </row>
    <row r="333" ht="15.75" customHeight="1">
      <c r="C333" s="83"/>
      <c r="D333" s="83"/>
      <c r="E333" s="83"/>
      <c r="F333" s="83"/>
      <c r="G333" s="83"/>
      <c r="H333" s="83"/>
      <c r="I333" s="83"/>
      <c r="J333" s="83"/>
      <c r="K333" s="83"/>
      <c r="L333" s="83"/>
      <c r="M333" s="83"/>
      <c r="N333" s="83"/>
    </row>
    <row r="334" ht="15.75" customHeight="1">
      <c r="C334" s="83"/>
      <c r="D334" s="83"/>
      <c r="E334" s="83"/>
      <c r="F334" s="83"/>
      <c r="G334" s="83"/>
      <c r="H334" s="83"/>
      <c r="I334" s="83"/>
      <c r="J334" s="83"/>
      <c r="K334" s="83"/>
      <c r="L334" s="83"/>
      <c r="M334" s="83"/>
      <c r="N334" s="83"/>
    </row>
    <row r="335" ht="15.75" customHeight="1">
      <c r="C335" s="83"/>
      <c r="D335" s="83"/>
      <c r="E335" s="83"/>
      <c r="F335" s="83"/>
      <c r="G335" s="83"/>
      <c r="H335" s="83"/>
      <c r="I335" s="83"/>
      <c r="J335" s="83"/>
      <c r="K335" s="83"/>
      <c r="L335" s="83"/>
      <c r="M335" s="83"/>
      <c r="N335" s="83"/>
    </row>
    <row r="336" ht="15.75" customHeight="1">
      <c r="C336" s="83"/>
      <c r="D336" s="83"/>
      <c r="E336" s="83"/>
      <c r="F336" s="83"/>
      <c r="G336" s="83"/>
      <c r="H336" s="83"/>
      <c r="I336" s="83"/>
      <c r="J336" s="83"/>
      <c r="K336" s="83"/>
      <c r="L336" s="83"/>
      <c r="M336" s="83"/>
      <c r="N336" s="83"/>
    </row>
    <row r="337" ht="15.75" customHeight="1">
      <c r="C337" s="83"/>
      <c r="D337" s="83"/>
      <c r="E337" s="83"/>
      <c r="F337" s="83"/>
      <c r="G337" s="83"/>
      <c r="H337" s="83"/>
      <c r="I337" s="83"/>
      <c r="J337" s="83"/>
      <c r="K337" s="83"/>
      <c r="L337" s="83"/>
      <c r="M337" s="83"/>
      <c r="N337" s="83"/>
    </row>
    <row r="338" ht="15.75" customHeight="1">
      <c r="C338" s="83"/>
      <c r="D338" s="83"/>
      <c r="E338" s="83"/>
      <c r="F338" s="83"/>
      <c r="G338" s="83"/>
      <c r="H338" s="83"/>
      <c r="I338" s="83"/>
      <c r="J338" s="83"/>
      <c r="K338" s="83"/>
      <c r="L338" s="83"/>
      <c r="M338" s="83"/>
      <c r="N338" s="83"/>
    </row>
    <row r="339" ht="15.75" customHeight="1">
      <c r="C339" s="83"/>
      <c r="D339" s="83"/>
      <c r="E339" s="83"/>
      <c r="F339" s="83"/>
      <c r="G339" s="83"/>
      <c r="H339" s="83"/>
      <c r="I339" s="83"/>
      <c r="J339" s="83"/>
      <c r="K339" s="83"/>
      <c r="L339" s="83"/>
      <c r="M339" s="83"/>
      <c r="N339" s="83"/>
    </row>
    <row r="340" ht="15.75" customHeight="1">
      <c r="C340" s="83"/>
      <c r="D340" s="83"/>
      <c r="E340" s="83"/>
      <c r="F340" s="83"/>
      <c r="G340" s="83"/>
      <c r="H340" s="83"/>
      <c r="I340" s="83"/>
      <c r="J340" s="83"/>
      <c r="K340" s="83"/>
      <c r="L340" s="83"/>
      <c r="M340" s="83"/>
      <c r="N340" s="83"/>
    </row>
    <row r="341" ht="15.75" customHeight="1">
      <c r="C341" s="83"/>
      <c r="D341" s="83"/>
      <c r="E341" s="83"/>
      <c r="F341" s="83"/>
      <c r="G341" s="83"/>
      <c r="H341" s="83"/>
      <c r="I341" s="83"/>
      <c r="J341" s="83"/>
      <c r="K341" s="83"/>
      <c r="L341" s="83"/>
      <c r="M341" s="83"/>
      <c r="N341" s="83"/>
    </row>
    <row r="342" ht="15.75" customHeight="1">
      <c r="C342" s="83"/>
      <c r="D342" s="83"/>
      <c r="E342" s="83"/>
      <c r="F342" s="83"/>
      <c r="G342" s="83"/>
      <c r="H342" s="83"/>
      <c r="I342" s="83"/>
      <c r="J342" s="83"/>
      <c r="K342" s="83"/>
      <c r="L342" s="83"/>
      <c r="M342" s="83"/>
      <c r="N342" s="83"/>
    </row>
    <row r="343" ht="15.75" customHeight="1">
      <c r="C343" s="83"/>
      <c r="D343" s="83"/>
      <c r="E343" s="83"/>
      <c r="F343" s="83"/>
      <c r="G343" s="83"/>
      <c r="H343" s="83"/>
      <c r="I343" s="83"/>
      <c r="J343" s="83"/>
      <c r="K343" s="83"/>
      <c r="L343" s="83"/>
      <c r="M343" s="83"/>
      <c r="N343" s="83"/>
    </row>
    <row r="344" ht="15.75" customHeight="1">
      <c r="C344" s="83"/>
      <c r="D344" s="83"/>
      <c r="E344" s="83"/>
      <c r="F344" s="83"/>
      <c r="G344" s="83"/>
      <c r="H344" s="83"/>
      <c r="I344" s="83"/>
      <c r="J344" s="83"/>
      <c r="K344" s="83"/>
      <c r="L344" s="83"/>
      <c r="M344" s="83"/>
      <c r="N344" s="83"/>
    </row>
    <row r="345" ht="15.75" customHeight="1">
      <c r="C345" s="83"/>
      <c r="D345" s="83"/>
      <c r="E345" s="83"/>
      <c r="F345" s="83"/>
      <c r="G345" s="83"/>
      <c r="H345" s="83"/>
      <c r="I345" s="83"/>
      <c r="J345" s="83"/>
      <c r="K345" s="83"/>
      <c r="L345" s="83"/>
      <c r="M345" s="83"/>
      <c r="N345" s="83"/>
    </row>
    <row r="346" ht="15.75" customHeight="1">
      <c r="C346" s="83"/>
      <c r="D346" s="83"/>
      <c r="E346" s="83"/>
      <c r="F346" s="83"/>
      <c r="G346" s="83"/>
      <c r="H346" s="83"/>
      <c r="I346" s="83"/>
      <c r="J346" s="83"/>
      <c r="K346" s="83"/>
      <c r="L346" s="83"/>
      <c r="M346" s="83"/>
      <c r="N346" s="83"/>
    </row>
    <row r="347" ht="15.75" customHeight="1">
      <c r="C347" s="83"/>
      <c r="D347" s="83"/>
      <c r="E347" s="83"/>
      <c r="F347" s="83"/>
      <c r="G347" s="83"/>
      <c r="H347" s="83"/>
      <c r="I347" s="83"/>
      <c r="J347" s="83"/>
      <c r="K347" s="83"/>
      <c r="L347" s="83"/>
      <c r="M347" s="83"/>
      <c r="N347" s="83"/>
    </row>
    <row r="348" ht="15.75" customHeight="1">
      <c r="C348" s="83"/>
      <c r="D348" s="83"/>
      <c r="E348" s="83"/>
      <c r="F348" s="83"/>
      <c r="G348" s="83"/>
      <c r="H348" s="83"/>
      <c r="I348" s="83"/>
      <c r="J348" s="83"/>
      <c r="K348" s="83"/>
      <c r="L348" s="83"/>
      <c r="M348" s="83"/>
      <c r="N348" s="83"/>
    </row>
    <row r="349" ht="15.75" customHeight="1">
      <c r="C349" s="83"/>
      <c r="D349" s="83"/>
      <c r="E349" s="83"/>
      <c r="F349" s="83"/>
      <c r="G349" s="83"/>
      <c r="H349" s="83"/>
      <c r="I349" s="83"/>
      <c r="J349" s="83"/>
      <c r="K349" s="83"/>
      <c r="L349" s="83"/>
      <c r="M349" s="83"/>
      <c r="N349" s="83"/>
    </row>
    <row r="350" ht="15.75" customHeight="1">
      <c r="C350" s="83"/>
      <c r="D350" s="83"/>
      <c r="E350" s="83"/>
      <c r="F350" s="83"/>
      <c r="G350" s="83"/>
      <c r="H350" s="83"/>
      <c r="I350" s="83"/>
      <c r="J350" s="83"/>
      <c r="K350" s="83"/>
      <c r="L350" s="83"/>
      <c r="M350" s="83"/>
      <c r="N350" s="83"/>
    </row>
    <row r="351" ht="15.75" customHeight="1">
      <c r="C351" s="83"/>
      <c r="D351" s="83"/>
      <c r="E351" s="83"/>
      <c r="F351" s="83"/>
      <c r="G351" s="83"/>
      <c r="H351" s="83"/>
      <c r="I351" s="83"/>
      <c r="J351" s="83"/>
      <c r="K351" s="83"/>
      <c r="L351" s="83"/>
      <c r="M351" s="83"/>
      <c r="N351" s="83"/>
    </row>
    <row r="352" ht="15.75" customHeight="1">
      <c r="C352" s="83"/>
      <c r="D352" s="83"/>
      <c r="E352" s="83"/>
      <c r="F352" s="83"/>
      <c r="G352" s="83"/>
      <c r="H352" s="83"/>
      <c r="I352" s="83"/>
      <c r="J352" s="83"/>
      <c r="K352" s="83"/>
      <c r="L352" s="83"/>
      <c r="M352" s="83"/>
      <c r="N352" s="83"/>
    </row>
    <row r="353" ht="15.75" customHeight="1">
      <c r="C353" s="83"/>
      <c r="D353" s="83"/>
      <c r="E353" s="83"/>
      <c r="F353" s="83"/>
      <c r="G353" s="83"/>
      <c r="H353" s="83"/>
      <c r="I353" s="83"/>
      <c r="J353" s="83"/>
      <c r="K353" s="83"/>
      <c r="L353" s="83"/>
      <c r="M353" s="83"/>
      <c r="N353" s="83"/>
    </row>
    <row r="354" ht="15.75" customHeight="1">
      <c r="C354" s="83"/>
      <c r="D354" s="83"/>
      <c r="E354" s="83"/>
      <c r="F354" s="83"/>
      <c r="G354" s="83"/>
      <c r="H354" s="83"/>
      <c r="I354" s="83"/>
      <c r="J354" s="83"/>
      <c r="K354" s="83"/>
      <c r="L354" s="83"/>
      <c r="M354" s="83"/>
      <c r="N354" s="83"/>
    </row>
    <row r="355" ht="15.75" customHeight="1">
      <c r="C355" s="83"/>
      <c r="D355" s="83"/>
      <c r="E355" s="83"/>
      <c r="F355" s="83"/>
      <c r="G355" s="83"/>
      <c r="H355" s="83"/>
      <c r="I355" s="83"/>
      <c r="J355" s="83"/>
      <c r="K355" s="83"/>
      <c r="L355" s="83"/>
      <c r="M355" s="83"/>
      <c r="N355" s="83"/>
    </row>
    <row r="356" ht="15.75" customHeight="1">
      <c r="C356" s="83"/>
      <c r="D356" s="83"/>
      <c r="E356" s="83"/>
      <c r="F356" s="83"/>
      <c r="G356" s="83"/>
      <c r="H356" s="83"/>
      <c r="I356" s="83"/>
      <c r="J356" s="83"/>
      <c r="K356" s="83"/>
      <c r="L356" s="83"/>
      <c r="M356" s="83"/>
      <c r="N356" s="83"/>
    </row>
    <row r="357" ht="15.75" customHeight="1">
      <c r="C357" s="83"/>
      <c r="D357" s="83"/>
      <c r="E357" s="83"/>
      <c r="F357" s="83"/>
      <c r="G357" s="83"/>
      <c r="H357" s="83"/>
      <c r="I357" s="83"/>
      <c r="J357" s="83"/>
      <c r="K357" s="83"/>
      <c r="L357" s="83"/>
      <c r="M357" s="83"/>
      <c r="N357" s="83"/>
    </row>
    <row r="358" ht="15.75" customHeight="1">
      <c r="C358" s="83"/>
      <c r="D358" s="83"/>
      <c r="E358" s="83"/>
      <c r="F358" s="83"/>
      <c r="G358" s="83"/>
      <c r="H358" s="83"/>
      <c r="I358" s="83"/>
      <c r="J358" s="83"/>
      <c r="K358" s="83"/>
      <c r="L358" s="83"/>
      <c r="M358" s="83"/>
      <c r="N358" s="83"/>
    </row>
    <row r="359" ht="15.75" customHeight="1">
      <c r="C359" s="83"/>
      <c r="D359" s="83"/>
      <c r="E359" s="83"/>
      <c r="F359" s="83"/>
      <c r="G359" s="83"/>
      <c r="H359" s="83"/>
      <c r="I359" s="83"/>
      <c r="J359" s="83"/>
      <c r="K359" s="83"/>
      <c r="L359" s="83"/>
      <c r="M359" s="83"/>
      <c r="N359" s="83"/>
    </row>
    <row r="360" ht="15.75" customHeight="1">
      <c r="C360" s="83"/>
      <c r="D360" s="83"/>
      <c r="E360" s="83"/>
      <c r="F360" s="83"/>
      <c r="G360" s="83"/>
      <c r="H360" s="83"/>
      <c r="I360" s="83"/>
      <c r="J360" s="83"/>
      <c r="K360" s="83"/>
      <c r="L360" s="83"/>
      <c r="M360" s="83"/>
      <c r="N360" s="83"/>
    </row>
    <row r="361" ht="15.75" customHeight="1">
      <c r="C361" s="83"/>
      <c r="D361" s="83"/>
      <c r="E361" s="83"/>
      <c r="F361" s="83"/>
      <c r="G361" s="83"/>
      <c r="H361" s="83"/>
      <c r="I361" s="83"/>
      <c r="J361" s="83"/>
      <c r="K361" s="83"/>
      <c r="L361" s="83"/>
      <c r="M361" s="83"/>
      <c r="N361" s="83"/>
    </row>
    <row r="362" ht="15.75" customHeight="1">
      <c r="C362" s="83"/>
      <c r="D362" s="83"/>
      <c r="E362" s="83"/>
      <c r="F362" s="83"/>
      <c r="G362" s="83"/>
      <c r="H362" s="83"/>
      <c r="I362" s="83"/>
      <c r="J362" s="83"/>
      <c r="K362" s="83"/>
      <c r="L362" s="83"/>
      <c r="M362" s="83"/>
      <c r="N362" s="83"/>
    </row>
    <row r="363" ht="15.75" customHeight="1">
      <c r="C363" s="83"/>
      <c r="D363" s="83"/>
      <c r="E363" s="83"/>
      <c r="F363" s="83"/>
      <c r="G363" s="83"/>
      <c r="H363" s="83"/>
      <c r="I363" s="83"/>
      <c r="J363" s="83"/>
      <c r="K363" s="83"/>
      <c r="L363" s="83"/>
      <c r="M363" s="83"/>
      <c r="N363" s="83"/>
    </row>
    <row r="364" ht="15.75" customHeight="1">
      <c r="C364" s="83"/>
      <c r="D364" s="83"/>
      <c r="E364" s="83"/>
      <c r="F364" s="83"/>
      <c r="G364" s="83"/>
      <c r="H364" s="83"/>
      <c r="I364" s="83"/>
      <c r="J364" s="83"/>
      <c r="K364" s="83"/>
      <c r="L364" s="83"/>
      <c r="M364" s="83"/>
      <c r="N364" s="83"/>
    </row>
    <row r="365" ht="15.75" customHeight="1">
      <c r="C365" s="83"/>
      <c r="D365" s="83"/>
      <c r="E365" s="83"/>
      <c r="F365" s="83"/>
      <c r="G365" s="83"/>
      <c r="H365" s="83"/>
      <c r="I365" s="83"/>
      <c r="J365" s="83"/>
      <c r="K365" s="83"/>
      <c r="L365" s="83"/>
      <c r="M365" s="83"/>
      <c r="N365" s="83"/>
    </row>
    <row r="366" ht="15.75" customHeight="1">
      <c r="C366" s="83"/>
      <c r="D366" s="83"/>
      <c r="E366" s="83"/>
      <c r="F366" s="83"/>
      <c r="G366" s="83"/>
      <c r="H366" s="83"/>
      <c r="I366" s="83"/>
      <c r="J366" s="83"/>
      <c r="K366" s="83"/>
      <c r="L366" s="83"/>
      <c r="M366" s="83"/>
      <c r="N366" s="83"/>
    </row>
    <row r="367" ht="15.75" customHeight="1">
      <c r="C367" s="83"/>
      <c r="D367" s="83"/>
      <c r="E367" s="83"/>
      <c r="F367" s="83"/>
      <c r="G367" s="83"/>
      <c r="H367" s="83"/>
      <c r="I367" s="83"/>
      <c r="J367" s="83"/>
      <c r="K367" s="83"/>
      <c r="L367" s="83"/>
      <c r="M367" s="83"/>
      <c r="N367" s="83"/>
    </row>
    <row r="368" ht="15.75" customHeight="1">
      <c r="C368" s="83"/>
      <c r="D368" s="83"/>
      <c r="E368" s="83"/>
      <c r="F368" s="83"/>
      <c r="G368" s="83"/>
      <c r="H368" s="83"/>
      <c r="I368" s="83"/>
      <c r="J368" s="83"/>
      <c r="K368" s="83"/>
      <c r="L368" s="83"/>
      <c r="M368" s="83"/>
      <c r="N368" s="83"/>
    </row>
    <row r="369" ht="15.75" customHeight="1">
      <c r="C369" s="83"/>
      <c r="D369" s="83"/>
      <c r="E369" s="83"/>
      <c r="F369" s="83"/>
      <c r="G369" s="83"/>
      <c r="H369" s="83"/>
      <c r="I369" s="83"/>
      <c r="J369" s="83"/>
      <c r="K369" s="83"/>
      <c r="L369" s="83"/>
      <c r="M369" s="83"/>
      <c r="N369" s="83"/>
    </row>
    <row r="370" ht="15.75" customHeight="1">
      <c r="C370" s="83"/>
      <c r="D370" s="83"/>
      <c r="E370" s="83"/>
      <c r="F370" s="83"/>
      <c r="G370" s="83"/>
      <c r="H370" s="83"/>
      <c r="I370" s="83"/>
      <c r="J370" s="83"/>
      <c r="K370" s="83"/>
      <c r="L370" s="83"/>
      <c r="M370" s="83"/>
      <c r="N370" s="83"/>
    </row>
    <row r="371" ht="15.75" customHeight="1">
      <c r="C371" s="83"/>
      <c r="D371" s="83"/>
      <c r="E371" s="83"/>
      <c r="F371" s="83"/>
      <c r="G371" s="83"/>
      <c r="H371" s="83"/>
      <c r="I371" s="83"/>
      <c r="J371" s="83"/>
      <c r="K371" s="83"/>
      <c r="L371" s="83"/>
      <c r="M371" s="83"/>
      <c r="N371" s="83"/>
    </row>
    <row r="372" ht="15.75" customHeight="1">
      <c r="C372" s="83"/>
      <c r="D372" s="83"/>
      <c r="E372" s="83"/>
      <c r="F372" s="83"/>
      <c r="G372" s="83"/>
      <c r="H372" s="83"/>
      <c r="I372" s="83"/>
      <c r="J372" s="83"/>
      <c r="K372" s="83"/>
      <c r="L372" s="83"/>
      <c r="M372" s="83"/>
      <c r="N372" s="83"/>
    </row>
    <row r="373" ht="15.75" customHeight="1">
      <c r="C373" s="83"/>
      <c r="D373" s="83"/>
      <c r="E373" s="83"/>
      <c r="F373" s="83"/>
      <c r="G373" s="83"/>
      <c r="H373" s="83"/>
      <c r="I373" s="83"/>
      <c r="J373" s="83"/>
      <c r="K373" s="83"/>
      <c r="L373" s="83"/>
      <c r="M373" s="83"/>
      <c r="N373" s="83"/>
    </row>
    <row r="374" ht="15.75" customHeight="1">
      <c r="C374" s="83"/>
      <c r="D374" s="83"/>
      <c r="E374" s="83"/>
      <c r="F374" s="83"/>
      <c r="G374" s="83"/>
      <c r="H374" s="83"/>
      <c r="I374" s="83"/>
      <c r="J374" s="83"/>
      <c r="K374" s="83"/>
      <c r="L374" s="83"/>
      <c r="M374" s="83"/>
      <c r="N374" s="83"/>
    </row>
    <row r="375" ht="15.75" customHeight="1">
      <c r="C375" s="83"/>
      <c r="D375" s="83"/>
      <c r="E375" s="83"/>
      <c r="F375" s="83"/>
      <c r="G375" s="83"/>
      <c r="H375" s="83"/>
      <c r="I375" s="83"/>
      <c r="J375" s="83"/>
      <c r="K375" s="83"/>
      <c r="L375" s="83"/>
      <c r="M375" s="83"/>
      <c r="N375" s="83"/>
    </row>
    <row r="376" ht="15.75" customHeight="1">
      <c r="C376" s="83"/>
      <c r="D376" s="83"/>
      <c r="E376" s="83"/>
      <c r="F376" s="83"/>
      <c r="G376" s="83"/>
      <c r="H376" s="83"/>
      <c r="I376" s="83"/>
      <c r="J376" s="83"/>
      <c r="K376" s="83"/>
      <c r="L376" s="83"/>
      <c r="M376" s="83"/>
      <c r="N376" s="83"/>
    </row>
    <row r="377" ht="15.75" customHeight="1">
      <c r="C377" s="83"/>
      <c r="D377" s="83"/>
      <c r="E377" s="83"/>
      <c r="F377" s="83"/>
      <c r="G377" s="83"/>
      <c r="H377" s="83"/>
      <c r="I377" s="83"/>
      <c r="J377" s="83"/>
      <c r="K377" s="83"/>
      <c r="L377" s="83"/>
      <c r="M377" s="83"/>
      <c r="N377" s="83"/>
    </row>
    <row r="378" ht="15.75" customHeight="1"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  <c r="N378" s="83"/>
    </row>
    <row r="379" ht="15.75" customHeight="1"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  <c r="N379" s="83"/>
    </row>
    <row r="380" ht="15.75" customHeight="1"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  <c r="N380" s="83"/>
    </row>
    <row r="381" ht="15.75" customHeight="1"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</row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E89:P89"/>
    <mergeCell ref="E90:P90"/>
    <mergeCell ref="E91:P91"/>
    <mergeCell ref="E92:P92"/>
    <mergeCell ref="E93:P93"/>
  </mergeCells>
  <conditionalFormatting sqref="C43:N43">
    <cfRule type="cellIs" dxfId="0" priority="1" operator="lessThan">
      <formula>-0.005</formula>
    </cfRule>
  </conditionalFormatting>
  <conditionalFormatting sqref="C62:N62">
    <cfRule type="cellIs" dxfId="0" priority="2" operator="lessThan">
      <formula>0</formula>
    </cfRule>
  </conditionalFormatting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4472C4"/>
    <pageSetUpPr/>
  </sheetPr>
  <sheetViews>
    <sheetView showGridLines="0" workbookViewId="0">
      <pane xSplit="4.0" ySplit="5.0" topLeftCell="E6" activePane="bottomRight" state="frozen"/>
      <selection activeCell="E1" sqref="E1" pane="topRight"/>
      <selection activeCell="A6" sqref="A6" pane="bottomLeft"/>
      <selection activeCell="E6" sqref="E6" pane="bottomRight"/>
    </sheetView>
  </sheetViews>
  <sheetFormatPr customHeight="1" defaultColWidth="12.63" defaultRowHeight="15.0"/>
  <cols>
    <col customWidth="1" min="1" max="1" width="12.0"/>
    <col customWidth="1" min="2" max="2" width="18.0"/>
    <col customWidth="1" min="3" max="3" width="42.0"/>
    <col customWidth="1" min="4" max="4" width="24.0"/>
    <col customWidth="1" min="5" max="6" width="8.0"/>
    <col customWidth="1" min="7" max="7" width="14.0"/>
    <col customWidth="1" min="8" max="8" width="10.0"/>
    <col customWidth="1" min="9" max="9" width="34.0"/>
    <col customWidth="1" min="10" max="10" width="3.0"/>
    <col customWidth="1" min="11" max="22" width="5.0"/>
    <col customWidth="1" min="23" max="26" width="8.63"/>
  </cols>
  <sheetData>
    <row r="1">
      <c r="A1" s="84" t="s">
        <v>240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</row>
    <row r="2">
      <c r="A2" s="85" t="s">
        <v>241</v>
      </c>
      <c r="B2" s="85" t="s">
        <v>242</v>
      </c>
      <c r="C2" s="85"/>
      <c r="D2" s="85"/>
      <c r="E2" s="85" t="s">
        <v>243</v>
      </c>
      <c r="F2" s="85">
        <v>7680.0</v>
      </c>
      <c r="G2" s="85" t="s">
        <v>212</v>
      </c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</row>
    <row r="3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</row>
    <row r="4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</row>
    <row r="5">
      <c r="A5" s="4" t="s">
        <v>244</v>
      </c>
      <c r="B5" s="4" t="s">
        <v>245</v>
      </c>
      <c r="C5" s="4" t="s">
        <v>246</v>
      </c>
      <c r="D5" s="4" t="s">
        <v>247</v>
      </c>
      <c r="E5" s="4" t="s">
        <v>248</v>
      </c>
      <c r="F5" s="4" t="s">
        <v>249</v>
      </c>
      <c r="G5" s="4" t="s">
        <v>250</v>
      </c>
      <c r="H5" s="4" t="s">
        <v>251</v>
      </c>
      <c r="I5" s="4" t="s">
        <v>252</v>
      </c>
      <c r="J5" s="4"/>
      <c r="K5" s="4" t="s">
        <v>253</v>
      </c>
      <c r="L5" s="4" t="s">
        <v>254</v>
      </c>
      <c r="M5" s="4" t="s">
        <v>255</v>
      </c>
      <c r="N5" s="4" t="s">
        <v>256</v>
      </c>
      <c r="O5" s="4" t="s">
        <v>257</v>
      </c>
      <c r="P5" s="4" t="s">
        <v>258</v>
      </c>
      <c r="Q5" s="4" t="s">
        <v>259</v>
      </c>
      <c r="R5" s="4" t="s">
        <v>260</v>
      </c>
      <c r="S5" s="4" t="s">
        <v>261</v>
      </c>
      <c r="T5" s="4" t="s">
        <v>262</v>
      </c>
      <c r="U5" s="4" t="s">
        <v>263</v>
      </c>
      <c r="V5" s="4" t="s">
        <v>264</v>
      </c>
    </row>
    <row r="6">
      <c r="A6" s="86" t="s">
        <v>265</v>
      </c>
      <c r="B6" s="87" t="s">
        <v>266</v>
      </c>
      <c r="C6" s="87" t="s">
        <v>267</v>
      </c>
      <c r="D6" s="87" t="s">
        <v>268</v>
      </c>
      <c r="E6" s="88">
        <v>1.0</v>
      </c>
      <c r="F6" s="88">
        <v>2.0</v>
      </c>
      <c r="G6" s="87" t="s">
        <v>269</v>
      </c>
      <c r="H6" s="87" t="s">
        <v>270</v>
      </c>
      <c r="I6" s="89" t="s">
        <v>271</v>
      </c>
      <c r="J6" s="85"/>
      <c r="K6" s="90" t="s">
        <v>272</v>
      </c>
      <c r="L6" s="90" t="s">
        <v>272</v>
      </c>
      <c r="M6" s="90"/>
      <c r="N6" s="90"/>
      <c r="O6" s="90"/>
      <c r="P6" s="90"/>
      <c r="Q6" s="90"/>
      <c r="R6" s="90"/>
      <c r="S6" s="90"/>
      <c r="T6" s="90"/>
      <c r="U6" s="90"/>
      <c r="V6" s="90"/>
    </row>
    <row r="7">
      <c r="A7" s="91" t="s">
        <v>273</v>
      </c>
      <c r="B7" s="92" t="s">
        <v>274</v>
      </c>
      <c r="C7" s="92" t="s">
        <v>275</v>
      </c>
      <c r="D7" s="92" t="s">
        <v>276</v>
      </c>
      <c r="E7" s="93">
        <v>1.0</v>
      </c>
      <c r="F7" s="93">
        <v>3.0</v>
      </c>
      <c r="G7" s="92" t="s">
        <v>265</v>
      </c>
      <c r="H7" s="92" t="s">
        <v>270</v>
      </c>
      <c r="I7" s="94" t="s">
        <v>277</v>
      </c>
      <c r="J7" s="85"/>
      <c r="K7" s="90" t="s">
        <v>272</v>
      </c>
      <c r="L7" s="90" t="s">
        <v>272</v>
      </c>
      <c r="M7" s="90" t="s">
        <v>272</v>
      </c>
      <c r="N7" s="90"/>
      <c r="O7" s="90"/>
      <c r="P7" s="90"/>
      <c r="Q7" s="90"/>
      <c r="R7" s="90"/>
      <c r="S7" s="90"/>
      <c r="T7" s="90"/>
      <c r="U7" s="90"/>
      <c r="V7" s="90"/>
    </row>
    <row r="8">
      <c r="A8" s="91" t="s">
        <v>278</v>
      </c>
      <c r="B8" s="92" t="s">
        <v>279</v>
      </c>
      <c r="C8" s="92" t="s">
        <v>280</v>
      </c>
      <c r="D8" s="92" t="s">
        <v>281</v>
      </c>
      <c r="E8" s="93">
        <v>1.0</v>
      </c>
      <c r="F8" s="93">
        <v>3.0</v>
      </c>
      <c r="G8" s="92" t="s">
        <v>265</v>
      </c>
      <c r="H8" s="92" t="s">
        <v>270</v>
      </c>
      <c r="I8" s="94" t="s">
        <v>282</v>
      </c>
      <c r="J8" s="85"/>
      <c r="K8" s="90" t="s">
        <v>272</v>
      </c>
      <c r="L8" s="90" t="s">
        <v>272</v>
      </c>
      <c r="M8" s="90" t="s">
        <v>272</v>
      </c>
      <c r="N8" s="90"/>
      <c r="O8" s="90"/>
      <c r="P8" s="90"/>
      <c r="Q8" s="90"/>
      <c r="R8" s="90"/>
      <c r="S8" s="90"/>
      <c r="T8" s="90"/>
      <c r="U8" s="90"/>
      <c r="V8" s="90"/>
    </row>
    <row r="9">
      <c r="A9" s="91" t="s">
        <v>283</v>
      </c>
      <c r="B9" s="92" t="s">
        <v>284</v>
      </c>
      <c r="C9" s="92" t="s">
        <v>285</v>
      </c>
      <c r="D9" s="92" t="s">
        <v>276</v>
      </c>
      <c r="E9" s="93">
        <v>1.0</v>
      </c>
      <c r="F9" s="93">
        <v>2.0</v>
      </c>
      <c r="G9" s="92" t="s">
        <v>265</v>
      </c>
      <c r="H9" s="92" t="s">
        <v>270</v>
      </c>
      <c r="I9" s="94" t="s">
        <v>286</v>
      </c>
      <c r="J9" s="85"/>
      <c r="K9" s="90" t="s">
        <v>272</v>
      </c>
      <c r="L9" s="90" t="s">
        <v>272</v>
      </c>
      <c r="M9" s="90"/>
      <c r="N9" s="90"/>
      <c r="O9" s="90"/>
      <c r="P9" s="90"/>
      <c r="Q9" s="90"/>
      <c r="R9" s="90"/>
      <c r="S9" s="90"/>
      <c r="T9" s="90"/>
      <c r="U9" s="90"/>
      <c r="V9" s="90"/>
    </row>
    <row r="10">
      <c r="A10" s="91" t="s">
        <v>287</v>
      </c>
      <c r="B10" s="92" t="s">
        <v>284</v>
      </c>
      <c r="C10" s="92" t="s">
        <v>288</v>
      </c>
      <c r="D10" s="92" t="s">
        <v>289</v>
      </c>
      <c r="E10" s="93">
        <v>2.0</v>
      </c>
      <c r="F10" s="93">
        <v>3.0</v>
      </c>
      <c r="G10" s="92" t="s">
        <v>290</v>
      </c>
      <c r="H10" s="92" t="s">
        <v>270</v>
      </c>
      <c r="I10" s="94" t="s">
        <v>291</v>
      </c>
      <c r="J10" s="85"/>
      <c r="K10" s="90"/>
      <c r="L10" s="90" t="s">
        <v>272</v>
      </c>
      <c r="M10" s="90" t="s">
        <v>272</v>
      </c>
      <c r="N10" s="90"/>
      <c r="O10" s="90"/>
      <c r="P10" s="90"/>
      <c r="Q10" s="90"/>
      <c r="R10" s="90"/>
      <c r="S10" s="90"/>
      <c r="T10" s="90"/>
      <c r="U10" s="90"/>
      <c r="V10" s="90"/>
    </row>
    <row r="11">
      <c r="A11" s="91" t="s">
        <v>292</v>
      </c>
      <c r="B11" s="92" t="s">
        <v>266</v>
      </c>
      <c r="C11" s="92" t="s">
        <v>293</v>
      </c>
      <c r="D11" s="92" t="s">
        <v>294</v>
      </c>
      <c r="E11" s="93">
        <v>3.0</v>
      </c>
      <c r="F11" s="93">
        <v>3.0</v>
      </c>
      <c r="G11" s="92" t="s">
        <v>295</v>
      </c>
      <c r="H11" s="92" t="s">
        <v>296</v>
      </c>
      <c r="I11" s="94" t="s">
        <v>297</v>
      </c>
      <c r="J11" s="85"/>
      <c r="K11" s="95"/>
      <c r="L11" s="95"/>
      <c r="M11" s="95" t="s">
        <v>298</v>
      </c>
      <c r="N11" s="95"/>
      <c r="O11" s="95"/>
      <c r="P11" s="95"/>
      <c r="Q11" s="95"/>
      <c r="R11" s="95"/>
      <c r="S11" s="95"/>
      <c r="T11" s="95"/>
      <c r="U11" s="95"/>
      <c r="V11" s="95"/>
    </row>
    <row r="12">
      <c r="A12" s="91" t="s">
        <v>299</v>
      </c>
      <c r="B12" s="92" t="s">
        <v>284</v>
      </c>
      <c r="C12" s="92" t="s">
        <v>300</v>
      </c>
      <c r="D12" s="92" t="s">
        <v>301</v>
      </c>
      <c r="E12" s="93">
        <v>3.0</v>
      </c>
      <c r="F12" s="93">
        <v>6.0</v>
      </c>
      <c r="G12" s="92" t="s">
        <v>292</v>
      </c>
      <c r="H12" s="92" t="s">
        <v>270</v>
      </c>
      <c r="I12" s="94" t="s">
        <v>302</v>
      </c>
      <c r="J12" s="85"/>
      <c r="K12" s="90"/>
      <c r="L12" s="90"/>
      <c r="M12" s="90" t="s">
        <v>272</v>
      </c>
      <c r="N12" s="90" t="s">
        <v>272</v>
      </c>
      <c r="O12" s="90" t="s">
        <v>272</v>
      </c>
      <c r="P12" s="90" t="s">
        <v>272</v>
      </c>
      <c r="Q12" s="90"/>
      <c r="R12" s="90"/>
      <c r="S12" s="90"/>
      <c r="T12" s="90"/>
      <c r="U12" s="90"/>
      <c r="V12" s="90"/>
    </row>
    <row r="13">
      <c r="A13" s="91" t="s">
        <v>303</v>
      </c>
      <c r="B13" s="92" t="s">
        <v>304</v>
      </c>
      <c r="C13" s="92" t="s">
        <v>305</v>
      </c>
      <c r="D13" s="92" t="s">
        <v>306</v>
      </c>
      <c r="E13" s="93">
        <v>2.0</v>
      </c>
      <c r="F13" s="93">
        <v>6.0</v>
      </c>
      <c r="G13" s="92" t="s">
        <v>292</v>
      </c>
      <c r="H13" s="92" t="s">
        <v>270</v>
      </c>
      <c r="I13" s="94" t="s">
        <v>307</v>
      </c>
      <c r="J13" s="85"/>
      <c r="K13" s="90"/>
      <c r="L13" s="90" t="s">
        <v>272</v>
      </c>
      <c r="M13" s="90" t="s">
        <v>272</v>
      </c>
      <c r="N13" s="90" t="s">
        <v>272</v>
      </c>
      <c r="O13" s="90" t="s">
        <v>272</v>
      </c>
      <c r="P13" s="90" t="s">
        <v>272</v>
      </c>
      <c r="Q13" s="90"/>
      <c r="R13" s="90"/>
      <c r="S13" s="90"/>
      <c r="T13" s="90"/>
      <c r="U13" s="90"/>
      <c r="V13" s="90"/>
    </row>
    <row r="14">
      <c r="A14" s="91" t="s">
        <v>308</v>
      </c>
      <c r="B14" s="92" t="s">
        <v>309</v>
      </c>
      <c r="C14" s="92" t="s">
        <v>310</v>
      </c>
      <c r="D14" s="92" t="s">
        <v>311</v>
      </c>
      <c r="E14" s="93">
        <v>2.0</v>
      </c>
      <c r="F14" s="93">
        <v>6.0</v>
      </c>
      <c r="G14" s="92" t="s">
        <v>292</v>
      </c>
      <c r="H14" s="92" t="s">
        <v>270</v>
      </c>
      <c r="I14" s="94" t="s">
        <v>307</v>
      </c>
      <c r="J14" s="85"/>
      <c r="K14" s="90"/>
      <c r="L14" s="90" t="s">
        <v>272</v>
      </c>
      <c r="M14" s="90" t="s">
        <v>272</v>
      </c>
      <c r="N14" s="90" t="s">
        <v>272</v>
      </c>
      <c r="O14" s="90" t="s">
        <v>272</v>
      </c>
      <c r="P14" s="90" t="s">
        <v>272</v>
      </c>
      <c r="Q14" s="90"/>
      <c r="R14" s="90"/>
      <c r="S14" s="90"/>
      <c r="T14" s="90"/>
      <c r="U14" s="90"/>
      <c r="V14" s="90"/>
    </row>
    <row r="15">
      <c r="A15" s="91" t="s">
        <v>312</v>
      </c>
      <c r="B15" s="92" t="s">
        <v>313</v>
      </c>
      <c r="C15" s="92" t="s">
        <v>314</v>
      </c>
      <c r="D15" s="92" t="s">
        <v>315</v>
      </c>
      <c r="E15" s="93">
        <v>2.0</v>
      </c>
      <c r="F15" s="93">
        <v>7.0</v>
      </c>
      <c r="G15" s="92" t="s">
        <v>292</v>
      </c>
      <c r="H15" s="92" t="s">
        <v>270</v>
      </c>
      <c r="I15" s="94" t="s">
        <v>316</v>
      </c>
      <c r="J15" s="85"/>
      <c r="K15" s="90"/>
      <c r="L15" s="90" t="s">
        <v>272</v>
      </c>
      <c r="M15" s="90" t="s">
        <v>272</v>
      </c>
      <c r="N15" s="90" t="s">
        <v>272</v>
      </c>
      <c r="O15" s="90" t="s">
        <v>272</v>
      </c>
      <c r="P15" s="90" t="s">
        <v>272</v>
      </c>
      <c r="Q15" s="90" t="s">
        <v>272</v>
      </c>
      <c r="R15" s="90"/>
      <c r="S15" s="90"/>
      <c r="T15" s="90"/>
      <c r="U15" s="90"/>
      <c r="V15" s="90"/>
    </row>
    <row r="16">
      <c r="A16" s="91" t="s">
        <v>317</v>
      </c>
      <c r="B16" s="92" t="s">
        <v>318</v>
      </c>
      <c r="C16" s="92" t="s">
        <v>319</v>
      </c>
      <c r="D16" s="92" t="s">
        <v>320</v>
      </c>
      <c r="E16" s="93">
        <v>2.0</v>
      </c>
      <c r="F16" s="93">
        <v>4.0</v>
      </c>
      <c r="G16" s="92" t="s">
        <v>278</v>
      </c>
      <c r="H16" s="92" t="s">
        <v>270</v>
      </c>
      <c r="I16" s="94" t="s">
        <v>321</v>
      </c>
      <c r="J16" s="85"/>
      <c r="K16" s="90"/>
      <c r="L16" s="90" t="s">
        <v>272</v>
      </c>
      <c r="M16" s="90" t="s">
        <v>272</v>
      </c>
      <c r="N16" s="90" t="s">
        <v>272</v>
      </c>
      <c r="O16" s="90"/>
      <c r="P16" s="90"/>
      <c r="Q16" s="90"/>
      <c r="R16" s="90"/>
      <c r="S16" s="90"/>
      <c r="T16" s="90"/>
      <c r="U16" s="90"/>
      <c r="V16" s="90"/>
    </row>
    <row r="17">
      <c r="A17" s="91" t="s">
        <v>322</v>
      </c>
      <c r="B17" s="92" t="s">
        <v>323</v>
      </c>
      <c r="C17" s="92" t="s">
        <v>324</v>
      </c>
      <c r="D17" s="92" t="s">
        <v>325</v>
      </c>
      <c r="E17" s="93">
        <v>6.0</v>
      </c>
      <c r="F17" s="93">
        <v>6.0</v>
      </c>
      <c r="G17" s="92" t="s">
        <v>326</v>
      </c>
      <c r="H17" s="92" t="s">
        <v>296</v>
      </c>
      <c r="I17" s="94" t="s">
        <v>327</v>
      </c>
      <c r="J17" s="85"/>
      <c r="K17" s="95"/>
      <c r="L17" s="95"/>
      <c r="M17" s="95"/>
      <c r="N17" s="95"/>
      <c r="O17" s="95"/>
      <c r="P17" s="95" t="s">
        <v>298</v>
      </c>
      <c r="Q17" s="95"/>
      <c r="R17" s="95"/>
      <c r="S17" s="95"/>
      <c r="T17" s="95"/>
      <c r="U17" s="95"/>
      <c r="V17" s="95"/>
    </row>
    <row r="18">
      <c r="A18" s="91" t="s">
        <v>328</v>
      </c>
      <c r="B18" s="92" t="s">
        <v>323</v>
      </c>
      <c r="C18" s="92" t="s">
        <v>329</v>
      </c>
      <c r="D18" s="92" t="s">
        <v>325</v>
      </c>
      <c r="E18" s="93">
        <v>6.0</v>
      </c>
      <c r="F18" s="93">
        <v>7.0</v>
      </c>
      <c r="G18" s="92" t="s">
        <v>322</v>
      </c>
      <c r="H18" s="92" t="s">
        <v>270</v>
      </c>
      <c r="I18" s="94" t="s">
        <v>330</v>
      </c>
      <c r="J18" s="85"/>
      <c r="K18" s="90"/>
      <c r="L18" s="90"/>
      <c r="M18" s="90"/>
      <c r="N18" s="90"/>
      <c r="O18" s="90"/>
      <c r="P18" s="90" t="s">
        <v>272</v>
      </c>
      <c r="Q18" s="90" t="s">
        <v>272</v>
      </c>
      <c r="R18" s="90"/>
      <c r="S18" s="90"/>
      <c r="T18" s="90"/>
      <c r="U18" s="90"/>
      <c r="V18" s="90"/>
    </row>
    <row r="19">
      <c r="A19" s="91" t="s">
        <v>331</v>
      </c>
      <c r="B19" s="92" t="s">
        <v>323</v>
      </c>
      <c r="C19" s="92" t="s">
        <v>332</v>
      </c>
      <c r="D19" s="92" t="s">
        <v>294</v>
      </c>
      <c r="E19" s="93">
        <v>7.0</v>
      </c>
      <c r="F19" s="93">
        <v>7.0</v>
      </c>
      <c r="G19" s="92" t="s">
        <v>328</v>
      </c>
      <c r="H19" s="92" t="s">
        <v>296</v>
      </c>
      <c r="I19" s="94" t="s">
        <v>333</v>
      </c>
      <c r="J19" s="85"/>
      <c r="K19" s="95"/>
      <c r="L19" s="95"/>
      <c r="M19" s="95"/>
      <c r="N19" s="95"/>
      <c r="O19" s="95"/>
      <c r="P19" s="95"/>
      <c r="Q19" s="95" t="s">
        <v>298</v>
      </c>
      <c r="R19" s="95"/>
      <c r="S19" s="95"/>
      <c r="T19" s="95"/>
      <c r="U19" s="95"/>
      <c r="V19" s="95"/>
    </row>
    <row r="20">
      <c r="A20" s="91" t="s">
        <v>334</v>
      </c>
      <c r="B20" s="92" t="s">
        <v>335</v>
      </c>
      <c r="C20" s="92" t="s">
        <v>336</v>
      </c>
      <c r="D20" s="92" t="s">
        <v>337</v>
      </c>
      <c r="E20" s="93">
        <v>7.0</v>
      </c>
      <c r="F20" s="93">
        <v>9.0</v>
      </c>
      <c r="G20" s="92" t="s">
        <v>331</v>
      </c>
      <c r="H20" s="92" t="s">
        <v>270</v>
      </c>
      <c r="I20" s="94" t="s">
        <v>338</v>
      </c>
      <c r="J20" s="85"/>
      <c r="K20" s="90"/>
      <c r="L20" s="90"/>
      <c r="M20" s="90"/>
      <c r="N20" s="90"/>
      <c r="O20" s="90"/>
      <c r="P20" s="90"/>
      <c r="Q20" s="90" t="s">
        <v>272</v>
      </c>
      <c r="R20" s="90" t="s">
        <v>272</v>
      </c>
      <c r="S20" s="90" t="s">
        <v>272</v>
      </c>
      <c r="T20" s="90"/>
      <c r="U20" s="90"/>
      <c r="V20" s="90"/>
    </row>
    <row r="21" ht="15.75" customHeight="1">
      <c r="A21" s="91" t="s">
        <v>339</v>
      </c>
      <c r="B21" s="92" t="s">
        <v>335</v>
      </c>
      <c r="C21" s="92" t="s">
        <v>340</v>
      </c>
      <c r="D21" s="92" t="s">
        <v>341</v>
      </c>
      <c r="E21" s="93">
        <v>7.0</v>
      </c>
      <c r="F21" s="93">
        <v>9.0</v>
      </c>
      <c r="G21" s="92" t="s">
        <v>331</v>
      </c>
      <c r="H21" s="92" t="s">
        <v>270</v>
      </c>
      <c r="I21" s="94" t="s">
        <v>342</v>
      </c>
      <c r="J21" s="85"/>
      <c r="K21" s="90"/>
      <c r="L21" s="90"/>
      <c r="M21" s="90"/>
      <c r="N21" s="90"/>
      <c r="O21" s="90"/>
      <c r="P21" s="90"/>
      <c r="Q21" s="90" t="s">
        <v>272</v>
      </c>
      <c r="R21" s="90" t="s">
        <v>272</v>
      </c>
      <c r="S21" s="90" t="s">
        <v>272</v>
      </c>
      <c r="T21" s="90"/>
      <c r="U21" s="90"/>
      <c r="V21" s="90"/>
    </row>
    <row r="22" ht="15.75" customHeight="1">
      <c r="A22" s="91" t="s">
        <v>343</v>
      </c>
      <c r="B22" s="92" t="s">
        <v>335</v>
      </c>
      <c r="C22" s="92" t="s">
        <v>344</v>
      </c>
      <c r="D22" s="92" t="s">
        <v>345</v>
      </c>
      <c r="E22" s="93">
        <v>8.0</v>
      </c>
      <c r="F22" s="93">
        <v>10.0</v>
      </c>
      <c r="G22" s="92" t="s">
        <v>331</v>
      </c>
      <c r="H22" s="92" t="s">
        <v>270</v>
      </c>
      <c r="I22" s="94" t="s">
        <v>346</v>
      </c>
      <c r="J22" s="85"/>
      <c r="K22" s="90"/>
      <c r="L22" s="90"/>
      <c r="M22" s="90"/>
      <c r="N22" s="90"/>
      <c r="O22" s="90"/>
      <c r="P22" s="90"/>
      <c r="Q22" s="90"/>
      <c r="R22" s="90" t="s">
        <v>272</v>
      </c>
      <c r="S22" s="90" t="s">
        <v>272</v>
      </c>
      <c r="T22" s="90" t="s">
        <v>272</v>
      </c>
      <c r="U22" s="90"/>
      <c r="V22" s="90"/>
    </row>
    <row r="23" ht="15.75" customHeight="1">
      <c r="A23" s="91" t="s">
        <v>347</v>
      </c>
      <c r="B23" s="92" t="s">
        <v>335</v>
      </c>
      <c r="C23" s="92" t="s">
        <v>348</v>
      </c>
      <c r="D23" s="92" t="s">
        <v>349</v>
      </c>
      <c r="E23" s="93">
        <v>7.0</v>
      </c>
      <c r="F23" s="93">
        <v>10.0</v>
      </c>
      <c r="G23" s="92" t="s">
        <v>331</v>
      </c>
      <c r="H23" s="92" t="s">
        <v>270</v>
      </c>
      <c r="I23" s="94" t="s">
        <v>350</v>
      </c>
      <c r="J23" s="85"/>
      <c r="K23" s="90"/>
      <c r="L23" s="90"/>
      <c r="M23" s="90"/>
      <c r="N23" s="90"/>
      <c r="O23" s="90"/>
      <c r="P23" s="90"/>
      <c r="Q23" s="90" t="s">
        <v>272</v>
      </c>
      <c r="R23" s="90" t="s">
        <v>272</v>
      </c>
      <c r="S23" s="90" t="s">
        <v>272</v>
      </c>
      <c r="T23" s="90" t="s">
        <v>272</v>
      </c>
      <c r="U23" s="90"/>
      <c r="V23" s="90"/>
    </row>
    <row r="24" ht="15.75" customHeight="1">
      <c r="A24" s="91" t="s">
        <v>351</v>
      </c>
      <c r="B24" s="92" t="s">
        <v>352</v>
      </c>
      <c r="C24" s="92" t="s">
        <v>353</v>
      </c>
      <c r="D24" s="92" t="s">
        <v>325</v>
      </c>
      <c r="E24" s="93">
        <v>9.0</v>
      </c>
      <c r="F24" s="93">
        <v>10.0</v>
      </c>
      <c r="G24" s="92" t="s">
        <v>354</v>
      </c>
      <c r="H24" s="92" t="s">
        <v>270</v>
      </c>
      <c r="I24" s="94" t="s">
        <v>355</v>
      </c>
      <c r="J24" s="85"/>
      <c r="K24" s="90"/>
      <c r="L24" s="90"/>
      <c r="M24" s="90"/>
      <c r="N24" s="90"/>
      <c r="O24" s="90"/>
      <c r="P24" s="90"/>
      <c r="Q24" s="90"/>
      <c r="R24" s="90"/>
      <c r="S24" s="90" t="s">
        <v>272</v>
      </c>
      <c r="T24" s="90" t="s">
        <v>272</v>
      </c>
      <c r="U24" s="90"/>
      <c r="V24" s="90"/>
    </row>
    <row r="25" ht="15.75" customHeight="1">
      <c r="A25" s="91" t="s">
        <v>356</v>
      </c>
      <c r="B25" s="92" t="s">
        <v>357</v>
      </c>
      <c r="C25" s="92" t="s">
        <v>358</v>
      </c>
      <c r="D25" s="92" t="s">
        <v>294</v>
      </c>
      <c r="E25" s="93">
        <v>10.0</v>
      </c>
      <c r="F25" s="93">
        <v>10.0</v>
      </c>
      <c r="G25" s="92" t="s">
        <v>351</v>
      </c>
      <c r="H25" s="92" t="s">
        <v>296</v>
      </c>
      <c r="I25" s="94" t="s">
        <v>359</v>
      </c>
      <c r="J25" s="85"/>
      <c r="K25" s="95"/>
      <c r="L25" s="95"/>
      <c r="M25" s="95"/>
      <c r="N25" s="95"/>
      <c r="O25" s="95"/>
      <c r="P25" s="95"/>
      <c r="Q25" s="95"/>
      <c r="R25" s="95"/>
      <c r="S25" s="95"/>
      <c r="T25" s="95" t="s">
        <v>298</v>
      </c>
      <c r="U25" s="95"/>
      <c r="V25" s="95"/>
    </row>
    <row r="26" ht="15.75" customHeight="1">
      <c r="A26" s="91" t="s">
        <v>360</v>
      </c>
      <c r="B26" s="92" t="s">
        <v>357</v>
      </c>
      <c r="C26" s="92" t="s">
        <v>361</v>
      </c>
      <c r="D26" s="92" t="s">
        <v>362</v>
      </c>
      <c r="E26" s="93">
        <v>10.0</v>
      </c>
      <c r="F26" s="93">
        <v>11.0</v>
      </c>
      <c r="G26" s="92" t="s">
        <v>356</v>
      </c>
      <c r="H26" s="92" t="s">
        <v>270</v>
      </c>
      <c r="I26" s="94" t="s">
        <v>363</v>
      </c>
      <c r="J26" s="85"/>
      <c r="K26" s="90"/>
      <c r="L26" s="90"/>
      <c r="M26" s="90"/>
      <c r="N26" s="90"/>
      <c r="O26" s="90"/>
      <c r="P26" s="90"/>
      <c r="Q26" s="90"/>
      <c r="R26" s="90"/>
      <c r="S26" s="90"/>
      <c r="T26" s="90" t="s">
        <v>272</v>
      </c>
      <c r="U26" s="90" t="s">
        <v>272</v>
      </c>
      <c r="V26" s="90"/>
    </row>
    <row r="27" ht="15.75" customHeight="1">
      <c r="A27" s="91" t="s">
        <v>364</v>
      </c>
      <c r="B27" s="92" t="s">
        <v>365</v>
      </c>
      <c r="C27" s="92" t="s">
        <v>366</v>
      </c>
      <c r="D27" s="92" t="s">
        <v>367</v>
      </c>
      <c r="E27" s="93">
        <v>10.0</v>
      </c>
      <c r="F27" s="93">
        <v>12.0</v>
      </c>
      <c r="G27" s="92" t="s">
        <v>356</v>
      </c>
      <c r="H27" s="92" t="s">
        <v>270</v>
      </c>
      <c r="I27" s="94" t="s">
        <v>368</v>
      </c>
      <c r="J27" s="85"/>
      <c r="K27" s="90"/>
      <c r="L27" s="90"/>
      <c r="M27" s="90"/>
      <c r="N27" s="90"/>
      <c r="O27" s="90"/>
      <c r="P27" s="90"/>
      <c r="Q27" s="90"/>
      <c r="R27" s="90"/>
      <c r="S27" s="90"/>
      <c r="T27" s="90" t="s">
        <v>272</v>
      </c>
      <c r="U27" s="90" t="s">
        <v>272</v>
      </c>
      <c r="V27" s="90" t="s">
        <v>272</v>
      </c>
    </row>
    <row r="28" ht="15.75" customHeight="1">
      <c r="A28" s="91" t="s">
        <v>369</v>
      </c>
      <c r="B28" s="92" t="s">
        <v>370</v>
      </c>
      <c r="C28" s="92" t="s">
        <v>371</v>
      </c>
      <c r="D28" s="92" t="s">
        <v>276</v>
      </c>
      <c r="E28" s="93">
        <v>10.0</v>
      </c>
      <c r="F28" s="93">
        <v>12.0</v>
      </c>
      <c r="G28" s="92" t="s">
        <v>356</v>
      </c>
      <c r="H28" s="92" t="s">
        <v>270</v>
      </c>
      <c r="I28" s="94" t="s">
        <v>372</v>
      </c>
      <c r="J28" s="85"/>
      <c r="K28" s="90"/>
      <c r="L28" s="90"/>
      <c r="M28" s="90"/>
      <c r="N28" s="90"/>
      <c r="O28" s="90"/>
      <c r="P28" s="90"/>
      <c r="Q28" s="90"/>
      <c r="R28" s="90"/>
      <c r="S28" s="90"/>
      <c r="T28" s="90" t="s">
        <v>272</v>
      </c>
      <c r="U28" s="90" t="s">
        <v>272</v>
      </c>
      <c r="V28" s="90" t="s">
        <v>272</v>
      </c>
    </row>
    <row r="29" ht="15.75" customHeight="1">
      <c r="A29" s="91" t="s">
        <v>373</v>
      </c>
      <c r="B29" s="92" t="s">
        <v>374</v>
      </c>
      <c r="C29" s="92" t="s">
        <v>375</v>
      </c>
      <c r="D29" s="92" t="s">
        <v>376</v>
      </c>
      <c r="E29" s="93">
        <v>9.0</v>
      </c>
      <c r="F29" s="93">
        <v>12.0</v>
      </c>
      <c r="G29" s="92" t="s">
        <v>273</v>
      </c>
      <c r="H29" s="92" t="s">
        <v>270</v>
      </c>
      <c r="I29" s="94" t="s">
        <v>377</v>
      </c>
      <c r="J29" s="85"/>
      <c r="K29" s="90"/>
      <c r="L29" s="90"/>
      <c r="M29" s="90"/>
      <c r="N29" s="90"/>
      <c r="O29" s="90"/>
      <c r="P29" s="90"/>
      <c r="Q29" s="90"/>
      <c r="R29" s="90"/>
      <c r="S29" s="90" t="s">
        <v>272</v>
      </c>
      <c r="T29" s="90" t="s">
        <v>272</v>
      </c>
      <c r="U29" s="90" t="s">
        <v>272</v>
      </c>
      <c r="V29" s="90" t="s">
        <v>272</v>
      </c>
    </row>
    <row r="30" ht="15.75" customHeight="1">
      <c r="A30" s="96" t="s">
        <v>378</v>
      </c>
      <c r="B30" s="97" t="s">
        <v>357</v>
      </c>
      <c r="C30" s="97" t="s">
        <v>379</v>
      </c>
      <c r="D30" s="97" t="s">
        <v>380</v>
      </c>
      <c r="E30" s="98">
        <v>12.0</v>
      </c>
      <c r="F30" s="98">
        <v>12.0</v>
      </c>
      <c r="G30" s="97" t="s">
        <v>381</v>
      </c>
      <c r="H30" s="97" t="s">
        <v>296</v>
      </c>
      <c r="I30" s="99" t="s">
        <v>382</v>
      </c>
      <c r="J30" s="8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 t="s">
        <v>298</v>
      </c>
    </row>
    <row r="31" ht="15.75" customHeight="1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</row>
    <row r="32" ht="15.75" customHeight="1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</row>
    <row r="33" ht="15.75" customHeight="1">
      <c r="A33" s="100" t="s">
        <v>383</v>
      </c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2"/>
    </row>
    <row r="34" ht="42.0" customHeight="1">
      <c r="A34" s="103" t="s">
        <v>384</v>
      </c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</row>
    <row r="35" ht="15.75" customHeight="1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</row>
    <row r="36" ht="15.75" customHeight="1">
      <c r="A36" s="4" t="s">
        <v>385</v>
      </c>
      <c r="B36" s="4" t="s">
        <v>386</v>
      </c>
      <c r="C36" s="4" t="s">
        <v>387</v>
      </c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</row>
    <row r="37" ht="15.75" customHeight="1">
      <c r="A37" s="85" t="s">
        <v>388</v>
      </c>
      <c r="B37" s="103" t="s">
        <v>389</v>
      </c>
      <c r="C37" s="103" t="s">
        <v>390</v>
      </c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</row>
    <row r="38" ht="15.75" customHeight="1">
      <c r="A38" s="85" t="s">
        <v>391</v>
      </c>
      <c r="B38" s="103" t="s">
        <v>392</v>
      </c>
      <c r="C38" s="103" t="s">
        <v>393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</row>
    <row r="39" ht="15.75" customHeight="1">
      <c r="A39" s="85" t="s">
        <v>394</v>
      </c>
      <c r="B39" s="103" t="s">
        <v>395</v>
      </c>
      <c r="C39" s="103" t="s">
        <v>396</v>
      </c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</row>
    <row r="40" ht="15.75" customHeight="1">
      <c r="A40" s="85" t="s">
        <v>397</v>
      </c>
      <c r="B40" s="103" t="s">
        <v>398</v>
      </c>
      <c r="C40" s="103" t="s">
        <v>399</v>
      </c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</row>
    <row r="41" ht="15.75" customHeight="1">
      <c r="A41" s="85" t="s">
        <v>400</v>
      </c>
      <c r="B41" s="103" t="s">
        <v>401</v>
      </c>
      <c r="C41" s="103" t="s">
        <v>402</v>
      </c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</row>
    <row r="42" ht="15.75" customHeight="1">
      <c r="A42" s="85" t="s">
        <v>403</v>
      </c>
      <c r="B42" s="103" t="s">
        <v>404</v>
      </c>
      <c r="C42" s="103" t="s">
        <v>405</v>
      </c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</row>
    <row r="43" ht="15.75" customHeight="1">
      <c r="A43" s="85" t="s">
        <v>406</v>
      </c>
      <c r="B43" s="103" t="s">
        <v>407</v>
      </c>
      <c r="C43" s="103" t="s">
        <v>408</v>
      </c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</row>
    <row r="44" ht="15.75" customHeight="1">
      <c r="A44" s="85" t="s">
        <v>374</v>
      </c>
      <c r="B44" s="103" t="s">
        <v>409</v>
      </c>
      <c r="C44" s="103" t="s">
        <v>410</v>
      </c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</row>
    <row r="45" ht="15.75" customHeight="1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</row>
    <row r="46" ht="15.75" customHeight="1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</row>
    <row r="47" ht="15.75" customHeight="1">
      <c r="A47" s="100" t="s">
        <v>411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2"/>
    </row>
    <row r="48" ht="15.75" customHeight="1">
      <c r="A48" s="4" t="s">
        <v>412</v>
      </c>
      <c r="B48" s="4" t="s">
        <v>413</v>
      </c>
      <c r="C48" s="4" t="s">
        <v>414</v>
      </c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</row>
    <row r="49" ht="15.75" customHeight="1">
      <c r="A49" s="85" t="s">
        <v>16</v>
      </c>
      <c r="B49" s="103" t="s">
        <v>415</v>
      </c>
      <c r="C49" s="103" t="s">
        <v>416</v>
      </c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</row>
    <row r="50" ht="15.75" customHeight="1">
      <c r="A50" s="85" t="s">
        <v>17</v>
      </c>
      <c r="B50" s="103" t="s">
        <v>417</v>
      </c>
      <c r="C50" s="103" t="s">
        <v>418</v>
      </c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</row>
    <row r="51" ht="15.75" customHeight="1">
      <c r="A51" s="85" t="s">
        <v>18</v>
      </c>
      <c r="B51" s="103" t="s">
        <v>419</v>
      </c>
      <c r="C51" s="103" t="s">
        <v>420</v>
      </c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</row>
    <row r="52" ht="15.75" customHeight="1"/>
    <row r="53" ht="15.75" customHeight="1"/>
    <row r="54" ht="15.75" customHeight="1">
      <c r="A54" s="37" t="s">
        <v>421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9"/>
    </row>
    <row r="55" ht="15.75" customHeight="1">
      <c r="A55" s="104" t="s">
        <v>422</v>
      </c>
    </row>
    <row r="56" ht="15.75" customHeight="1">
      <c r="A56" s="105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</row>
    <row r="57" ht="15.75" customHeight="1">
      <c r="A57" s="37" t="s">
        <v>423</v>
      </c>
      <c r="B57" s="38"/>
      <c r="C57" s="38"/>
      <c r="D57" s="38"/>
      <c r="E57" s="38"/>
      <c r="F57" s="38"/>
      <c r="G57" s="38"/>
      <c r="H57" s="39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</row>
    <row r="58" ht="15.75" customHeight="1">
      <c r="A58" s="106" t="s">
        <v>424</v>
      </c>
      <c r="B58" s="106" t="s">
        <v>425</v>
      </c>
      <c r="C58" s="106" t="s">
        <v>426</v>
      </c>
      <c r="D58" s="106" t="s">
        <v>427</v>
      </c>
      <c r="E58" s="107" t="s">
        <v>428</v>
      </c>
      <c r="F58" s="108"/>
      <c r="G58" s="106" t="s">
        <v>429</v>
      </c>
      <c r="H58" s="106" t="s">
        <v>430</v>
      </c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</row>
    <row r="59" ht="15.75" customHeight="1">
      <c r="A59" s="104" t="s">
        <v>431</v>
      </c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</row>
    <row r="60" ht="15.75" customHeight="1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</row>
    <row r="61" ht="15.75" customHeight="1">
      <c r="A61" s="37" t="s">
        <v>432</v>
      </c>
      <c r="B61" s="38"/>
      <c r="C61" s="38"/>
      <c r="D61" s="38"/>
      <c r="E61" s="39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</row>
    <row r="62" ht="15.75" customHeight="1">
      <c r="A62" s="106" t="s">
        <v>245</v>
      </c>
      <c r="B62" s="107" t="s">
        <v>413</v>
      </c>
      <c r="C62" s="108"/>
      <c r="D62" s="107" t="s">
        <v>433</v>
      </c>
      <c r="E62" s="109"/>
      <c r="F62" s="108"/>
      <c r="G62" s="105"/>
      <c r="H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</row>
    <row r="63" ht="30.0" customHeight="1">
      <c r="A63" s="110" t="s">
        <v>434</v>
      </c>
      <c r="B63" s="110" t="s">
        <v>435</v>
      </c>
      <c r="D63" s="110" t="s">
        <v>436</v>
      </c>
      <c r="G63" s="105"/>
      <c r="H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</row>
    <row r="64" ht="30.0" customHeight="1">
      <c r="A64" s="110" t="s">
        <v>437</v>
      </c>
      <c r="B64" s="110" t="s">
        <v>438</v>
      </c>
      <c r="D64" s="110" t="s">
        <v>436</v>
      </c>
      <c r="G64" s="105"/>
      <c r="H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</row>
    <row r="65" ht="30.0" customHeight="1">
      <c r="A65" s="110" t="s">
        <v>439</v>
      </c>
      <c r="B65" s="110" t="s">
        <v>440</v>
      </c>
      <c r="D65" s="110" t="s">
        <v>441</v>
      </c>
      <c r="G65" s="105"/>
      <c r="H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</row>
    <row r="66" ht="30.0" customHeight="1">
      <c r="A66" s="110" t="s">
        <v>442</v>
      </c>
      <c r="B66" s="110" t="s">
        <v>443</v>
      </c>
      <c r="D66" s="110" t="s">
        <v>436</v>
      </c>
      <c r="G66" s="105"/>
      <c r="H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</row>
    <row r="67" ht="30.0" customHeight="1">
      <c r="A67" s="110" t="s">
        <v>444</v>
      </c>
      <c r="B67" s="110" t="s">
        <v>445</v>
      </c>
      <c r="D67" s="110" t="s">
        <v>441</v>
      </c>
      <c r="G67" s="105"/>
      <c r="H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</row>
    <row r="68" ht="30.0" customHeight="1">
      <c r="A68" s="110" t="s">
        <v>446</v>
      </c>
      <c r="B68" s="110" t="s">
        <v>447</v>
      </c>
      <c r="D68" s="110" t="s">
        <v>448</v>
      </c>
      <c r="G68" s="105"/>
      <c r="H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</row>
    <row r="69" ht="30.0" customHeight="1">
      <c r="A69" s="111" t="s">
        <v>449</v>
      </c>
      <c r="B69" s="111" t="s">
        <v>450</v>
      </c>
      <c r="C69" s="112"/>
      <c r="D69" s="111" t="s">
        <v>451</v>
      </c>
      <c r="E69" s="112"/>
      <c r="F69" s="112"/>
      <c r="G69" s="105"/>
      <c r="H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</row>
    <row r="70" ht="15.75" customHeight="1">
      <c r="A70" s="105"/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</row>
    <row r="71" ht="15.75" customHeight="1">
      <c r="A71" s="37" t="s">
        <v>452</v>
      </c>
      <c r="B71" s="38"/>
      <c r="C71" s="38"/>
      <c r="D71" s="38"/>
      <c r="E71" s="38"/>
      <c r="F71" s="38"/>
      <c r="G71" s="38"/>
      <c r="H71" s="38"/>
      <c r="I71" s="39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</row>
    <row r="72" ht="15.75" customHeight="1">
      <c r="A72" s="106" t="s">
        <v>453</v>
      </c>
      <c r="B72" s="106" t="s">
        <v>454</v>
      </c>
      <c r="C72" s="106" t="s">
        <v>455</v>
      </c>
      <c r="D72" s="106" t="s">
        <v>456</v>
      </c>
      <c r="E72" s="107" t="s">
        <v>457</v>
      </c>
      <c r="F72" s="108"/>
      <c r="G72" s="106" t="s">
        <v>458</v>
      </c>
      <c r="H72" s="106" t="s">
        <v>459</v>
      </c>
      <c r="I72" s="106" t="s">
        <v>252</v>
      </c>
      <c r="J72" s="105"/>
    </row>
    <row r="73" ht="27.75" customHeight="1">
      <c r="A73" s="110" t="s">
        <v>16</v>
      </c>
      <c r="B73" s="110" t="s">
        <v>460</v>
      </c>
      <c r="C73" s="110">
        <f>ROUND('Plan comercial'!C$7*1/4,0)</f>
        <v>6</v>
      </c>
      <c r="D73" s="110">
        <f>ROUND('Plan comercial'!C$24/4,0)</f>
        <v>75</v>
      </c>
      <c r="E73" s="110">
        <f>ROUNDUP(('Flujo de caja'!$P$132/(1-'Flujo de caja'!$C$90))/4,0)</f>
        <v>66</v>
      </c>
      <c r="G73" s="113">
        <f>'Flujo de caja'!$C$101</f>
        <v>0.95</v>
      </c>
      <c r="H73" s="110">
        <f>ROUND('Flujo de caja'!$P$60*'Flujo de caja'!$C$94/100*3,0)</f>
        <v>163</v>
      </c>
      <c r="I73" s="110" t="s">
        <v>461</v>
      </c>
      <c r="J73" s="105"/>
    </row>
    <row r="74" ht="27.75" customHeight="1">
      <c r="A74" s="110" t="s">
        <v>16</v>
      </c>
      <c r="B74" s="110" t="s">
        <v>462</v>
      </c>
      <c r="C74" s="110">
        <f>ROUND('Plan comercial'!C$7*2/4,0)</f>
        <v>13</v>
      </c>
      <c r="D74" s="110">
        <f>ROUND('Plan comercial'!C$24/4,0)</f>
        <v>75</v>
      </c>
      <c r="E74" s="110">
        <f>ROUNDUP(('Flujo de caja'!$P$132/(1-'Flujo de caja'!$C$90))/4,0)</f>
        <v>66</v>
      </c>
      <c r="G74" s="113">
        <f>'Flujo de caja'!$C$101</f>
        <v>0.95</v>
      </c>
      <c r="H74" s="110">
        <f>ROUND('Flujo de caja'!$P$60*'Flujo de caja'!$C$94/100*3,0)</f>
        <v>163</v>
      </c>
      <c r="I74" s="110" t="s">
        <v>461</v>
      </c>
      <c r="J74" s="105"/>
    </row>
    <row r="75" ht="27.75" customHeight="1">
      <c r="A75" s="110" t="s">
        <v>16</v>
      </c>
      <c r="B75" s="110" t="s">
        <v>463</v>
      </c>
      <c r="C75" s="110">
        <f>ROUND('Plan comercial'!C$7*3/4,0)</f>
        <v>19</v>
      </c>
      <c r="D75" s="110">
        <f>ROUND('Plan comercial'!C$24/4,0)</f>
        <v>75</v>
      </c>
      <c r="E75" s="110">
        <f>ROUNDUP(('Flujo de caja'!$P$132/(1-'Flujo de caja'!$C$90))/4,0)</f>
        <v>66</v>
      </c>
      <c r="G75" s="113">
        <f>'Flujo de caja'!$C$101</f>
        <v>0.95</v>
      </c>
      <c r="H75" s="110">
        <f>ROUND('Flujo de caja'!$P$60*'Flujo de caja'!$C$94/100*3,0)</f>
        <v>163</v>
      </c>
      <c r="I75" s="110" t="s">
        <v>461</v>
      </c>
      <c r="J75" s="105"/>
    </row>
    <row r="76" ht="27.75" customHeight="1">
      <c r="A76" s="110" t="s">
        <v>16</v>
      </c>
      <c r="B76" s="110" t="s">
        <v>464</v>
      </c>
      <c r="C76" s="110">
        <f>ROUND('Plan comercial'!C$7*4/4,0)</f>
        <v>25</v>
      </c>
      <c r="D76" s="114">
        <f>'Plan comercial'!C$24-SUM(D73:D75)</f>
        <v>75</v>
      </c>
      <c r="E76" s="110">
        <f>ROUNDUP('Flujo de caja'!$P$132/(1-'Flujo de caja'!$C$90),0)-SUM(E73:E75)</f>
        <v>66</v>
      </c>
      <c r="G76" s="113">
        <f>'Flujo de caja'!$C$101</f>
        <v>0.95</v>
      </c>
      <c r="H76" s="110">
        <f>ROUND('Flujo de caja'!$P$60*'Flujo de caja'!$C$94/100*3,0)</f>
        <v>163</v>
      </c>
      <c r="I76" s="110" t="s">
        <v>461</v>
      </c>
      <c r="J76" s="105"/>
    </row>
    <row r="77" ht="27.75" customHeight="1">
      <c r="A77" s="110" t="s">
        <v>17</v>
      </c>
      <c r="B77" s="110" t="s">
        <v>460</v>
      </c>
      <c r="C77" s="110">
        <f>ROUND('Plan comercial'!D$7*1/4,0)</f>
        <v>13</v>
      </c>
      <c r="D77" s="110">
        <f>ROUND('Plan comercial'!D$24/4,0)</f>
        <v>200</v>
      </c>
      <c r="E77" s="110">
        <f>ROUNDUP(('Flujo de caja'!$Q$132/(1-'Flujo de caja'!$C$90))/4,0)</f>
        <v>241</v>
      </c>
      <c r="G77" s="113">
        <f>'Flujo de caja'!$C$101</f>
        <v>0.95</v>
      </c>
      <c r="H77" s="110">
        <f>ROUND('Flujo de caja'!$Q$60*'Flujo de caja'!$C$94/100*3,0)</f>
        <v>636</v>
      </c>
      <c r="I77" s="110" t="s">
        <v>461</v>
      </c>
      <c r="J77" s="105"/>
    </row>
    <row r="78" ht="27.75" customHeight="1">
      <c r="A78" s="110" t="s">
        <v>17</v>
      </c>
      <c r="B78" s="110" t="s">
        <v>462</v>
      </c>
      <c r="C78" s="110">
        <f>ROUND('Plan comercial'!D$7*2/4,0)</f>
        <v>25</v>
      </c>
      <c r="D78" s="110">
        <f>ROUND('Plan comercial'!D$24/4,0)</f>
        <v>200</v>
      </c>
      <c r="E78" s="110">
        <f>ROUNDUP(('Flujo de caja'!$Q$132/(1-'Flujo de caja'!$C$90))/4,0)</f>
        <v>241</v>
      </c>
      <c r="G78" s="113">
        <f>'Flujo de caja'!$C$101</f>
        <v>0.95</v>
      </c>
      <c r="H78" s="110">
        <f>ROUND('Flujo de caja'!$Q$60*'Flujo de caja'!$C$94/100*3,0)</f>
        <v>636</v>
      </c>
      <c r="I78" s="110" t="s">
        <v>461</v>
      </c>
      <c r="J78" s="105"/>
    </row>
    <row r="79" ht="27.75" customHeight="1">
      <c r="A79" s="110" t="s">
        <v>17</v>
      </c>
      <c r="B79" s="110" t="s">
        <v>463</v>
      </c>
      <c r="C79" s="110">
        <f>ROUND('Plan comercial'!D$7*3/4,0)</f>
        <v>38</v>
      </c>
      <c r="D79" s="110">
        <f>ROUND('Plan comercial'!D$24/4,0)</f>
        <v>200</v>
      </c>
      <c r="E79" s="110">
        <f>ROUNDUP(('Flujo de caja'!$Q$132/(1-'Flujo de caja'!$C$90))/4,0)</f>
        <v>241</v>
      </c>
      <c r="G79" s="113">
        <f>'Flujo de caja'!$C$101</f>
        <v>0.95</v>
      </c>
      <c r="H79" s="110">
        <f>ROUND('Flujo de caja'!$Q$60*'Flujo de caja'!$C$94/100*3,0)</f>
        <v>636</v>
      </c>
      <c r="I79" s="110" t="s">
        <v>461</v>
      </c>
      <c r="J79" s="105"/>
    </row>
    <row r="80" ht="27.75" customHeight="1">
      <c r="A80" s="110" t="s">
        <v>17</v>
      </c>
      <c r="B80" s="110" t="s">
        <v>464</v>
      </c>
      <c r="C80" s="110">
        <f>ROUND('Plan comercial'!D$7*4/4,0)</f>
        <v>50</v>
      </c>
      <c r="D80" s="114">
        <f>'Plan comercial'!D$24-SUM(D77:D79)</f>
        <v>200</v>
      </c>
      <c r="E80" s="110">
        <f>ROUNDUP('Flujo de caja'!$Q$132/(1-'Flujo de caja'!$C$90),0)-SUM(E77:E79)</f>
        <v>239</v>
      </c>
      <c r="G80" s="113">
        <f>'Flujo de caja'!$C$101</f>
        <v>0.95</v>
      </c>
      <c r="H80" s="110">
        <f>ROUND('Flujo de caja'!$Q$60*'Flujo de caja'!$C$94/100*3,0)</f>
        <v>636</v>
      </c>
      <c r="I80" s="110" t="s">
        <v>461</v>
      </c>
      <c r="J80" s="105"/>
    </row>
    <row r="81" ht="27.75" customHeight="1">
      <c r="A81" s="110" t="s">
        <v>18</v>
      </c>
      <c r="B81" s="110" t="s">
        <v>460</v>
      </c>
      <c r="C81" s="110">
        <f>ROUND('Plan comercial'!E$7*1/4,0)</f>
        <v>20</v>
      </c>
      <c r="D81" s="110">
        <f>ROUND('Plan comercial'!E$24/4,0)</f>
        <v>420</v>
      </c>
      <c r="E81" s="110">
        <f>ROUNDUP(('Flujo de caja'!$R$132/(1-'Flujo de caja'!$C$90))/4,0)</f>
        <v>498</v>
      </c>
      <c r="G81" s="113">
        <f>'Flujo de caja'!$C$101</f>
        <v>0.95</v>
      </c>
      <c r="H81" s="110">
        <f>ROUND('Flujo de caja'!$R$60*'Flujo de caja'!$C$94/100*3,0)</f>
        <v>1558</v>
      </c>
      <c r="I81" s="110" t="s">
        <v>461</v>
      </c>
      <c r="J81" s="105"/>
    </row>
    <row r="82" ht="27.75" customHeight="1">
      <c r="A82" s="110" t="s">
        <v>18</v>
      </c>
      <c r="B82" s="110" t="s">
        <v>462</v>
      </c>
      <c r="C82" s="110">
        <f>ROUND('Plan comercial'!E$7*2/4,0)</f>
        <v>40</v>
      </c>
      <c r="D82" s="110">
        <f>ROUND('Plan comercial'!E$24/4,0)</f>
        <v>420</v>
      </c>
      <c r="E82" s="110">
        <f>ROUNDUP(('Flujo de caja'!$R$132/(1-'Flujo de caja'!$C$90))/4,0)</f>
        <v>498</v>
      </c>
      <c r="G82" s="113">
        <f>'Flujo de caja'!$C$101</f>
        <v>0.95</v>
      </c>
      <c r="H82" s="110">
        <f>ROUND('Flujo de caja'!$R$60*'Flujo de caja'!$C$94/100*3,0)</f>
        <v>1558</v>
      </c>
      <c r="I82" s="110" t="s">
        <v>461</v>
      </c>
      <c r="J82" s="105"/>
    </row>
    <row r="83" ht="27.75" customHeight="1">
      <c r="A83" s="110" t="s">
        <v>18</v>
      </c>
      <c r="B83" s="110" t="s">
        <v>463</v>
      </c>
      <c r="C83" s="110">
        <f>ROUND('Plan comercial'!E$7*3/4,0)</f>
        <v>60</v>
      </c>
      <c r="D83" s="110">
        <f>ROUND('Plan comercial'!E$24/4,0)</f>
        <v>420</v>
      </c>
      <c r="E83" s="110">
        <f>ROUNDUP(('Flujo de caja'!$R$132/(1-'Flujo de caja'!$C$90))/4,0)</f>
        <v>498</v>
      </c>
      <c r="G83" s="113">
        <f>'Flujo de caja'!$C$101</f>
        <v>0.95</v>
      </c>
      <c r="H83" s="110">
        <f>ROUND('Flujo de caja'!$R$60*'Flujo de caja'!$C$94/100*3,0)</f>
        <v>1558</v>
      </c>
      <c r="I83" s="110" t="s">
        <v>461</v>
      </c>
      <c r="J83" s="105"/>
    </row>
    <row r="84" ht="27.75" customHeight="1">
      <c r="A84" s="111" t="s">
        <v>18</v>
      </c>
      <c r="B84" s="111" t="s">
        <v>464</v>
      </c>
      <c r="C84" s="111">
        <f>ROUND('Plan comercial'!E$7*4/4,0)</f>
        <v>80</v>
      </c>
      <c r="D84" s="115">
        <f>'Plan comercial'!E$24-SUM(D81:D83)</f>
        <v>420</v>
      </c>
      <c r="E84" s="111">
        <f>ROUNDUP('Flujo de caja'!$R$132/(1-'Flujo de caja'!$C$90),0)-SUM(E81:E83)</f>
        <v>498</v>
      </c>
      <c r="F84" s="112"/>
      <c r="G84" s="116">
        <f>'Flujo de caja'!$C$101</f>
        <v>0.95</v>
      </c>
      <c r="H84" s="111">
        <f>ROUND('Flujo de caja'!$R$60*'Flujo de caja'!$C$94/100*3,0)</f>
        <v>1558</v>
      </c>
      <c r="I84" s="111" t="s">
        <v>461</v>
      </c>
      <c r="J84" s="105"/>
    </row>
    <row r="85" ht="15.75" customHeight="1">
      <c r="A85" s="105"/>
      <c r="B85" s="105"/>
      <c r="C85" s="105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</row>
    <row r="86" ht="15.75" customHeight="1">
      <c r="A86" s="104" t="s">
        <v>465</v>
      </c>
    </row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5">
    <mergeCell ref="D69:F69"/>
    <mergeCell ref="E72:F72"/>
    <mergeCell ref="J72:V72"/>
    <mergeCell ref="E73:F73"/>
    <mergeCell ref="J73:V73"/>
    <mergeCell ref="E74:F74"/>
    <mergeCell ref="E75:F75"/>
    <mergeCell ref="E76:F76"/>
    <mergeCell ref="J76:V76"/>
    <mergeCell ref="E77:F77"/>
    <mergeCell ref="J77:V77"/>
    <mergeCell ref="E78:F78"/>
    <mergeCell ref="J78:V78"/>
    <mergeCell ref="J79:V79"/>
    <mergeCell ref="A34:I34"/>
    <mergeCell ref="A55:V55"/>
    <mergeCell ref="E58:F58"/>
    <mergeCell ref="A59:I59"/>
    <mergeCell ref="B62:C62"/>
    <mergeCell ref="D62:F62"/>
    <mergeCell ref="H62:I62"/>
    <mergeCell ref="H64:I64"/>
    <mergeCell ref="H65:I65"/>
    <mergeCell ref="H66:I66"/>
    <mergeCell ref="H67:I67"/>
    <mergeCell ref="H68:I68"/>
    <mergeCell ref="H69:I69"/>
    <mergeCell ref="B63:C63"/>
    <mergeCell ref="D63:F63"/>
    <mergeCell ref="H63:I63"/>
    <mergeCell ref="B64:C64"/>
    <mergeCell ref="D64:F64"/>
    <mergeCell ref="B65:C65"/>
    <mergeCell ref="D65:F65"/>
    <mergeCell ref="B66:C66"/>
    <mergeCell ref="D66:F66"/>
    <mergeCell ref="B67:C67"/>
    <mergeCell ref="D67:F67"/>
    <mergeCell ref="B68:C68"/>
    <mergeCell ref="D68:F68"/>
    <mergeCell ref="B69:C69"/>
    <mergeCell ref="J74:V74"/>
    <mergeCell ref="J75:V75"/>
    <mergeCell ref="E79:F79"/>
    <mergeCell ref="E80:F80"/>
    <mergeCell ref="E81:F81"/>
    <mergeCell ref="E82:F82"/>
    <mergeCell ref="E83:F83"/>
    <mergeCell ref="E84:F84"/>
    <mergeCell ref="J80:V80"/>
    <mergeCell ref="J81:V81"/>
    <mergeCell ref="J82:V82"/>
    <mergeCell ref="J83:V83"/>
    <mergeCell ref="J84:V84"/>
    <mergeCell ref="A86:V86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0AD47"/>
    <pageSetUpPr/>
  </sheetPr>
  <sheetViews>
    <sheetView showGridLines="0" workbookViewId="0">
      <pane xSplit="2.0" ySplit="5.0" topLeftCell="C6" activePane="bottomRight" state="frozen"/>
      <selection activeCell="C1" sqref="C1" pane="topRight"/>
      <selection activeCell="A6" sqref="A6" pane="bottomLeft"/>
      <selection activeCell="C6" sqref="C6" pane="bottomRight"/>
    </sheetView>
  </sheetViews>
  <sheetFormatPr customHeight="1" defaultColWidth="12.63" defaultRowHeight="15.0"/>
  <cols>
    <col customWidth="1" min="1" max="1" width="48.0"/>
    <col customWidth="1" min="2" max="2" width="18.0"/>
    <col customWidth="1" min="3" max="3" width="14.0"/>
    <col customWidth="1" min="4" max="4" width="18.0"/>
    <col customWidth="1" min="5" max="5" width="14.0"/>
    <col customWidth="1" min="6" max="26" width="8.63"/>
  </cols>
  <sheetData>
    <row r="1">
      <c r="A1" s="84" t="s">
        <v>466</v>
      </c>
      <c r="B1" s="117"/>
      <c r="C1" s="117"/>
      <c r="D1" s="117"/>
      <c r="E1" s="117"/>
    </row>
    <row r="2">
      <c r="A2" s="117" t="s">
        <v>467</v>
      </c>
      <c r="B2" s="118">
        <v>2.0</v>
      </c>
      <c r="C2" s="117"/>
      <c r="D2" s="117" t="s">
        <v>468</v>
      </c>
      <c r="E2" s="119" t="str">
        <f>CHOOSE($B$2,"Conservador","Base","Expansivo")</f>
        <v>Base</v>
      </c>
    </row>
    <row r="3">
      <c r="A3" s="117"/>
      <c r="B3" s="117"/>
      <c r="C3" s="117"/>
      <c r="D3" s="117"/>
      <c r="E3" s="117"/>
    </row>
    <row r="4">
      <c r="A4" s="120" t="s">
        <v>469</v>
      </c>
      <c r="B4" s="121"/>
      <c r="C4" s="121"/>
      <c r="D4" s="121"/>
      <c r="E4" s="122"/>
    </row>
    <row r="5">
      <c r="A5" s="4" t="s">
        <v>470</v>
      </c>
      <c r="B5" s="4" t="s">
        <v>471</v>
      </c>
      <c r="C5" s="4" t="s">
        <v>16</v>
      </c>
      <c r="D5" s="4" t="s">
        <v>17</v>
      </c>
      <c r="E5" s="4" t="s">
        <v>18</v>
      </c>
    </row>
    <row r="6">
      <c r="A6" s="120" t="s">
        <v>472</v>
      </c>
      <c r="B6" s="121"/>
      <c r="C6" s="121"/>
      <c r="D6" s="121"/>
      <c r="E6" s="122"/>
    </row>
    <row r="7">
      <c r="A7" s="123" t="s">
        <v>473</v>
      </c>
      <c r="B7" s="123"/>
      <c r="C7" s="123">
        <f t="shared" ref="C7:E7" si="1">CHOOSE($B$2,C8,C9,C10)</f>
        <v>25</v>
      </c>
      <c r="D7" s="123">
        <f t="shared" si="1"/>
        <v>50</v>
      </c>
      <c r="E7" s="123">
        <f t="shared" si="1"/>
        <v>80</v>
      </c>
    </row>
    <row r="8">
      <c r="A8" s="117"/>
      <c r="B8" s="117" t="s">
        <v>474</v>
      </c>
      <c r="C8" s="117">
        <v>12.0</v>
      </c>
      <c r="D8" s="117">
        <v>25.0</v>
      </c>
      <c r="E8" s="117">
        <v>40.0</v>
      </c>
    </row>
    <row r="9">
      <c r="A9" s="117"/>
      <c r="B9" s="117" t="s">
        <v>475</v>
      </c>
      <c r="C9" s="117">
        <v>25.0</v>
      </c>
      <c r="D9" s="117">
        <v>50.0</v>
      </c>
      <c r="E9" s="117">
        <v>80.0</v>
      </c>
    </row>
    <row r="10">
      <c r="A10" s="117"/>
      <c r="B10" s="117" t="s">
        <v>476</v>
      </c>
      <c r="C10" s="117">
        <v>40.0</v>
      </c>
      <c r="D10" s="117">
        <v>90.0</v>
      </c>
      <c r="E10" s="117">
        <v>150.0</v>
      </c>
    </row>
    <row r="11">
      <c r="A11" s="117"/>
      <c r="B11" s="117"/>
      <c r="C11" s="117"/>
      <c r="D11" s="117"/>
      <c r="E11" s="117"/>
    </row>
    <row r="12">
      <c r="A12" s="120" t="s">
        <v>477</v>
      </c>
      <c r="B12" s="121"/>
      <c r="C12" s="121"/>
      <c r="D12" s="121"/>
      <c r="E12" s="122"/>
    </row>
    <row r="13">
      <c r="A13" s="123" t="s">
        <v>473</v>
      </c>
      <c r="B13" s="123"/>
      <c r="C13" s="123">
        <f t="shared" ref="C13:E13" si="2">CHOOSE($B$2,C14,C15,C16)</f>
        <v>40</v>
      </c>
      <c r="D13" s="123">
        <f t="shared" si="2"/>
        <v>50</v>
      </c>
      <c r="E13" s="123">
        <f t="shared" si="2"/>
        <v>60</v>
      </c>
    </row>
    <row r="14">
      <c r="A14" s="117"/>
      <c r="B14" s="117" t="s">
        <v>474</v>
      </c>
      <c r="C14" s="117">
        <v>30.0</v>
      </c>
      <c r="D14" s="117">
        <v>35.0</v>
      </c>
      <c r="E14" s="117">
        <v>40.0</v>
      </c>
    </row>
    <row r="15">
      <c r="A15" s="117"/>
      <c r="B15" s="117" t="s">
        <v>475</v>
      </c>
      <c r="C15" s="117">
        <v>40.0</v>
      </c>
      <c r="D15" s="117">
        <v>50.0</v>
      </c>
      <c r="E15" s="117">
        <v>60.0</v>
      </c>
    </row>
    <row r="16">
      <c r="A16" s="117"/>
      <c r="B16" s="117" t="s">
        <v>476</v>
      </c>
      <c r="C16" s="117">
        <v>50.0</v>
      </c>
      <c r="D16" s="117">
        <v>65.0</v>
      </c>
      <c r="E16" s="117">
        <v>80.0</v>
      </c>
    </row>
    <row r="17">
      <c r="A17" s="117"/>
      <c r="B17" s="117"/>
      <c r="C17" s="117"/>
      <c r="D17" s="117"/>
      <c r="E17" s="117"/>
    </row>
    <row r="18">
      <c r="A18" s="120" t="s">
        <v>478</v>
      </c>
      <c r="B18" s="121"/>
      <c r="C18" s="121"/>
      <c r="D18" s="121"/>
      <c r="E18" s="122"/>
    </row>
    <row r="19">
      <c r="A19" s="123" t="s">
        <v>473</v>
      </c>
      <c r="B19" s="123"/>
      <c r="C19" s="124">
        <f t="shared" ref="C19:E19" si="3">CHOOSE($B$2,C20,C21,C22)</f>
        <v>0.3</v>
      </c>
      <c r="D19" s="124">
        <f t="shared" si="3"/>
        <v>0.32</v>
      </c>
      <c r="E19" s="124">
        <f t="shared" si="3"/>
        <v>0.35</v>
      </c>
    </row>
    <row r="20">
      <c r="A20" s="117"/>
      <c r="B20" s="117" t="s">
        <v>474</v>
      </c>
      <c r="C20" s="125">
        <v>0.2</v>
      </c>
      <c r="D20" s="125">
        <v>0.22</v>
      </c>
      <c r="E20" s="125">
        <v>0.25</v>
      </c>
    </row>
    <row r="21" ht="15.75" customHeight="1">
      <c r="A21" s="117"/>
      <c r="B21" s="117" t="s">
        <v>475</v>
      </c>
      <c r="C21" s="125">
        <v>0.3</v>
      </c>
      <c r="D21" s="125">
        <v>0.32</v>
      </c>
      <c r="E21" s="125">
        <v>0.35</v>
      </c>
    </row>
    <row r="22" ht="15.75" customHeight="1">
      <c r="A22" s="117"/>
      <c r="B22" s="117" t="s">
        <v>476</v>
      </c>
      <c r="C22" s="125">
        <v>0.4</v>
      </c>
      <c r="D22" s="125">
        <v>0.45</v>
      </c>
      <c r="E22" s="125">
        <v>0.5</v>
      </c>
    </row>
    <row r="23" ht="15.75" customHeight="1">
      <c r="A23" s="117"/>
      <c r="B23" s="117"/>
      <c r="C23" s="117"/>
      <c r="D23" s="117"/>
      <c r="E23" s="117"/>
    </row>
    <row r="24" ht="15.75" customHeight="1">
      <c r="A24" s="120" t="s">
        <v>479</v>
      </c>
      <c r="B24" s="121"/>
      <c r="C24" s="126">
        <f t="shared" ref="C24:E24" si="4">ROUND(C7*C13*C19,0)</f>
        <v>300</v>
      </c>
      <c r="D24" s="126">
        <f t="shared" si="4"/>
        <v>800</v>
      </c>
      <c r="E24" s="127">
        <f t="shared" si="4"/>
        <v>1680</v>
      </c>
    </row>
    <row r="25" ht="15.75" customHeight="1">
      <c r="A25" s="117" t="s">
        <v>480</v>
      </c>
      <c r="B25" s="117">
        <v>4000000.0</v>
      </c>
      <c r="C25" s="117"/>
      <c r="D25" s="117"/>
      <c r="E25" s="117"/>
    </row>
    <row r="26" ht="15.75" customHeight="1">
      <c r="A26" s="117" t="s">
        <v>481</v>
      </c>
      <c r="B26" s="117"/>
      <c r="C26" s="128">
        <f t="shared" ref="C26:E26" si="5">C24/$B$25</f>
        <v>0.000075</v>
      </c>
      <c r="D26" s="128">
        <f t="shared" si="5"/>
        <v>0.0002</v>
      </c>
      <c r="E26" s="128">
        <f t="shared" si="5"/>
        <v>0.00042</v>
      </c>
    </row>
    <row r="27" ht="15.75" customHeight="1">
      <c r="A27" s="120" t="s">
        <v>216</v>
      </c>
      <c r="B27" s="121"/>
      <c r="C27" s="121"/>
      <c r="D27" s="121"/>
      <c r="E27" s="122"/>
    </row>
    <row r="28" ht="15.75" customHeight="1">
      <c r="A28" s="123" t="s">
        <v>473</v>
      </c>
      <c r="B28" s="123"/>
      <c r="C28" s="123">
        <f t="shared" ref="C28:E28" si="6">CHOOSE($B$2,C29,C30,C31)</f>
        <v>1</v>
      </c>
      <c r="D28" s="123">
        <f t="shared" si="6"/>
        <v>2</v>
      </c>
      <c r="E28" s="123">
        <f t="shared" si="6"/>
        <v>3</v>
      </c>
    </row>
    <row r="29" ht="15.75" customHeight="1">
      <c r="A29" s="117"/>
      <c r="B29" s="117" t="s">
        <v>474</v>
      </c>
      <c r="C29" s="117">
        <v>1.0</v>
      </c>
      <c r="D29" s="117">
        <v>1.0</v>
      </c>
      <c r="E29" s="117">
        <v>2.0</v>
      </c>
    </row>
    <row r="30" ht="15.75" customHeight="1">
      <c r="A30" s="117"/>
      <c r="B30" s="117" t="s">
        <v>475</v>
      </c>
      <c r="C30" s="117">
        <v>1.0</v>
      </c>
      <c r="D30" s="117">
        <v>2.0</v>
      </c>
      <c r="E30" s="117">
        <v>3.0</v>
      </c>
    </row>
    <row r="31" ht="15.75" customHeight="1">
      <c r="A31" s="117"/>
      <c r="B31" s="117" t="s">
        <v>476</v>
      </c>
      <c r="C31" s="117">
        <v>2.0</v>
      </c>
      <c r="D31" s="117">
        <v>4.0</v>
      </c>
      <c r="E31" s="117">
        <v>6.0</v>
      </c>
    </row>
    <row r="32" ht="15.75" customHeight="1">
      <c r="A32" s="117"/>
      <c r="B32" s="117"/>
      <c r="C32" s="117"/>
      <c r="D32" s="117"/>
      <c r="E32" s="117"/>
    </row>
    <row r="33" ht="15.75" customHeight="1">
      <c r="A33" s="120" t="s">
        <v>217</v>
      </c>
      <c r="B33" s="121"/>
      <c r="C33" s="121"/>
      <c r="D33" s="121"/>
      <c r="E33" s="122"/>
    </row>
    <row r="34" ht="15.75" customHeight="1">
      <c r="A34" s="123" t="s">
        <v>473</v>
      </c>
      <c r="B34" s="123"/>
      <c r="C34" s="129">
        <f t="shared" ref="C34:E34" si="7">CHOOSE($B$2,C35,C36,C37)</f>
        <v>2000</v>
      </c>
      <c r="D34" s="129">
        <f t="shared" si="7"/>
        <v>3500</v>
      </c>
      <c r="E34" s="129">
        <f t="shared" si="7"/>
        <v>5000</v>
      </c>
    </row>
    <row r="35" ht="15.75" customHeight="1">
      <c r="A35" s="117"/>
      <c r="B35" s="117" t="s">
        <v>474</v>
      </c>
      <c r="C35" s="130">
        <v>1000.0</v>
      </c>
      <c r="D35" s="130">
        <v>1500.0</v>
      </c>
      <c r="E35" s="130">
        <v>2000.0</v>
      </c>
    </row>
    <row r="36" ht="15.75" customHeight="1">
      <c r="A36" s="117"/>
      <c r="B36" s="117" t="s">
        <v>475</v>
      </c>
      <c r="C36" s="130">
        <v>2000.0</v>
      </c>
      <c r="D36" s="130">
        <v>3500.0</v>
      </c>
      <c r="E36" s="130">
        <v>5000.0</v>
      </c>
    </row>
    <row r="37" ht="15.75" customHeight="1">
      <c r="A37" s="117"/>
      <c r="B37" s="117" t="s">
        <v>476</v>
      </c>
      <c r="C37" s="130">
        <v>4000.0</v>
      </c>
      <c r="D37" s="130">
        <v>7500.0</v>
      </c>
      <c r="E37" s="130">
        <v>12000.0</v>
      </c>
    </row>
    <row r="38" ht="15.75" customHeight="1">
      <c r="A38" s="117"/>
      <c r="B38" s="117"/>
      <c r="C38" s="117"/>
      <c r="D38" s="117"/>
      <c r="E38" s="117"/>
    </row>
    <row r="39" ht="15.75" customHeight="1">
      <c r="A39" s="120" t="s">
        <v>482</v>
      </c>
      <c r="B39" s="121"/>
      <c r="C39" s="121"/>
      <c r="D39" s="121"/>
      <c r="E39" s="122"/>
    </row>
    <row r="40" ht="15.75" customHeight="1">
      <c r="A40" s="117"/>
      <c r="B40" s="4" t="s">
        <v>471</v>
      </c>
      <c r="C40" s="4" t="s">
        <v>16</v>
      </c>
      <c r="D40" s="4" t="s">
        <v>17</v>
      </c>
      <c r="E40" s="4" t="s">
        <v>18</v>
      </c>
    </row>
    <row r="41" ht="15.75" customHeight="1">
      <c r="A41" s="117"/>
      <c r="B41" s="117" t="s">
        <v>474</v>
      </c>
      <c r="C41" s="117">
        <f t="shared" ref="C41:E41" si="8">ROUND(C8*C14*C20,0)</f>
        <v>72</v>
      </c>
      <c r="D41" s="117">
        <f t="shared" si="8"/>
        <v>193</v>
      </c>
      <c r="E41" s="117">
        <f t="shared" si="8"/>
        <v>400</v>
      </c>
    </row>
    <row r="42" ht="15.75" customHeight="1">
      <c r="A42" s="117"/>
      <c r="B42" s="117" t="s">
        <v>475</v>
      </c>
      <c r="C42" s="117">
        <f t="shared" ref="C42:E42" si="9">ROUND(C9*C15*C21,0)</f>
        <v>300</v>
      </c>
      <c r="D42" s="117">
        <f t="shared" si="9"/>
        <v>800</v>
      </c>
      <c r="E42" s="117">
        <f t="shared" si="9"/>
        <v>1680</v>
      </c>
    </row>
    <row r="43" ht="15.75" customHeight="1">
      <c r="A43" s="117"/>
      <c r="B43" s="117" t="s">
        <v>476</v>
      </c>
      <c r="C43" s="117">
        <f t="shared" ref="C43:E43" si="10">ROUND(C10*C16*C22,0)</f>
        <v>800</v>
      </c>
      <c r="D43" s="117">
        <f t="shared" si="10"/>
        <v>2633</v>
      </c>
      <c r="E43" s="117">
        <f t="shared" si="10"/>
        <v>6000</v>
      </c>
    </row>
    <row r="44" ht="15.75" customHeight="1">
      <c r="A44" s="117"/>
      <c r="B44" s="117"/>
      <c r="C44" s="117"/>
      <c r="D44" s="117"/>
      <c r="E44" s="117"/>
    </row>
    <row r="45" ht="15.75" customHeight="1">
      <c r="A45" s="117"/>
      <c r="B45" s="117"/>
      <c r="C45" s="117"/>
      <c r="D45" s="117"/>
      <c r="E45" s="117"/>
    </row>
    <row r="46" ht="15.75" customHeight="1">
      <c r="A46" s="120" t="s">
        <v>483</v>
      </c>
      <c r="B46" s="121"/>
      <c r="C46" s="121"/>
      <c r="D46" s="121"/>
      <c r="E46" s="122"/>
    </row>
    <row r="47" ht="15.75" customHeight="1">
      <c r="A47" s="131" t="s">
        <v>484</v>
      </c>
      <c r="B47" s="117"/>
      <c r="C47" s="117"/>
      <c r="D47" s="117"/>
      <c r="E47" s="117"/>
    </row>
    <row r="48" ht="15.75" customHeight="1">
      <c r="A48" s="131" t="s">
        <v>485</v>
      </c>
      <c r="B48" s="117"/>
      <c r="C48" s="117"/>
      <c r="D48" s="117"/>
      <c r="E48" s="117"/>
    </row>
    <row r="49" ht="15.75" customHeight="1">
      <c r="A49" s="131" t="s">
        <v>486</v>
      </c>
      <c r="B49" s="117"/>
      <c r="C49" s="117"/>
      <c r="D49" s="117"/>
      <c r="E49" s="117"/>
    </row>
    <row r="50" ht="15.75" customHeight="1"/>
    <row r="51" ht="15.75" customHeight="1"/>
    <row r="52" ht="15.75" customHeight="1">
      <c r="A52" s="37" t="s">
        <v>487</v>
      </c>
      <c r="B52" s="38"/>
      <c r="C52" s="38"/>
      <c r="D52" s="38"/>
      <c r="E52" s="39"/>
    </row>
    <row r="53" ht="15.75" customHeight="1">
      <c r="A53" s="106" t="s">
        <v>470</v>
      </c>
      <c r="B53" s="106" t="s">
        <v>488</v>
      </c>
      <c r="C53" s="106" t="s">
        <v>16</v>
      </c>
      <c r="D53" s="106" t="s">
        <v>17</v>
      </c>
      <c r="E53" s="106" t="s">
        <v>18</v>
      </c>
    </row>
    <row r="54" ht="15.75" customHeight="1">
      <c r="A54" s="132" t="s">
        <v>489</v>
      </c>
      <c r="B54" s="132"/>
      <c r="C54" s="132">
        <f t="shared" ref="C54:E54" si="11">ROUND(C7*C56/(C56+C57),0)</f>
        <v>18</v>
      </c>
      <c r="D54" s="132">
        <f t="shared" si="11"/>
        <v>35</v>
      </c>
      <c r="E54" s="132">
        <f t="shared" si="11"/>
        <v>56</v>
      </c>
    </row>
    <row r="55" ht="15.75" customHeight="1">
      <c r="A55" s="132" t="s">
        <v>490</v>
      </c>
      <c r="B55" s="132"/>
      <c r="C55" s="132">
        <f t="shared" ref="C55:E55" si="12">C7-C54</f>
        <v>7</v>
      </c>
      <c r="D55" s="132">
        <f t="shared" si="12"/>
        <v>15</v>
      </c>
      <c r="E55" s="132">
        <f t="shared" si="12"/>
        <v>24</v>
      </c>
    </row>
    <row r="56" ht="15.75" customHeight="1">
      <c r="A56" s="133" t="s">
        <v>491</v>
      </c>
      <c r="B56" s="133"/>
      <c r="C56" s="134">
        <v>18.0</v>
      </c>
      <c r="D56" s="134">
        <v>35.0</v>
      </c>
      <c r="E56" s="134">
        <v>56.0</v>
      </c>
    </row>
    <row r="57" ht="15.75" customHeight="1">
      <c r="A57" s="133" t="s">
        <v>492</v>
      </c>
      <c r="B57" s="133"/>
      <c r="C57" s="134">
        <v>7.0</v>
      </c>
      <c r="D57" s="134">
        <v>15.0</v>
      </c>
      <c r="E57" s="134">
        <v>24.0</v>
      </c>
    </row>
    <row r="58" ht="15.75" customHeight="1">
      <c r="A58" s="133" t="s">
        <v>493</v>
      </c>
      <c r="B58" s="133"/>
      <c r="C58" s="133">
        <f t="shared" ref="C58:E58" si="13">ROUND(C54/C59,0)</f>
        <v>90</v>
      </c>
      <c r="D58" s="133">
        <f t="shared" si="13"/>
        <v>175</v>
      </c>
      <c r="E58" s="133">
        <f t="shared" si="13"/>
        <v>280</v>
      </c>
    </row>
    <row r="59" ht="15.75" customHeight="1">
      <c r="A59" s="133" t="s">
        <v>494</v>
      </c>
      <c r="B59" s="133"/>
      <c r="C59" s="135">
        <v>0.2</v>
      </c>
      <c r="D59" s="135">
        <v>0.2</v>
      </c>
      <c r="E59" s="135">
        <v>0.2</v>
      </c>
    </row>
    <row r="60" ht="15.75" customHeight="1">
      <c r="A60" s="133" t="s">
        <v>495</v>
      </c>
      <c r="B60" s="133"/>
      <c r="C60" s="133">
        <f t="shared" ref="C60:E60" si="14">ROUND(C55/C61,0)</f>
        <v>35</v>
      </c>
      <c r="D60" s="133">
        <f t="shared" si="14"/>
        <v>75</v>
      </c>
      <c r="E60" s="133">
        <f t="shared" si="14"/>
        <v>120</v>
      </c>
    </row>
    <row r="61" ht="15.75" customHeight="1">
      <c r="A61" s="133" t="s">
        <v>496</v>
      </c>
      <c r="B61" s="133"/>
      <c r="C61" s="135">
        <v>0.2</v>
      </c>
      <c r="D61" s="135">
        <v>0.2</v>
      </c>
      <c r="E61" s="135">
        <v>0.2</v>
      </c>
    </row>
    <row r="62" ht="15.75" customHeight="1">
      <c r="A62" s="133" t="s">
        <v>497</v>
      </c>
      <c r="B62" s="133"/>
      <c r="C62" s="133">
        <f t="shared" ref="C62:E62" si="15">C55</f>
        <v>7</v>
      </c>
      <c r="D62" s="133">
        <f t="shared" si="15"/>
        <v>15</v>
      </c>
      <c r="E62" s="133">
        <f t="shared" si="15"/>
        <v>24</v>
      </c>
    </row>
    <row r="63" ht="15.75" customHeight="1">
      <c r="A63" s="133" t="s">
        <v>498</v>
      </c>
      <c r="B63" s="136">
        <v>75.0</v>
      </c>
      <c r="C63" s="137">
        <f t="shared" ref="C63:E63" si="16">C54*$B$63</f>
        <v>1350</v>
      </c>
      <c r="D63" s="137">
        <f t="shared" si="16"/>
        <v>2625</v>
      </c>
      <c r="E63" s="137">
        <f t="shared" si="16"/>
        <v>4200</v>
      </c>
    </row>
    <row r="64" ht="15.75" customHeight="1">
      <c r="A64" s="133" t="s">
        <v>499</v>
      </c>
      <c r="B64" s="136">
        <v>300.0</v>
      </c>
      <c r="C64" s="137">
        <f t="shared" ref="C64:E64" si="17">C55*$B$64</f>
        <v>2100</v>
      </c>
      <c r="D64" s="137">
        <f t="shared" si="17"/>
        <v>4500</v>
      </c>
      <c r="E64" s="137">
        <f t="shared" si="17"/>
        <v>7200</v>
      </c>
    </row>
    <row r="65" ht="15.75" customHeight="1">
      <c r="A65" s="138" t="s">
        <v>500</v>
      </c>
      <c r="B65" s="139"/>
      <c r="C65" s="139">
        <f t="shared" ref="C65:E65" si="18">SUM(C63:C64)</f>
        <v>3450</v>
      </c>
      <c r="D65" s="139">
        <f t="shared" si="18"/>
        <v>7125</v>
      </c>
      <c r="E65" s="139">
        <f t="shared" si="18"/>
        <v>11400</v>
      </c>
    </row>
    <row r="66" ht="15.75" customHeight="1">
      <c r="A66" s="105"/>
      <c r="B66" s="105"/>
      <c r="C66" s="105"/>
      <c r="D66" s="105"/>
      <c r="E66" s="105"/>
    </row>
    <row r="67" ht="15.75" customHeight="1">
      <c r="A67" s="37" t="s">
        <v>501</v>
      </c>
      <c r="B67" s="38"/>
      <c r="C67" s="38"/>
      <c r="D67" s="38"/>
      <c r="E67" s="39"/>
    </row>
    <row r="68" ht="15.75" customHeight="1">
      <c r="A68" s="106" t="s">
        <v>502</v>
      </c>
      <c r="B68" s="106" t="s">
        <v>503</v>
      </c>
      <c r="C68" s="106" t="s">
        <v>434</v>
      </c>
      <c r="D68" s="106" t="s">
        <v>437</v>
      </c>
      <c r="E68" s="106" t="s">
        <v>247</v>
      </c>
    </row>
    <row r="69" ht="53.25" customHeight="1">
      <c r="A69" s="110" t="s">
        <v>504</v>
      </c>
      <c r="B69" s="110" t="s">
        <v>505</v>
      </c>
      <c r="C69" s="110" t="s">
        <v>506</v>
      </c>
      <c r="D69" s="110" t="s">
        <v>507</v>
      </c>
      <c r="E69" s="110" t="s">
        <v>374</v>
      </c>
    </row>
    <row r="70" ht="56.25" customHeight="1">
      <c r="A70" s="110" t="s">
        <v>508</v>
      </c>
      <c r="B70" s="110" t="s">
        <v>509</v>
      </c>
      <c r="C70" s="110" t="s">
        <v>510</v>
      </c>
      <c r="D70" s="110" t="s">
        <v>511</v>
      </c>
      <c r="E70" s="110" t="s">
        <v>374</v>
      </c>
    </row>
    <row r="71" ht="48.75" customHeight="1">
      <c r="A71" s="110" t="s">
        <v>427</v>
      </c>
      <c r="B71" s="110" t="s">
        <v>512</v>
      </c>
      <c r="C71" s="110" t="s">
        <v>513</v>
      </c>
      <c r="D71" s="110" t="s">
        <v>514</v>
      </c>
      <c r="E71" s="110" t="s">
        <v>515</v>
      </c>
    </row>
    <row r="72" ht="50.25" customHeight="1">
      <c r="A72" s="110" t="s">
        <v>516</v>
      </c>
      <c r="B72" s="110" t="s">
        <v>517</v>
      </c>
      <c r="C72" s="110" t="s">
        <v>518</v>
      </c>
      <c r="D72" s="110" t="s">
        <v>519</v>
      </c>
      <c r="E72" s="110" t="s">
        <v>520</v>
      </c>
    </row>
    <row r="73" ht="48.75" customHeight="1">
      <c r="A73" s="110" t="s">
        <v>428</v>
      </c>
      <c r="B73" s="110" t="s">
        <v>521</v>
      </c>
      <c r="C73" s="110" t="s">
        <v>522</v>
      </c>
      <c r="D73" s="110" t="s">
        <v>523</v>
      </c>
      <c r="E73" s="110" t="s">
        <v>524</v>
      </c>
    </row>
    <row r="74" ht="53.25" customHeight="1">
      <c r="A74" s="110" t="s">
        <v>525</v>
      </c>
      <c r="B74" s="110" t="s">
        <v>526</v>
      </c>
      <c r="C74" s="110" t="s">
        <v>527</v>
      </c>
      <c r="D74" s="110" t="s">
        <v>528</v>
      </c>
      <c r="E74" s="110" t="s">
        <v>529</v>
      </c>
    </row>
    <row r="75" ht="54.0" customHeight="1">
      <c r="A75" s="111" t="s">
        <v>430</v>
      </c>
      <c r="B75" s="111" t="s">
        <v>530</v>
      </c>
      <c r="C75" s="111" t="s">
        <v>531</v>
      </c>
      <c r="D75" s="111" t="s">
        <v>531</v>
      </c>
      <c r="E75" s="111" t="s">
        <v>532</v>
      </c>
    </row>
    <row r="76" ht="15.75" customHeight="1">
      <c r="A76" s="105"/>
      <c r="B76" s="105"/>
      <c r="C76" s="105"/>
      <c r="D76" s="105"/>
      <c r="E76" s="105"/>
    </row>
    <row r="77" ht="15.75" customHeight="1">
      <c r="A77" s="37" t="s">
        <v>533</v>
      </c>
      <c r="B77" s="38"/>
      <c r="C77" s="38"/>
      <c r="D77" s="38"/>
      <c r="E77" s="39"/>
    </row>
    <row r="78" ht="24.0" customHeight="1">
      <c r="A78" s="140" t="s">
        <v>534</v>
      </c>
    </row>
    <row r="79" ht="24.0" customHeight="1">
      <c r="A79" s="140" t="s">
        <v>535</v>
      </c>
    </row>
    <row r="80" ht="24.0" customHeight="1">
      <c r="A80" s="140" t="s">
        <v>536</v>
      </c>
    </row>
    <row r="81" ht="24.0" customHeight="1">
      <c r="A81" s="140" t="s">
        <v>537</v>
      </c>
    </row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78:E78"/>
    <mergeCell ref="A79:E79"/>
    <mergeCell ref="A80:E80"/>
    <mergeCell ref="A81:E81"/>
  </mergeCells>
  <dataValidations>
    <dataValidation type="list" allowBlank="1" sqref="B2">
      <formula1>"1,2,3"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18.0"/>
    <col customWidth="1" min="2" max="2" width="54.0"/>
    <col customWidth="1" min="3" max="3" width="43.0"/>
    <col customWidth="1" min="4" max="4" width="30.0"/>
    <col customWidth="1" min="5" max="26" width="8.63"/>
  </cols>
  <sheetData>
    <row r="1" ht="27.75" customHeight="1">
      <c r="A1" s="141" t="s">
        <v>538</v>
      </c>
    </row>
    <row r="2" ht="21.75" customHeight="1">
      <c r="A2" s="142" t="s">
        <v>539</v>
      </c>
    </row>
    <row r="3">
      <c r="A3" s="105"/>
      <c r="B3" s="105"/>
      <c r="C3" s="105"/>
      <c r="D3" s="105"/>
    </row>
    <row r="4">
      <c r="A4" s="106" t="s">
        <v>540</v>
      </c>
      <c r="B4" s="106" t="s">
        <v>541</v>
      </c>
      <c r="C4" s="106" t="s">
        <v>542</v>
      </c>
      <c r="D4" s="106" t="s">
        <v>543</v>
      </c>
    </row>
    <row r="5" ht="37.5" customHeight="1">
      <c r="A5" s="143" t="s">
        <v>544</v>
      </c>
      <c r="B5" s="110" t="s">
        <v>545</v>
      </c>
      <c r="C5" s="110" t="s">
        <v>546</v>
      </c>
      <c r="D5" s="110" t="s">
        <v>547</v>
      </c>
    </row>
    <row r="6" ht="37.5" customHeight="1">
      <c r="A6" s="143" t="s">
        <v>548</v>
      </c>
      <c r="B6" s="110" t="s">
        <v>549</v>
      </c>
      <c r="C6" s="110" t="s">
        <v>550</v>
      </c>
      <c r="D6" s="110" t="s">
        <v>547</v>
      </c>
    </row>
    <row r="7" ht="37.5" customHeight="1">
      <c r="A7" s="143" t="s">
        <v>551</v>
      </c>
      <c r="B7" s="110" t="s">
        <v>552</v>
      </c>
      <c r="C7" s="110" t="s">
        <v>553</v>
      </c>
      <c r="D7" s="110" t="s">
        <v>554</v>
      </c>
    </row>
    <row r="8" ht="37.5" customHeight="1">
      <c r="A8" s="143" t="s">
        <v>555</v>
      </c>
      <c r="B8" s="110" t="s">
        <v>556</v>
      </c>
      <c r="C8" s="110" t="s">
        <v>557</v>
      </c>
      <c r="D8" s="110" t="s">
        <v>558</v>
      </c>
    </row>
    <row r="9" ht="37.5" customHeight="1">
      <c r="A9" s="143" t="s">
        <v>559</v>
      </c>
      <c r="B9" s="110" t="s">
        <v>560</v>
      </c>
      <c r="C9" s="110" t="s">
        <v>561</v>
      </c>
      <c r="D9" s="110" t="s">
        <v>562</v>
      </c>
    </row>
    <row r="10" ht="37.5" customHeight="1">
      <c r="A10" s="143" t="s">
        <v>563</v>
      </c>
      <c r="B10" s="110" t="s">
        <v>564</v>
      </c>
      <c r="C10" s="110" t="s">
        <v>565</v>
      </c>
      <c r="D10" s="110" t="s">
        <v>566</v>
      </c>
    </row>
    <row r="11" ht="37.5" customHeight="1">
      <c r="A11" s="143" t="s">
        <v>567</v>
      </c>
      <c r="B11" s="110" t="s">
        <v>568</v>
      </c>
      <c r="C11" s="110" t="s">
        <v>569</v>
      </c>
      <c r="D11" s="110" t="s">
        <v>570</v>
      </c>
    </row>
    <row r="12" ht="37.5" customHeight="1">
      <c r="A12" s="143" t="s">
        <v>571</v>
      </c>
      <c r="B12" s="110" t="s">
        <v>572</v>
      </c>
      <c r="C12" s="110" t="s">
        <v>573</v>
      </c>
      <c r="D12" s="110" t="s">
        <v>574</v>
      </c>
    </row>
    <row r="13" ht="37.5" customHeight="1">
      <c r="A13" s="143" t="s">
        <v>15</v>
      </c>
      <c r="B13" s="110" t="s">
        <v>575</v>
      </c>
      <c r="C13" s="110" t="s">
        <v>576</v>
      </c>
      <c r="D13" s="110" t="s">
        <v>577</v>
      </c>
    </row>
    <row r="14" ht="37.5" customHeight="1">
      <c r="A14" s="143" t="s">
        <v>578</v>
      </c>
      <c r="B14" s="110" t="s">
        <v>579</v>
      </c>
      <c r="C14" s="110" t="s">
        <v>580</v>
      </c>
      <c r="D14" s="110" t="s">
        <v>581</v>
      </c>
    </row>
    <row r="15" ht="37.5" customHeight="1">
      <c r="A15" s="144" t="s">
        <v>582</v>
      </c>
      <c r="B15" s="145" t="s">
        <v>583</v>
      </c>
      <c r="C15" s="145" t="s">
        <v>584</v>
      </c>
      <c r="D15" s="145" t="s">
        <v>585</v>
      </c>
    </row>
    <row r="16" ht="37.5" customHeight="1">
      <c r="A16" s="144" t="s">
        <v>586</v>
      </c>
      <c r="B16" s="145" t="s">
        <v>587</v>
      </c>
      <c r="C16" s="145" t="s">
        <v>588</v>
      </c>
      <c r="D16" s="145" t="s">
        <v>589</v>
      </c>
    </row>
    <row r="17">
      <c r="A17" s="146" t="s">
        <v>590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D1"/>
    <mergeCell ref="A2:D2"/>
    <mergeCell ref="A17:D17"/>
  </mergeCells>
  <printOptions/>
  <pageMargins bottom="0.75" footer="0.0" header="0.0" left="0.7" right="0.7" top="0.75"/>
  <pageSetup orientation="landscape"/>
  <drawing r:id="rId1"/>
</worksheet>
</file>