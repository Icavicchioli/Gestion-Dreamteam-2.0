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b546cc491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7" r:id="R4dc119dd05074a8b"/>
    <x:sheet xmlns:r="http://schemas.openxmlformats.org/officeDocument/2006/relationships" name="Supuestos" sheetId="5" r:id="Radcc260190a24d97"/>
    <x:sheet xmlns:r="http://schemas.openxmlformats.org/officeDocument/2006/relationships" name="Épicas" sheetId="12" r:id="R605ff0139ad349e1"/>
    <x:sheet xmlns:r="http://schemas.openxmlformats.org/officeDocument/2006/relationships" name="Features" sheetId="11" r:id="R00ec284f5b704245"/>
    <x:sheet xmlns:r="http://schemas.openxmlformats.org/officeDocument/2006/relationships" name="Historias de usuario" sheetId="10" r:id="R4c52f718dff945b1"/>
    <x:sheet xmlns:r="http://schemas.openxmlformats.org/officeDocument/2006/relationships" name="Plan 18 meses" sheetId="9" r:id="Rf9afb233d4e84d0d"/>
    <x:sheet xmlns:r="http://schemas.openxmlformats.org/officeDocument/2006/relationships" name="Tareas y sprints" sheetId="8" r:id="R5a8b413e74204866"/>
    <x:sheet xmlns:r="http://schemas.openxmlformats.org/officeDocument/2006/relationships" name="Flujo mensual" sheetId="6" r:id="Rcde7fe6c229a4421"/>
    <x:sheet xmlns:r="http://schemas.openxmlformats.org/officeDocument/2006/relationships" name="Plan comercial" sheetId="3" r:id="R079970f11c2347b1"/>
    <x:sheet xmlns:r="http://schemas.openxmlformats.org/officeDocument/2006/relationships" name="Componentes" sheetId="13" r:id="R3a9c67bfa033456d"/>
  </x:sheets>
</x:workbook>
</file>

<file path=xl/sharedStrings.xml><?xml version="1.0" encoding="utf-8"?>
<x:sst xmlns:x="http://schemas.openxmlformats.org/spreadsheetml/2006/main">
  <x:si>
    <x:t xml:space="preserve">Plan comercial por clínicas y profesionales</x:t>
  </x:si>
  <x:si>
    <x:t xml:space="preserve">Escenario activo (1-3)</x:t>
  </x:si>
  <x:si>
    <x:t xml:space="preserve">Caso seleccionado</x:t>
  </x:si>
  <x:si>
    <x:t xml:space="preserve">Embudo de adopción</x:t>
  </x:si>
  <x:si>
    <x:t xml:space="preserve">Driver</x:t>
  </x:si>
  <x:si>
    <x:t xml:space="preserve">Escenario</x:t>
  </x:si>
  <x:si>
    <x:t xml:space="preserve">Clínicas/profesionales aliados</x:t>
  </x:si>
  <x:si>
    <x:t xml:space="preserve">Selección activa</x:t>
  </x:si>
  <x:si>
    <x:t xml:space="preserve">Conservador</x:t>
  </x:si>
  <x:si>
    <x:t xml:space="preserve">Base</x:t>
  </x:si>
  <x:si>
    <x:t xml:space="preserve">Expansivo</x:t>
  </x:si>
  <x:si>
    <x:t xml:space="preserve">Pacientes alcanzables por aliado/año</x:t>
  </x:si>
  <x:si>
    <x:t xml:space="preserve">Tasa de adopción sobre pacientes alcanzados</x:t>
  </x:si>
  <x:si>
    <x:t xml:space="preserve">Ventas de kits resultantes</x:t>
  </x:si>
  <x:si>
    <x:t xml:space="preserve">Mercado de referencia argentino</x:t>
  </x:si>
  <x:si>
    <x:t xml:space="preserve">Participación sobre mercado de referencia</x:t>
  </x:si>
  <x:si>
    <x:t xml:space="preserve">Equipo comercial fijo (FTE)</x:t>
  </x:si>
  <x:si>
    <x:t xml:space="preserve">Difusión mensual (USD)</x:t>
  </x:si>
  <x:si>
    <x:t xml:space="preserve">Comparación de ventas por escenario</x:t>
  </x:si>
  <x:si>
    <x:t xml:space="preserve">Notas y fuentes</x:t>
  </x:si>
  <x:si>
    <x:t xml:space="preserve">El mercado de referencia de 4 millones surge de la extrapolación documentada en el informe a partir del IDF Diabetes Atlas; no equivale al mercado accesible.</x:t>
  </x:si>
  <x:si>
    <x:t xml:space="preserve">Los pagos de canal representan servicios de comercialización y soporte institucional; no se pagan decisiones o derivaciones clínicas.</x:t>
  </x:si>
  <x:si>
    <x:t xml:space="preserve">Canales de adquisición y costos de activación</x:t>
  </x:si>
  <x:si>
    <x:t xml:space="preserve">Tarifa / criterio</x:t>
  </x:si>
  <x:si>
    <x:t xml:space="preserve">Médicos aliados - selección activa</x:t>
  </x:si>
  <x:si>
    <x:t xml:space="preserve">Clínicas aliadas - selección activa</x:t>
  </x:si>
  <x:si>
    <x:t xml:space="preserve">Médicos aliados - base aprobada</x:t>
  </x:si>
  <x:si>
    <x:t xml:space="preserve">Clínicas aliadas - base aprobada</x:t>
  </x:si>
  <x:si>
    <x:t xml:space="preserve">Prospectos médicos calificados</x:t>
  </x:si>
  <x:si>
    <x:t xml:space="preserve">Conversión de prospectos médicos</x:t>
  </x:si>
  <x:si>
    <x:t xml:space="preserve">Prospectos de clínicas calificadas</x:t>
  </x:si>
  <x:si>
    <x:t xml:space="preserve">Conversión de prospectos de clínicas</x:t>
  </x:si>
  <x:si>
    <x:t xml:space="preserve">Kits demostradores (uno por clínica)</x:t>
  </x:si>
  <x:si>
    <x:t xml:space="preserve">Onboarding de médicos (USD)</x:t>
  </x:si>
  <x:si>
    <x:t xml:space="preserve">Onboarding de clínicas (USD)</x:t>
  </x:si>
  <x:si>
    <x:t xml:space="preserve">Onboarding total (USD)</x:t>
  </x:si>
  <x:si>
    <x:t xml:space="preserve">Acciones del canal</x:t>
  </x:si>
  <x:si>
    <x:t xml:space="preserve">Etapa</x:t>
  </x:si>
  <x:si>
    <x:t xml:space="preserve">Evidencia de cierre</x:t>
  </x:si>
  <x:si>
    <x:t xml:space="preserve">Médicos</x:t>
  </x:si>
  <x:si>
    <x:t xml:space="preserve">Clínicas</x:t>
  </x:si>
  <x:si>
    <x:t xml:space="preserve">Responsable</x:t>
  </x:si>
  <x:si>
    <x:t xml:space="preserve">Construcción de base</x:t>
  </x:si>
  <x:si>
    <x:t xml:space="preserve">Registro calificado con fuente y contacto</x:t>
  </x:si>
  <x:si>
    <x:t xml:space="preserve">Prioridad principal</x:t>
  </x:si>
  <x:si>
    <x:t xml:space="preserve">Instituciones objetivo</x:t>
  </x:si>
  <x:si>
    <x:t xml:space="preserve">Comercial</x:t>
  </x:si>
  <x:si>
    <x:t xml:space="preserve">Contacto</x:t>
  </x:si>
  <x:si>
    <x:t xml:space="preserve">Respuesta o siguiente acción registrada</x:t>
  </x:si>
  <x:si>
    <x:t xml:space="preserve">Contacto individual</x:t>
  </x:si>
  <x:si>
    <x:t xml:space="preserve">Contacto institucional</x:t>
  </x:si>
  <x:si>
    <x:t xml:space="preserve">Reunión</x:t>
  </x:si>
  <x:si>
    <x:t xml:space="preserve">Necesidad, alcance y objeciones documentadas</x:t>
  </x:si>
  <x:si>
    <x:t xml:space="preserve">Entrevista breve</x:t>
  </x:si>
  <x:si>
    <x:t xml:space="preserve">Reunión con decisores</x:t>
  </x:si>
  <x:si>
    <x:t xml:space="preserve">Comercial + producto</x:t>
  </x:si>
  <x:si>
    <x:t xml:space="preserve">Presentación</x:t>
  </x:si>
  <x:si>
    <x:t xml:space="preserve">Demostración y límites de uso comunicados</x:t>
  </x:si>
  <x:si>
    <x:t xml:space="preserve">Material clínico</x:t>
  </x:si>
  <x:si>
    <x:t xml:space="preserve">Kit demostrador</x:t>
  </x:si>
  <x:si>
    <x:t xml:space="preserve">Producto + regulatorio</x:t>
  </x:si>
  <x:si>
    <x:t xml:space="preserve">Acuerdo</x:t>
  </x:si>
  <x:si>
    <x:t xml:space="preserve">Condiciones comerciales y soporte aprobados</x:t>
  </x:si>
  <x:si>
    <x:t xml:space="preserve">Acuerdo de colaboración</x:t>
  </x:si>
  <x:si>
    <x:t xml:space="preserve">Acuerdo institucional</x:t>
  </x:si>
  <x:si>
    <x:t xml:space="preserve">Legal + comercial</x:t>
  </x:si>
  <x:si>
    <x:t xml:space="preserve">Capacitación</x:t>
  </x:si>
  <x:si>
    <x:t xml:space="preserve">Asistencia y guía entregada</x:t>
  </x:si>
  <x:si>
    <x:t xml:space="preserve">Onboarding USD 75</x:t>
  </x:si>
  <x:si>
    <x:t xml:space="preserve">Onboarding USD 300</x:t>
  </x:si>
  <x:si>
    <x:t xml:space="preserve">Soporte</x:t>
  </x:si>
  <x:si>
    <x:t xml:space="preserve">Seguimiento</x:t>
  </x:si>
  <x:si>
    <x:t xml:space="preserve">Actividad, pacientes, soporte y desvíos revisados</x:t>
  </x:si>
  <x:si>
    <x:t xml:space="preserve">Cadencia mensual</x:t>
  </x:si>
  <x:si>
    <x:t xml:space="preserve">Comercial + QA</x:t>
  </x:si>
  <x:si>
    <x:t xml:space="preserve">Notas del canal</x:t>
  </x:si>
  <x:si>
    <x:t xml:space="preserve">En el escenario base, los prospectos son 90/175/280 médicos y 35/75/120 clínicas, ambos con conversión del 20%.</x:t>
  </x:si>
  <x:si>
    <x:t xml:space="preserve">Los médicos constituyen el canal principal; las clínicas concentran demostraciones, acuerdos institucionales y onboarding.</x:t>
  </x:si>
  <x:si>
    <x:t xml:space="preserve">No se modelan pagos por decisiones ni derivaciones clínicas. El 8% variable remunera comercialización, soporte institucional y cobranza.</x:t>
  </x:si>
</x:sst>
</file>

<file path=xl/styles.xml><?xml version="1.0" encoding="utf-8"?>
<x:styleSheet xmlns:x="http://schemas.openxmlformats.org/spreadsheetml/2006/main">
  <x:numFmts count="15">
    <x:numFmt numFmtId="164" formatCode="[$$]#,##0.00"/>
    <x:numFmt numFmtId="165" formatCode="#,##0.00;(#,##0.00);&quot;-&quot;"/>
    <x:numFmt numFmtId="166" formatCode="#,##0.00;[Red](#,##0.00);-"/>
    <x:numFmt numFmtId="167" formatCode="0.0%"/>
    <x:numFmt numFmtId="168" formatCode="#,##0;[Red](#,##0);-"/>
    <x:numFmt numFmtId="169" formatCode="$#,##0.00;[Red]($#,##0.00);-"/>
    <x:numFmt numFmtId="170" formatCode="dd/mm/yyyy"/>
    <x:numFmt numFmtId="171" formatCode="dd-mmm-yy"/>
    <x:numFmt numFmtId="172" formatCode="&quot;M&quot;0"/>
    <x:numFmt numFmtId="173" formatCode="0.000%"/>
    <x:numFmt numFmtId="174" formatCode="&quot;$&quot;#,##0"/>
    <x:numFmt numFmtId="200" formatCode="#,##0.00"/>
    <x:numFmt numFmtId="201" formatCode="0.00%"/>
    <x:numFmt numFmtId="202" formatCode="0.00"/>
    <x:numFmt numFmtId="203" formatCode="0%"/>
  </x:numFmts>
  <x:fonts count="34">
    <x:font>
      <x:sz val="10"/>
      <x:color rgb="FF000000"/>
      <x:name val="Arial"/>
      <x:scheme val="minor"/>
    </x:font>
    <x:font>
      <x:b/>
      <x:sz val="14"/>
      <x:color rgb="FF1F4E78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color theme="1"/>
      <x:name val="Arial"/>
    </x:font>
    <x:font>
      <x:sz val="10"/>
      <x:color rgb="FF262626"/>
      <x:name val="Arial"/>
    </x:font>
    <x:font>
      <x:b/>
      <x:sz val="10"/>
      <x:color rgb="FF262626"/>
      <x:name val="Arial"/>
    </x:font>
    <x:font>
      <x:sz val="10"/>
      <x:color rgb="FF0000FF"/>
      <x:name val="Arial"/>
    </x:font>
    <x:font>
      <x:i/>
      <x:sz val="9"/>
      <x:color rgb="FF666666"/>
      <x:name val="Arial"/>
    </x:font>
    <x:font>
      <x:b/>
      <x:sz val="10"/>
      <x:color rgb="FF0000FF"/>
      <x:name val="Arial"/>
    </x:font>
    <x:font>
      <x:b/>
      <x:i/>
      <x:sz val="9"/>
      <x:color rgb="FF666666"/>
      <x:name val="Arial"/>
    </x:font>
    <x:font>
      <x:sz val="10"/>
      <x:color rgb="FF000000"/>
      <x:name val="Arial"/>
    </x:font>
    <x:font>
      <x:sz val="9"/>
      <x:color rgb="FF1F1F1F"/>
      <x:name val="Arial"/>
    </x:font>
    <x:font>
      <x:b/>
      <x:sz val="10"/>
      <x:color rgb="FF4472C4"/>
      <x:name val="Arial"/>
    </x:font>
    <x:font>
      <x:b/>
      <x:sz val="10"/>
      <x:color rgb="FFC65911"/>
      <x:name val="Arial"/>
    </x:font>
    <x:font>
      <x:b/>
      <x:sz val="9"/>
      <x:color rgb="FF1F1F1F"/>
      <x:name val="Arial"/>
    </x:font>
    <x:font/>
    <x:font>
      <x:b/>
      <x:sz val="10"/>
      <x:color rgb="FF008000"/>
      <x:name val="Arial"/>
    </x:font>
    <x:font>
      <x:b/>
      <x:sz val="15"/>
      <x:color rgb="FFFFFFFF"/>
      <x:name val="Arial"/>
    </x:font>
    <x:font>
      <x:i/>
      <x:sz val="9"/>
      <x:color rgb="FF555555"/>
      <x:name val="Arial"/>
    </x:font>
    <x:font>
      <x:sz val="10"/>
      <x:color rgb="FFFFFFFF"/>
      <x:name val="Arial"/>
      <x:scheme val="minor"/>
    </x:font>
    <x:font>
      <x:sz val="10"/>
      <x:color rgb="FF0000FF"/>
      <x:name val="Arial"/>
      <x:scheme val="minor"/>
    </x:font>
    <x:font>
      <x:sz val="10"/>
      <x:color rgb="FF008000"/>
      <x:name val="Arial"/>
      <x:scheme val="minor"/>
    </x:font>
    <x:font>
      <x:sz val="14"/>
      <x:color rgb="FF000000"/>
      <x:name val="Arial"/>
      <x:scheme val="minor"/>
    </x:font>
    <x:font>
      <x:b/>
      <x:sz val="14"/>
      <x:color rgb="FF000000"/>
      <x:name val="Arial"/>
      <x:scheme val="minor"/>
    </x:font>
    <x:font>
      <x:b/>
      <x:sz val="10"/>
      <x:color rgb="FFFFFFFF"/>
      <x:name val="Arial"/>
      <x:scheme val="minor"/>
    </x:font>
    <x:font>
      <x:sz val="11"/>
      <x:color rgb="FF000000"/>
      <x:name val="Arial"/>
      <x:scheme val="minor"/>
    </x:font>
    <x:font>
      <x:sz val="11"/>
      <x:color rgb="FFFFFFFF"/>
      <x:name val="Arial"/>
      <x:scheme val="minor"/>
    </x:font>
    <x:font>
      <x:b/>
      <x:sz val="11"/>
      <x:color rgb="FFFFFFFF"/>
      <x:name val="Arial"/>
      <x:scheme val="minor"/>
    </x:font>
    <x:font>
      <x:sz val="11"/>
      <x:color rgb="FF0000FF"/>
      <x:name val="Arial"/>
      <x:scheme val="minor"/>
    </x:font>
    <x:font>
      <x:sz val="10"/>
      <x:color rgb="FF303030"/>
      <x:name val="Arial"/>
      <x:scheme val="minor"/>
    </x:font>
    <x:font>
      <x:b/>
      <x:sz val="12"/>
      <x:color rgb="FF1F4E79"/>
      <x:name val="Arial"/>
      <x:scheme val="minor"/>
    </x:font>
    <x:font>
      <x:sz val="10"/>
      <x:color rgb="FF0563C1"/>
      <x:name val="Arial"/>
      <x:scheme val="minor"/>
    </x:font>
  </x:fonts>
  <x:fills count="23">
    <x:fill>
      <x:patternFill patternType="none"/>
    </x:fill>
    <x:fill>
      <x:patternFill patternType="lightGray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CFE2F3"/>
      </x:patternFill>
    </x:fill>
    <x:fill>
      <x:patternFill patternType="solid">
        <x:fgColor rgb="FFFCE4D6"/>
      </x:patternFill>
    </x:fill>
    <x:fill>
      <x:patternFill patternType="solid">
        <x:fgColor rgb="FFFCE5CD"/>
      </x:patternFill>
    </x:fill>
    <x:fill>
      <x:patternFill patternType="solid">
        <x:fgColor rgb="FFB6D7A8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2E3F2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</x:borders>
  <x:cellStyleXfs count="1">
    <x:xf numFmtId="0" fontId="0" fillId="0" borderId="0" applyFont="1" applyAlignment="1"/>
  </x:cellStyleXfs>
  <x:cellXfs count="261">
    <x:xf numFmtId="0" fontId="0" fillId="0" borderId="0" xfId="0" applyFont="1" applyAlignment="1">
      <x:alignment vertical="bottom" wrapText="0" shrinkToFit="0"/>
    </x:xf>
    <x:xf numFmtId="0" fontId="1" fillId="0" borderId="0" xfId="0" applyFont="1" applyAlignment="1">
      <x:alignment horizontal="left" vertical="center" wrapText="0" shrinkToFit="0"/>
    </x:xf>
    <x:xf numFmtId="0" fontId="2" fillId="0" borderId="0" xfId="0" applyFont="1" applyAlignment="1">
      <x:alignment horizontal="left" vertical="center" wrapText="0" shrinkToFit="0"/>
    </x:xf>
    <x:xf numFmtId="164" fontId="2" fillId="0" borderId="0" xfId="0" applyNumberFormat="1" applyFont="1" applyAlignment="1">
      <x:alignment horizontal="right" vertical="center"/>
    </x:xf>
    <x:xf numFmtId="0" fontId="3" fillId="2" borderId="1" xfId="0" applyFont="1" applyFill="1" applyBorder="1" applyAlignment="1">
      <x:alignment horizontal="center" vertical="center" wrapText="0" shrinkToFit="0"/>
    </x:xf>
    <x:xf numFmtId="164" fontId="3" fillId="2" borderId="1" xfId="0" applyNumberFormat="1" applyFont="1" applyFill="1" applyBorder="1" applyAlignment="1">
      <x:alignment horizontal="center" vertical="center" wrapText="0" shrinkToFit="0"/>
    </x:xf>
    <x:xf numFmtId="49" fontId="3" fillId="2" borderId="1" xfId="0" applyNumberFormat="1" applyFont="1" applyFill="1" applyBorder="1" applyAlignment="1">
      <x:alignment horizontal="center" vertical="center" wrapText="0" shrinkToFit="0"/>
    </x:xf>
    <x:xf numFmtId="0" fontId="4" fillId="3" borderId="2" xfId="0" applyFont="1" applyFill="1" applyBorder="1" applyAlignment="1">
      <x:alignment horizontal="left" vertical="center" wrapText="0" shrinkToFit="0"/>
    </x:xf>
    <x:xf numFmtId="0" fontId="4" fillId="3" borderId="3" xfId="0" applyFont="1" applyFill="1" applyBorder="1" applyAlignment="1">
      <x:alignment horizontal="left" vertical="center" wrapText="0" shrinkToFit="0"/>
    </x:xf>
    <x:xf numFmtId="165" fontId="4" fillId="3" borderId="3" xfId="0" applyNumberFormat="1" applyFont="1" applyFill="1" applyBorder="1" applyAlignment="1">
      <x:alignment horizontal="right" vertical="center" wrapText="0" shrinkToFit="0"/>
    </x:xf>
    <x:xf numFmtId="165" fontId="4" fillId="3" borderId="4" xfId="0" applyNumberFormat="1" applyFont="1" applyFill="1" applyBorder="1" applyAlignment="1">
      <x:alignment horizontal="right" vertical="center" wrapText="0" shrinkToFit="0"/>
    </x:xf>
    <x:xf numFmtId="0" fontId="5" fillId="4" borderId="0" xfId="0" applyFont="1" applyFill="1"/>
    <x:xf numFmtId="0" fontId="4" fillId="0" borderId="0" xfId="0" applyFont="1" applyAlignment="1">
      <x:alignment horizontal="left" vertical="center" wrapText="0" shrinkToFit="0"/>
    </x:xf>
    <x:xf numFmtId="166" fontId="2" fillId="0" borderId="0" xfId="0" applyNumberFormat="1" applyFont="1" applyAlignment="1">
      <x:alignment horizontal="right" vertical="center" wrapText="0" shrinkToFit="0"/>
    </x:xf>
    <x:xf numFmtId="166" fontId="4" fillId="3" borderId="3" xfId="0" applyNumberFormat="1" applyFont="1" applyFill="1" applyBorder="1" applyAlignment="1">
      <x:alignment horizontal="right" vertical="center" wrapText="0" shrinkToFit="0"/>
    </x:xf>
    <x:xf numFmtId="166" fontId="4" fillId="3" borderId="4" xfId="0" applyNumberFormat="1" applyFont="1" applyFill="1" applyBorder="1" applyAlignment="1">
      <x:alignment horizontal="right" vertical="center" wrapText="0" shrinkToFit="0"/>
    </x:xf>
    <x:xf numFmtId="0" fontId="4" fillId="5" borderId="2" xfId="0" applyFont="1" applyFill="1" applyBorder="1" applyAlignment="1">
      <x:alignment horizontal="left" vertical="center" wrapText="0" shrinkToFit="0"/>
    </x:xf>
    <x:xf numFmtId="0" fontId="4" fillId="5" borderId="3" xfId="0" applyFont="1" applyFill="1" applyBorder="1" applyAlignment="1">
      <x:alignment horizontal="left" vertical="center" wrapText="0" shrinkToFit="0"/>
    </x:xf>
    <x:xf numFmtId="166" fontId="4" fillId="5" borderId="3" xfId="0" applyNumberFormat="1" applyFont="1" applyFill="1" applyBorder="1" applyAlignment="1">
      <x:alignment horizontal="right" vertical="center" wrapText="0" shrinkToFit="0"/>
    </x:xf>
    <x:xf numFmtId="166" fontId="4" fillId="5" borderId="4" xfId="0" applyNumberFormat="1" applyFont="1" applyFill="1" applyBorder="1" applyAlignment="1">
      <x:alignment horizontal="right" vertical="center" wrapText="0" shrinkToFit="0"/>
    </x:xf>
    <x:xf numFmtId="0" fontId="5" fillId="6" borderId="0" xfId="0" applyFont="1" applyFill="1"/>
    <x:xf numFmtId="166" fontId="4" fillId="0" borderId="0" xfId="0" applyNumberFormat="1" applyFont="1" applyAlignment="1">
      <x:alignment horizontal="right" vertical="center" wrapText="0" shrinkToFit="0"/>
    </x:xf>
    <x:xf numFmtId="0" fontId="2" fillId="7" borderId="0" xfId="0" applyFont="1" applyFill="1" applyAlignment="1">
      <x:alignment horizontal="left" vertical="center" wrapText="0" shrinkToFit="0"/>
    </x:xf>
    <x:xf numFmtId="166" fontId="2" fillId="7" borderId="0" xfId="0" applyNumberFormat="1" applyFont="1" applyFill="1" applyAlignment="1">
      <x:alignment horizontal="right" vertical="center" wrapText="0" shrinkToFit="0"/>
    </x:xf>
    <x:xf numFmtId="0" fontId="5" fillId="7" borderId="0" xfId="0" applyFont="1" applyFill="1"/>
    <x:xf numFmtId="166" fontId="2" fillId="0" borderId="0" xfId="0" applyNumberFormat="1" applyFont="1" applyAlignment="1">
      <x:alignment horizontal="right" vertical="center"/>
    </x:xf>
    <x:xf numFmtId="166" fontId="4" fillId="0" borderId="0" xfId="0" applyNumberFormat="1" applyFont="1" applyAlignment="1">
      <x:alignment horizontal="right" vertical="center"/>
    </x:xf>
    <x:xf numFmtId="166" fontId="4" fillId="3" borderId="3" xfId="0" applyNumberFormat="1" applyFont="1" applyFill="1" applyBorder="1" applyAlignment="1">
      <x:alignment horizontal="right" vertical="center"/>
    </x:xf>
    <x:xf numFmtId="166" fontId="4" fillId="3" borderId="4" xfId="0" applyNumberFormat="1" applyFont="1" applyFill="1" applyBorder="1" applyAlignment="1">
      <x:alignment horizontal="right" vertical="center"/>
    </x:xf>
    <x:xf numFmtId="10" fontId="4" fillId="0" borderId="0" xfId="0" applyNumberFormat="1" applyFont="1" applyAlignment="1">
      <x:alignment horizontal="right" vertical="center"/>
    </x:xf>
    <x:xf numFmtId="167" fontId="4" fillId="0" borderId="0" xfId="0" applyNumberFormat="1" applyFont="1" applyAlignment="1">
      <x:alignment horizontal="right" vertical="center"/>
    </x:xf>
    <x:xf numFmtId="168" fontId="2" fillId="0" borderId="0" xfId="0" applyNumberFormat="1" applyFont="1" applyAlignment="1">
      <x:alignment horizontal="right" vertical="center"/>
    </x:xf>
    <x:xf numFmtId="0" fontId="6" fillId="8" borderId="0" xfId="0" applyFont="1" applyFill="1" applyAlignment="1">
      <x:alignment horizontal="left" vertical="center" wrapText="0" shrinkToFit="0"/>
    </x:xf>
    <x:xf numFmtId="164" fontId="6" fillId="8" borderId="0" xfId="0" applyNumberFormat="1" applyFont="1" applyFill="1" applyAlignment="1">
      <x:alignment horizontal="right" vertical="center"/>
    </x:xf>
    <x:xf numFmtId="164" fontId="6" fillId="8" borderId="0" xfId="0" applyNumberFormat="1" applyFont="1" applyFill="1" applyAlignment="1">
      <x:alignment horizontal="right" vertical="center" wrapText="0" shrinkToFit="0"/>
    </x:xf>
    <x:xf numFmtId="0" fontId="6" fillId="8" borderId="0" xfId="0" applyFont="1" applyFill="1" applyAlignment="1">
      <x:alignment horizontal="right" vertical="center" wrapText="0" shrinkToFit="0"/>
    </x:xf>
    <x:xf numFmtId="164" fontId="4" fillId="3" borderId="3" xfId="0" applyNumberFormat="1" applyFont="1" applyFill="1" applyBorder="1" applyAlignment="1">
      <x:alignment horizontal="right" vertical="center"/>
    </x:xf>
    <x:xf numFmtId="0" fontId="7" fillId="9" borderId="5" xfId="0" applyFont="1" applyFill="1" applyBorder="1" applyAlignment="1">
      <x:alignment vertical="center" wrapText="0" shrinkToFit="0"/>
    </x:xf>
    <x:xf numFmtId="0" fontId="7" fillId="9" borderId="6" xfId="0" applyFont="1" applyFill="1" applyBorder="1" applyAlignment="1">
      <x:alignment vertical="center" wrapText="0" shrinkToFit="0"/>
    </x:xf>
    <x:xf numFmtId="0" fontId="7" fillId="9" borderId="7" xfId="0" applyFont="1" applyFill="1" applyBorder="1" applyAlignment="1">
      <x:alignment vertical="center" wrapText="0" shrinkToFit="0"/>
    </x:xf>
    <x:xf numFmtId="0" fontId="4" fillId="3" borderId="3" xfId="0" applyFont="1" applyFill="1" applyBorder="1" applyAlignment="1">
      <x:alignment horizontal="right" vertical="center" wrapText="0" shrinkToFit="0"/>
    </x:xf>
    <x:xf numFmtId="0" fontId="4" fillId="3" borderId="4" xfId="0" applyFont="1" applyFill="1" applyBorder="1" applyAlignment="1">
      <x:alignment horizontal="right" vertical="center" wrapText="0" shrinkToFit="0"/>
    </x:xf>
    <x:xf numFmtId="1" fontId="8" fillId="10" borderId="0" xfId="0" applyNumberFormat="1" applyFont="1" applyFill="1" applyAlignment="1">
      <x:alignment horizontal="right" vertical="center"/>
    </x:xf>
    <x:xf numFmtId="164" fontId="6" fillId="0" borderId="0" xfId="0" applyNumberFormat="1" applyFont="1" applyAlignment="1">
      <x:alignment horizontal="right" vertical="center"/>
    </x:xf>
    <x:xf numFmtId="2" fontId="8" fillId="10" borderId="0" xfId="0" applyNumberFormat="1" applyFont="1" applyFill="1" applyAlignment="1">
      <x:alignment horizontal="right" vertical="center"/>
    </x:xf>
    <x:xf numFmtId="2" fontId="6" fillId="0" borderId="0" xfId="0" applyNumberFormat="1" applyFont="1" applyAlignment="1">
      <x:alignment horizontal="right" vertical="center"/>
    </x:xf>
    <x:xf numFmtId="0" fontId="6" fillId="0" borderId="0" xfId="0" applyFont="1" applyAlignment="1">
      <x:alignment horizontal="right" vertical="center" wrapText="0" shrinkToFit="0"/>
    </x:xf>
    <x:xf numFmtId="169" fontId="8" fillId="10" borderId="0" xfId="0" applyNumberFormat="1" applyFont="1" applyFill="1" applyAlignment="1">
      <x:alignment horizontal="right" vertical="center" wrapText="0" shrinkToFit="0"/>
    </x:xf>
    <x:xf numFmtId="0" fontId="2" fillId="0" borderId="0" xfId="0" applyFont="1" applyAlignment="1">
      <x:alignment horizontal="right" vertical="center" wrapText="0" shrinkToFit="0"/>
    </x:xf>
    <x:xf numFmtId="165" fontId="6" fillId="0" borderId="0" xfId="0" applyNumberFormat="1" applyFont="1" applyAlignment="1">
      <x:alignment horizontal="right" vertical="center"/>
    </x:xf>
    <x:xf numFmtId="164" fontId="7" fillId="0" borderId="0" xfId="0" applyNumberFormat="1" applyFont="1" applyAlignment="1">
      <x:alignment horizontal="right" vertical="center"/>
    </x:xf>
    <x:xf numFmtId="2" fontId="7" fillId="0" borderId="0" xfId="0" applyNumberFormat="1" applyFont="1" applyAlignment="1">
      <x:alignment horizontal="right" vertical="center"/>
    </x:xf>
    <x:xf numFmtId="165" fontId="8" fillId="10" borderId="0" xfId="0" applyNumberFormat="1" applyFont="1" applyFill="1" applyAlignment="1">
      <x:alignment horizontal="right" vertical="center"/>
    </x:xf>
    <x:xf numFmtId="164" fontId="7" fillId="0" borderId="8" xfId="0" applyNumberFormat="1" applyFont="1" applyBorder="1" applyAlignment="1">
      <x:alignment horizontal="right" vertical="center"/>
    </x:xf>
    <x:xf numFmtId="0" fontId="7" fillId="0" borderId="8" xfId="0" applyFont="1" applyBorder="1" applyAlignment="1">
      <x:alignment horizontal="right" vertical="center" wrapText="0" shrinkToFit="0"/>
    </x:xf>
    <x:xf numFmtId="169" fontId="7" fillId="0" borderId="8" xfId="0" applyNumberFormat="1" applyFont="1" applyBorder="1" applyAlignment="1">
      <x:alignment horizontal="right" vertical="center" wrapText="0" shrinkToFit="0"/>
    </x:xf>
    <x:xf numFmtId="1" fontId="6" fillId="0" borderId="0" xfId="0" applyNumberFormat="1" applyFont="1" applyAlignment="1">
      <x:alignment horizontal="right" vertical="center"/>
    </x:xf>
    <x:xf numFmtId="165" fontId="8" fillId="0" borderId="0" xfId="0" applyNumberFormat="1" applyFont="1" applyAlignment="1">
      <x:alignment horizontal="right" vertical="center"/>
    </x:xf>
    <x:xf numFmtId="167" fontId="8" fillId="10" borderId="0" xfId="0" applyNumberFormat="1" applyFont="1" applyFill="1" applyAlignment="1">
      <x:alignment horizontal="right" vertical="center"/>
    </x:xf>
    <x:xf numFmtId="1" fontId="8" fillId="0" borderId="0" xfId="0" applyNumberFormat="1" applyFont="1" applyAlignment="1">
      <x:alignment horizontal="right" vertical="center"/>
    </x:xf>
    <x:xf numFmtId="1" fontId="2" fillId="0" borderId="0" xfId="0" applyNumberFormat="1" applyFont="1" applyAlignment="1">
      <x:alignment horizontal="right" vertical="center"/>
    </x:xf>
    <x:xf numFmtId="167" fontId="2" fillId="0" borderId="0" xfId="0" applyNumberFormat="1" applyFont="1" applyAlignment="1">
      <x:alignment horizontal="right" vertical="center"/>
    </x:xf>
    <x:xf numFmtId="2" fontId="7" fillId="0" borderId="8" xfId="0" applyNumberFormat="1" applyFont="1" applyBorder="1" applyAlignment="1">
      <x:alignment horizontal="right" vertical="center"/>
    </x:xf>
    <x:xf numFmtId="167" fontId="8" fillId="0" borderId="0" xfId="0" applyNumberFormat="1" applyFont="1" applyAlignment="1">
      <x:alignment horizontal="right" vertical="center"/>
    </x:xf>
    <x:xf numFmtId="164" fontId="9" fillId="0" borderId="0" xfId="0" applyNumberFormat="1" applyFont="1" applyAlignment="1">
      <x:alignment horizontal="right" vertical="center" wrapText="1" shrinkToFit="0"/>
    </x:xf>
    <x:xf numFmtId="164" fontId="8" fillId="0" borderId="0" xfId="0" applyNumberFormat="1" applyFont="1" applyAlignment="1">
      <x:alignment horizontal="right" vertical="center"/>
    </x:xf>
    <x:xf numFmtId="0" fontId="4" fillId="11" borderId="0" xfId="0" applyFont="1" applyFill="1" applyAlignment="1">
      <x:alignment horizontal="left" vertical="center" wrapText="0" shrinkToFit="0"/>
    </x:xf>
    <x:xf numFmtId="164" fontId="10" fillId="11" borderId="0" xfId="0" applyNumberFormat="1" applyFont="1" applyFill="1" applyAlignment="1">
      <x:alignment horizontal="right" vertical="center"/>
    </x:xf>
    <x:xf numFmtId="164" fontId="4" fillId="11" borderId="0" xfId="0" applyNumberFormat="1" applyFont="1" applyFill="1" applyAlignment="1">
      <x:alignment horizontal="right" vertical="center"/>
    </x:xf>
    <x:xf numFmtId="0" fontId="9" fillId="0" borderId="0" xfId="0" applyFont="1" applyAlignment="1">
      <x:alignment horizontal="left" vertical="center" wrapText="0" shrinkToFit="0"/>
    </x:xf>
    <x:xf numFmtId="0" fontId="11" fillId="11" borderId="0" xfId="0" applyFont="1" applyFill="1" applyAlignment="1">
      <x:alignment horizontal="left" vertical="center" wrapText="0" shrinkToFit="0"/>
    </x:xf>
    <x:xf numFmtId="3" fontId="2" fillId="0" borderId="0" xfId="0" applyNumberFormat="1" applyFont="1" applyAlignment="1">
      <x:alignment horizontal="right" vertical="center" wrapText="0" shrinkToFit="0"/>
    </x:xf>
    <x:xf numFmtId="2" fontId="2" fillId="0" borderId="0" xfId="0" applyNumberFormat="1" applyFont="1" applyAlignment="1">
      <x:alignment horizontal="right" vertical="center" wrapText="0" shrinkToFit="0"/>
    </x:xf>
    <x:xf numFmtId="1" fontId="2" fillId="0" borderId="0" xfId="0" applyNumberFormat="1" applyFont="1" applyAlignment="1">
      <x:alignment horizontal="right" vertical="center" wrapText="0" shrinkToFit="0"/>
    </x:xf>
    <x:xf numFmtId="165" fontId="2" fillId="0" borderId="0" xfId="0" applyNumberFormat="1" applyFont="1" applyAlignment="1">
      <x:alignment horizontal="right" vertical="center" wrapText="0" shrinkToFit="0"/>
    </x:xf>
    <x:xf numFmtId="0" fontId="12" fillId="0" borderId="0" xfId="0" applyFont="1" applyAlignment="1">
      <x:alignment vertical="bottom" wrapText="0" shrinkToFit="0"/>
    </x:xf>
    <x:xf numFmtId="170" fontId="2" fillId="0" borderId="0" xfId="0" applyNumberFormat="1" applyFont="1" applyAlignment="1">
      <x:alignment horizontal="right" vertical="center"/>
    </x:xf>
    <x:xf numFmtId="171" fontId="2" fillId="0" borderId="0" xfId="0" applyNumberFormat="1" applyFont="1" applyAlignment="1">
      <x:alignment horizontal="right" vertical="center"/>
    </x:xf>
    <x:xf numFmtId="171" fontId="2" fillId="0" borderId="0" xfId="0" applyNumberFormat="1" applyFont="1" applyAlignment="1">
      <x:alignment horizontal="right" vertical="center" wrapText="0" shrinkToFit="0"/>
    </x:xf>
    <x:xf numFmtId="171" fontId="12" fillId="0" borderId="0" xfId="0" applyNumberFormat="1" applyFont="1" applyAlignment="1">
      <x:alignment vertical="bottom" wrapText="0" shrinkToFit="0"/>
    </x:xf>
    <x:xf numFmtId="165" fontId="2" fillId="0" borderId="0" xfId="0" applyNumberFormat="1" applyFont="1" applyAlignment="1">
      <x:alignment horizontal="right" vertical="center"/>
    </x:xf>
    <x:xf numFmtId="165" fontId="12" fillId="0" borderId="0" xfId="0" applyNumberFormat="1" applyFont="1" applyAlignment="1">
      <x:alignment vertical="bottom" wrapText="0" shrinkToFit="0"/>
    </x:xf>
    <x:xf numFmtId="164" fontId="2" fillId="0" borderId="0" xfId="0" applyNumberFormat="1" applyFont="1" applyAlignment="1">
      <x:alignment horizontal="right" vertical="center" wrapText="1" shrinkToFit="0"/>
    </x:xf>
    <x:xf numFmtId="164" fontId="5" fillId="0" borderId="0" xfId="0" applyNumberFormat="1" applyFont="1"/>
    <x:xf numFmtId="0" fontId="1" fillId="0" borderId="0" xfId="0" applyFont="1" applyAlignment="1">
      <x:alignment vertical="bottom" wrapText="0" shrinkToFit="0"/>
    </x:xf>
    <x:xf numFmtId="0" fontId="13" fillId="0" borderId="0" xfId="0" applyFont="1" applyAlignment="1">
      <x:alignment vertical="bottom" wrapText="0" shrinkToFit="0"/>
    </x:xf>
    <x:xf numFmtId="0" fontId="13" fillId="0" borderId="9" xfId="0" applyFont="1" applyBorder="1" applyAlignment="1">
      <x:alignment vertical="bottom" wrapText="0" shrinkToFit="0"/>
    </x:xf>
    <x:xf numFmtId="0" fontId="13" fillId="0" borderId="10" xfId="0" applyFont="1" applyBorder="1" applyAlignment="1">
      <x:alignment vertical="bottom" wrapText="0" shrinkToFit="0"/>
    </x:xf>
    <x:xf numFmtId="172" fontId="13" fillId="0" borderId="10" xfId="0" applyNumberFormat="1" applyFont="1" applyBorder="1" applyAlignment="1">
      <x:alignment vertical="bottom" wrapText="0" shrinkToFit="0"/>
    </x:xf>
    <x:xf numFmtId="0" fontId="13" fillId="0" borderId="11" xfId="0" applyFont="1" applyBorder="1" applyAlignment="1">
      <x:alignment vertical="bottom" wrapText="0" shrinkToFit="0"/>
    </x:xf>
    <x:xf numFmtId="0" fontId="14" fillId="0" borderId="0" xfId="0" applyFont="1" applyAlignment="1">
      <x:alignment horizontal="center" vertical="bottom" wrapText="0" shrinkToFit="0"/>
    </x:xf>
    <x:xf numFmtId="0" fontId="13" fillId="0" borderId="12" xfId="0" applyFont="1" applyBorder="1" applyAlignment="1">
      <x:alignment vertical="bottom" wrapText="0" shrinkToFit="0"/>
    </x:xf>
    <x:xf numFmtId="0" fontId="13" fillId="0" borderId="13" xfId="0" applyFont="1" applyBorder="1" applyAlignment="1">
      <x:alignment vertical="bottom" wrapText="0" shrinkToFit="0"/>
    </x:xf>
    <x:xf numFmtId="172" fontId="13" fillId="0" borderId="13" xfId="0" applyNumberFormat="1" applyFont="1" applyBorder="1" applyAlignment="1">
      <x:alignment vertical="bottom" wrapText="0" shrinkToFit="0"/>
    </x:xf>
    <x:xf numFmtId="0" fontId="13" fillId="0" borderId="14" xfId="0" applyFont="1" applyBorder="1" applyAlignment="1">
      <x:alignment vertical="bottom" wrapText="0" shrinkToFit="0"/>
    </x:xf>
    <x:xf numFmtId="0" fontId="15" fillId="0" borderId="0" xfId="0" applyFont="1" applyAlignment="1">
      <x:alignment horizontal="center" vertical="bottom" wrapText="0" shrinkToFit="0"/>
    </x:xf>
    <x:xf numFmtId="0" fontId="13" fillId="0" borderId="15" xfId="0" applyFont="1" applyBorder="1" applyAlignment="1">
      <x:alignment vertical="bottom" wrapText="0" shrinkToFit="0"/>
    </x:xf>
    <x:xf numFmtId="0" fontId="13" fillId="0" borderId="16" xfId="0" applyFont="1" applyBorder="1" applyAlignment="1">
      <x:alignment vertical="bottom" wrapText="0" shrinkToFit="0"/>
    </x:xf>
    <x:xf numFmtId="172" fontId="13" fillId="0" borderId="16" xfId="0" applyNumberFormat="1" applyFont="1" applyBorder="1" applyAlignment="1">
      <x:alignment vertical="bottom" wrapText="0" shrinkToFit="0"/>
    </x:xf>
    <x:xf numFmtId="0" fontId="13" fillId="0" borderId="17" xfId="0" applyFont="1" applyBorder="1" applyAlignment="1">
      <x:alignment vertical="bottom" wrapText="0" shrinkToFit="0"/>
    </x:xf>
    <x:xf numFmtId="0" fontId="16" fillId="3" borderId="2" xfId="0" applyFont="1" applyFill="1" applyBorder="1" applyAlignment="1">
      <x:alignment vertical="bottom" wrapText="0" shrinkToFit="0"/>
    </x:xf>
    <x:xf numFmtId="0" fontId="16" fillId="3" borderId="3" xfId="0" applyFont="1" applyFill="1" applyBorder="1" applyAlignment="1">
      <x:alignment vertical="bottom" wrapText="0" shrinkToFit="0"/>
    </x:xf>
    <x:xf numFmtId="0" fontId="16" fillId="3" borderId="4" xfId="0" applyFont="1" applyFill="1" applyBorder="1" applyAlignment="1">
      <x:alignment vertical="bottom" wrapText="0" shrinkToFit="0"/>
    </x:xf>
    <x:xf numFmtId="0" fontId="13" fillId="0" borderId="0" xfId="0" applyFont="1" applyAlignment="1">
      <x:alignment vertical="bottom" wrapText="1" shrinkToFit="0"/>
    </x:xf>
    <x:xf numFmtId="0" fontId="9" fillId="0" borderId="0" xfId="0" applyFont="1" applyAlignment="1">
      <x:alignment vertical="center" wrapText="0" shrinkToFit="0"/>
    </x:xf>
    <x:xf numFmtId="0" fontId="12" fillId="0" borderId="0" xfId="0" applyFont="1" applyAlignment="1">
      <x:alignment vertical="center" wrapText="0" shrinkToFit="0"/>
    </x:xf>
    <x:xf numFmtId="0" fontId="3" fillId="2" borderId="1" xfId="0" applyFont="1" applyFill="1" applyBorder="1" applyAlignment="1">
      <x:alignment horizontal="center" vertical="center" wrapText="1" shrinkToFit="0"/>
    </x:xf>
    <x:xf numFmtId="0" fontId="3" fillId="2" borderId="18" xfId="0" applyFont="1" applyFill="1" applyBorder="1" applyAlignment="1">
      <x:alignment horizontal="center" vertical="center" wrapText="1" shrinkToFit="0"/>
    </x:xf>
    <x:xf numFmtId="0" fontId="17" fillId="0" borderId="19" xfId="0" applyFont="1" applyBorder="1"/>
    <x:xf numFmtId="0" fontId="17" fillId="0" borderId="20" xfId="0" applyFont="1" applyBorder="1"/>
    <x:xf numFmtId="0" fontId="6" fillId="0" borderId="0" xfId="0" applyFont="1" applyAlignment="1">
      <x:alignment vertical="center" wrapText="1" shrinkToFit="0"/>
    </x:xf>
    <x:xf numFmtId="0" fontId="6" fillId="0" borderId="8" xfId="0" applyFont="1" applyBorder="1" applyAlignment="1">
      <x:alignment vertical="center" wrapText="1" shrinkToFit="0"/>
    </x:xf>
    <x:xf numFmtId="0" fontId="17" fillId="0" borderId="8" xfId="0" applyFont="1" applyBorder="1"/>
    <x:xf numFmtId="167" fontId="6" fillId="0" borderId="0" xfId="0" applyNumberFormat="1" applyFont="1" applyAlignment="1">
      <x:alignment vertical="center" wrapText="1" shrinkToFit="0"/>
    </x:xf>
    <x:xf numFmtId="3" fontId="6" fillId="0" borderId="0" xfId="0" applyNumberFormat="1" applyFont="1" applyAlignment="1">
      <x:alignment vertical="center" wrapText="1" shrinkToFit="0"/>
    </x:xf>
    <x:xf numFmtId="3" fontId="6" fillId="0" borderId="8" xfId="0" applyNumberFormat="1" applyFont="1" applyBorder="1" applyAlignment="1">
      <x:alignment vertical="center" wrapText="1" shrinkToFit="0"/>
    </x:xf>
    <x:xf numFmtId="167" fontId="6" fillId="0" borderId="8" xfId="0" applyNumberFormat="1" applyFont="1" applyBorder="1" applyAlignment="1">
      <x:alignment vertical="center" wrapText="1" shrinkToFit="0"/>
    </x:xf>
    <x:xf numFmtId="0" fontId="2" fillId="0" borderId="0" xfId="0" applyFont="1" applyAlignment="1">
      <x:alignment vertical="bottom" wrapText="0" shrinkToFit="0"/>
    </x:xf>
    <x:xf numFmtId="0" fontId="10" fillId="10" borderId="0" xfId="0" applyFont="1" applyFill="1" applyAlignment="1">
      <x:alignment vertical="bottom" wrapText="0" shrinkToFit="0"/>
    </x:xf>
    <x:xf numFmtId="0" fontId="18" fillId="0" borderId="0" xfId="0" applyFont="1" applyAlignment="1">
      <x:alignment vertical="bottom" wrapText="0" shrinkToFit="0"/>
    </x:xf>
    <x:xf numFmtId="0" fontId="4" fillId="12" borderId="2" xfId="0" applyFont="1" applyFill="1" applyBorder="1" applyAlignment="1">
      <x:alignment vertical="bottom" wrapText="0" shrinkToFit="0"/>
    </x:xf>
    <x:xf numFmtId="0" fontId="4" fillId="12" borderId="3" xfId="0" applyFont="1" applyFill="1" applyBorder="1" applyAlignment="1">
      <x:alignment vertical="bottom" wrapText="0" shrinkToFit="0"/>
    </x:xf>
    <x:xf numFmtId="0" fontId="4" fillId="12" borderId="4" xfId="0" applyFont="1" applyFill="1" applyBorder="1" applyAlignment="1">
      <x:alignment vertical="bottom" wrapText="0" shrinkToFit="0"/>
    </x:xf>
    <x:xf numFmtId="0" fontId="2" fillId="3" borderId="0" xfId="0" applyFont="1" applyFill="1" applyAlignment="1">
      <x:alignment vertical="bottom" wrapText="0" shrinkToFit="0"/>
    </x:xf>
    <x:xf numFmtId="167" fontId="2" fillId="3" borderId="0" xfId="0" applyNumberFormat="1" applyFont="1" applyFill="1" applyAlignment="1">
      <x:alignment vertical="bottom" wrapText="0" shrinkToFit="0"/>
    </x:xf>
    <x:xf numFmtId="167" fontId="2" fillId="0" borderId="0" xfId="0" applyNumberFormat="1" applyFont="1" applyAlignment="1">
      <x:alignment vertical="bottom" wrapText="0" shrinkToFit="0"/>
    </x:xf>
    <x:xf numFmtId="3" fontId="4" fillId="12" borderId="3" xfId="0" applyNumberFormat="1" applyFont="1" applyFill="1" applyBorder="1" applyAlignment="1">
      <x:alignment vertical="bottom" wrapText="0" shrinkToFit="0"/>
    </x:xf>
    <x:xf numFmtId="3" fontId="4" fillId="12" borderId="4" xfId="0" applyNumberFormat="1" applyFont="1" applyFill="1" applyBorder="1" applyAlignment="1">
      <x:alignment vertical="bottom" wrapText="0" shrinkToFit="0"/>
    </x:xf>
    <x:xf numFmtId="173" fontId="2" fillId="0" borderId="0" xfId="0" applyNumberFormat="1" applyFont="1" applyAlignment="1">
      <x:alignment vertical="bottom" wrapText="0" shrinkToFit="0"/>
    </x:xf>
    <x:xf numFmtId="174" fontId="2" fillId="3" borderId="0" xfId="0" applyNumberFormat="1" applyFont="1" applyFill="1" applyAlignment="1">
      <x:alignment vertical="bottom" wrapText="0" shrinkToFit="0"/>
    </x:xf>
    <x:xf numFmtId="174" fontId="2" fillId="0" borderId="0" xfId="0" applyNumberFormat="1" applyFont="1" applyAlignment="1">
      <x:alignment vertical="bottom" wrapText="0" shrinkToFit="0"/>
    </x:xf>
    <x:xf numFmtId="0" fontId="9" fillId="0" borderId="0" xfId="0" applyFont="1" applyAlignment="1">
      <x:alignment vertical="bottom" wrapText="0" shrinkToFit="0"/>
    </x:xf>
    <x:xf numFmtId="0" fontId="6" fillId="9" borderId="0" xfId="0" applyFont="1" applyFill="1" applyAlignment="1">
      <x:alignment vertical="center" wrapText="0" shrinkToFit="0"/>
    </x:xf>
    <x:xf numFmtId="0" fontId="6" fillId="0" borderId="0" xfId="0" applyFont="1" applyAlignment="1">
      <x:alignment vertical="center" wrapText="0" shrinkToFit="0"/>
    </x:xf>
    <x:xf numFmtId="0" fontId="8" fillId="10" borderId="0" xfId="0" applyFont="1" applyFill="1" applyAlignment="1">
      <x:alignment vertical="center" wrapText="0" shrinkToFit="0"/>
    </x:xf>
    <x:xf numFmtId="167" fontId="8" fillId="10" borderId="0" xfId="0" applyNumberFormat="1" applyFont="1" applyFill="1" applyAlignment="1">
      <x:alignment vertical="center" wrapText="0" shrinkToFit="0"/>
    </x:xf>
    <x:xf numFmtId="169" fontId="8" fillId="10" borderId="0" xfId="0" applyNumberFormat="1" applyFont="1" applyFill="1" applyAlignment="1">
      <x:alignment vertical="center" wrapText="0" shrinkToFit="0"/>
    </x:xf>
    <x:xf numFmtId="169" fontId="6" fillId="0" borderId="0" xfId="0" applyNumberFormat="1" applyFont="1" applyAlignment="1">
      <x:alignment vertical="center" wrapText="0" shrinkToFit="0"/>
    </x:xf>
    <x:xf numFmtId="0" fontId="7" fillId="12" borderId="8" xfId="0" applyFont="1" applyFill="1" applyBorder="1" applyAlignment="1">
      <x:alignment vertical="center" wrapText="0" shrinkToFit="0"/>
    </x:xf>
    <x:xf numFmtId="169" fontId="7" fillId="12" borderId="8" xfId="0" applyNumberFormat="1" applyFont="1" applyFill="1" applyBorder="1" applyAlignment="1">
      <x:alignment vertical="center" wrapText="0" shrinkToFit="0"/>
    </x:xf>
    <x:xf numFmtId="0" fontId="9" fillId="0" borderId="0" xfId="0" applyFont="1" applyAlignment="1">
      <x:alignment vertical="center" wrapText="1" shrinkToFit="0"/>
    </x:xf>
    <x:xf numFmtId="0" fontId="19" fillId="13" borderId="0" xfId="0" applyFont="1" applyFill="1" applyAlignment="1">
      <x:alignment horizontal="left" vertical="center" wrapText="0" shrinkToFit="0"/>
    </x:xf>
    <x:xf numFmtId="0" fontId="20" fillId="9" borderId="0" xfId="0" applyFont="1" applyFill="1" applyAlignment="1">
      <x:alignment vertical="center" wrapText="0" shrinkToFit="0"/>
    </x:xf>
    <x:xf numFmtId="0" fontId="7" fillId="9" borderId="0" xfId="0" applyFont="1" applyFill="1" applyAlignment="1">
      <x:alignment vertical="center" wrapText="1" shrinkToFit="0"/>
    </x:xf>
    <x:xf numFmtId="0" fontId="7" fillId="12" borderId="8" xfId="0" applyFont="1" applyFill="1" applyBorder="1" applyAlignment="1">
      <x:alignment vertical="center" wrapText="1" shrinkToFit="0"/>
    </x:xf>
    <x:xf numFmtId="0" fontId="6" fillId="12" borderId="8" xfId="0" applyFont="1" applyFill="1" applyBorder="1" applyAlignment="1">
      <x:alignment vertical="center" wrapText="1" shrinkToFit="0"/>
    </x:xf>
    <x:xf numFmtId="0" fontId="9" fillId="0" borderId="0" xfId="0" applyFont="1" applyAlignment="1">
      <x:alignment horizontal="right" vertical="center" wrapText="0" shrinkToFit="0"/>
    </x:xf>
    <x:xf numFmtId="0" fontId="0" fillId="0" borderId="0" xfId="0" applyNumberFormat="1" applyFont="1" applyFill="1" applyBorder="1" applyAlignment="1">
      <x:alignment vertical="bottom" wrapText="1"/>
    </x:xf>
    <x:xf numFmtId="0" fontId="0" fillId="14" borderId="0" xfId="0" applyNumberFormat="1" applyFont="1" applyFill="1" applyBorder="1" applyAlignment="1">
      <x:alignment vertical="bottom" wrapText="1"/>
    </x:xf>
    <x:xf numFmtId="0" fontId="0" fillId="14" borderId="0" xfId="0" applyNumberFormat="1" applyFont="1" applyFill="1" applyBorder="1" applyAlignment="1">
      <x:alignment vertical="bottom" wrapText="0"/>
    </x:xf>
    <x:xf numFmtId="0" fontId="21" fillId="14" borderId="0" xfId="0" applyNumberFormat="1" applyFont="1" applyFill="1" applyBorder="1" applyAlignment="1">
      <x:alignment vertical="bottom" wrapText="1"/>
    </x:xf>
    <x:xf numFmtId="0" fontId="21" fillId="14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1"/>
    </x:xf>
    <x:xf numFmtId="201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21" fillId="15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vertical="bottom" wrapText="1"/>
    </x:xf>
    <x:xf numFmtId="0" fontId="22" fillId="0" borderId="0" xfId="0" applyNumberFormat="1" applyFont="1" applyFill="1" applyBorder="1" applyAlignment="1">
      <x:alignment vertical="bottom" wrapText="0"/>
    </x:xf>
    <x:xf numFmtId="0" fontId="23" fillId="0" borderId="0" xfId="0" applyNumberFormat="1" applyFont="1" applyFill="1" applyBorder="1" applyAlignment="1">
      <x:alignment vertical="bottom" wrapText="1"/>
    </x:xf>
    <x:xf numFmtId="203" fontId="22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0" fontId="0" fillId="15" borderId="0" xfId="0" applyNumberFormat="1" applyFont="1" applyFill="1" applyBorder="1" applyAlignment="1">
      <x:alignment vertical="bottom" wrapText="1"/>
    </x:xf>
    <x:xf numFmtId="0" fontId="21" fillId="15" borderId="0" xfId="0" applyNumberFormat="1" applyFont="1" applyFill="1" applyBorder="1" applyAlignment="1">
      <x:alignment vertical="bottom" wrapText="1"/>
    </x:xf>
    <x:xf numFmtId="0" fontId="24" fillId="0" borderId="0" xfId="0" applyNumberFormat="1" applyFont="1" applyFill="1" applyBorder="1" applyAlignment="1">
      <x:alignment vertical="bottom" wrapText="0"/>
    </x:xf>
    <x:xf numFmtId="0" fontId="25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0"/>
    </x:xf>
    <x:xf numFmtId="0" fontId="26" fillId="15" borderId="0" xfId="0" applyNumberFormat="1" applyFont="1" applyFill="1" applyBorder="1" applyAlignment="1">
      <x:alignment vertical="bottom" wrapText="1"/>
    </x:xf>
    <x:xf numFmtId="0" fontId="0" fillId="15" borderId="0" xfId="0" applyNumberFormat="1" applyFont="1" applyFill="1" applyBorder="1" applyAlignment="1">
      <x:alignment vertical="bottom" wrapText="0"/>
    </x:xf>
    <x:xf numFmtId="0" fontId="21" fillId="15" borderId="0" xfId="0" applyNumberFormat="1" applyFont="1" applyFill="1" applyBorder="1" applyAlignment="1">
      <x:alignment vertical="bottom" wrapText="0"/>
    </x:xf>
    <x:xf numFmtId="0" fontId="26" fillId="15" borderId="0" xfId="0" applyNumberFormat="1" applyFont="1" applyFill="1" applyBorder="1" applyAlignment="1">
      <x:alignment vertical="bottom" wrapText="0"/>
    </x:xf>
    <x:xf numFmtId="0" fontId="23" fillId="14" borderId="0" xfId="0" applyNumberFormat="1" applyFont="1" applyFill="1" applyBorder="1" applyAlignment="1">
      <x:alignment vertical="bottom" wrapText="0"/>
    </x:xf>
    <x:xf numFmtId="0" fontId="23" fillId="0" borderId="0" xfId="0" applyNumberFormat="1" applyFont="1" applyFill="1" applyBorder="1" applyAlignment="1">
      <x:alignment vertical="bottom" wrapText="0"/>
    </x:xf>
    <x:xf numFmtId="0" fontId="0" fillId="16" borderId="0" xfId="0" applyNumberFormat="1" applyFont="1" applyFill="1" applyBorder="1" applyAlignment="1">
      <x:alignment vertical="top" wrapText="1"/>
    </x:xf>
    <x:xf numFmtId="0" fontId="21" fillId="16" borderId="0" xfId="0" applyNumberFormat="1" applyFont="1" applyFill="1" applyBorder="1" applyAlignment="1">
      <x:alignment vertical="top" wrapText="1"/>
    </x:xf>
    <x:xf numFmtId="0" fontId="21" fillId="16" borderId="0" xfId="0" applyNumberFormat="1" applyFont="1" applyFill="1" applyBorder="1" applyAlignment="1">
      <x:alignment vertical="bottom" wrapText="1"/>
    </x:xf>
    <x:xf numFmtId="0" fontId="0" fillId="16" borderId="0" xfId="0" applyNumberFormat="1" applyFont="1" applyFill="1" applyBorder="1" applyAlignment="1">
      <x:alignment vertical="bottom" wrapText="1"/>
    </x:xf>
    <x:xf numFmtId="0" fontId="26" fillId="16" borderId="0" xfId="0" applyNumberFormat="1" applyFont="1" applyFill="1" applyBorder="1" applyAlignment="1">
      <x:alignment vertical="bottom" wrapText="1"/>
    </x:xf>
    <x:xf numFmtId="0" fontId="0" fillId="16" borderId="0" xfId="0" applyNumberFormat="1" applyFont="1" applyFill="1" applyBorder="1" applyAlignment="1">
      <x:alignment vertical="bottom" wrapText="0"/>
    </x:xf>
    <x:xf numFmtId="0" fontId="21" fillId="16" borderId="0" xfId="0" applyNumberFormat="1" applyFont="1" applyFill="1" applyBorder="1" applyAlignment="1">
      <x:alignment vertical="bottom" wrapText="0"/>
    </x:xf>
    <x:xf numFmtId="0" fontId="26" fillId="16" borderId="0" xfId="0" applyNumberFormat="1" applyFont="1" applyFill="1" applyBorder="1" applyAlignment="1">
      <x:alignment vertical="bottom" wrapText="0"/>
    </x:xf>
    <x:xf numFmtId="0" fontId="0" fillId="17" borderId="0" xfId="0" applyNumberFormat="1" applyFont="1" applyFill="1" applyBorder="1" applyAlignment="1">
      <x:alignment vertical="top" wrapText="1"/>
    </x:xf>
    <x:xf numFmtId="0" fontId="21" fillId="17" borderId="0" xfId="0" applyNumberFormat="1" applyFont="1" applyFill="1" applyBorder="1" applyAlignment="1">
      <x:alignment vertical="top" wrapText="1"/>
    </x:xf>
    <x:xf numFmtId="0" fontId="21" fillId="17" borderId="0" xfId="0" applyNumberFormat="1" applyFont="1" applyFill="1" applyBorder="1" applyAlignment="1">
      <x:alignment vertical="bottom" wrapText="1"/>
    </x:xf>
    <x:xf numFmtId="0" fontId="0" fillId="17" borderId="0" xfId="0" applyNumberFormat="1" applyFont="1" applyFill="1" applyBorder="1" applyAlignment="1">
      <x:alignment vertical="bottom" wrapText="1"/>
    </x:xf>
    <x:xf numFmtId="0" fontId="26" fillId="17" borderId="0" xfId="0" applyNumberFormat="1" applyFont="1" applyFill="1" applyBorder="1" applyAlignment="1">
      <x:alignment vertical="bottom" wrapText="1"/>
    </x:xf>
    <x:xf numFmtId="0" fontId="0" fillId="17" borderId="0" xfId="0" applyNumberFormat="1" applyFont="1" applyFill="1" applyBorder="1" applyAlignment="1">
      <x:alignment vertical="bottom" wrapText="0"/>
    </x:xf>
    <x:xf numFmtId="0" fontId="21" fillId="17" borderId="0" xfId="0" applyNumberFormat="1" applyFont="1" applyFill="1" applyBorder="1" applyAlignment="1">
      <x:alignment vertical="bottom" wrapText="0"/>
    </x:xf>
    <x:xf numFmtId="0" fontId="26" fillId="17" borderId="0" xfId="0" applyNumberFormat="1" applyFont="1" applyFill="1" applyBorder="1" applyAlignment="1">
      <x:alignment vertical="bottom" wrapText="0"/>
    </x:xf>
    <x:xf numFmtId="0" fontId="0" fillId="18" borderId="0" xfId="0" applyNumberFormat="1" applyFont="1" applyFill="1" applyBorder="1" applyAlignment="1">
      <x:alignment vertical="top" wrapText="1"/>
    </x:xf>
    <x:xf numFmtId="0" fontId="21" fillId="18" borderId="0" xfId="0" applyNumberFormat="1" applyFont="1" applyFill="1" applyBorder="1" applyAlignment="1">
      <x:alignment vertical="top" wrapText="1"/>
    </x:xf>
    <x:xf numFmtId="0" fontId="21" fillId="18" borderId="0" xfId="0" applyNumberFormat="1" applyFont="1" applyFill="1" applyBorder="1" applyAlignment="1">
      <x:alignment vertical="bottom" wrapText="1"/>
    </x:xf>
    <x:xf numFmtId="0" fontId="0" fillId="18" borderId="0" xfId="0" applyNumberFormat="1" applyFont="1" applyFill="1" applyBorder="1" applyAlignment="1">
      <x:alignment vertical="bottom" wrapText="1"/>
    </x:xf>
    <x:xf numFmtId="0" fontId="26" fillId="18" borderId="0" xfId="0" applyNumberFormat="1" applyFont="1" applyFill="1" applyBorder="1" applyAlignment="1">
      <x:alignment vertical="bottom" wrapText="1"/>
    </x:xf>
    <x:xf numFmtId="0" fontId="0" fillId="18" borderId="0" xfId="0" applyNumberFormat="1" applyFont="1" applyFill="1" applyBorder="1" applyAlignment="1">
      <x:alignment vertical="bottom" wrapText="0"/>
    </x:xf>
    <x:xf numFmtId="0" fontId="21" fillId="18" borderId="0" xfId="0" applyNumberFormat="1" applyFont="1" applyFill="1" applyBorder="1" applyAlignment="1">
      <x:alignment vertical="bottom" wrapText="0"/>
    </x:xf>
    <x:xf numFmtId="0" fontId="26" fillId="18" borderId="0" xfId="0" applyNumberFormat="1" applyFont="1" applyFill="1" applyBorder="1" applyAlignment="1">
      <x:alignment vertical="bottom" wrapText="0"/>
    </x:xf>
    <x:xf numFmtId="0" fontId="27" fillId="0" borderId="0" xfId="0" applyNumberFormat="1" applyFont="1" applyFill="1" applyBorder="1" applyAlignment="1">
      <x:alignment vertical="bottom" wrapText="0"/>
    </x:xf>
    <x:xf numFmtId="0" fontId="27" fillId="0" borderId="0" xfId="0" applyNumberFormat="1" applyFont="1" applyFill="1" applyBorder="1" applyAlignment="1">
      <x:alignment vertical="bottom" wrapText="1"/>
    </x:xf>
    <x:xf numFmtId="0" fontId="27" fillId="0" borderId="0" xfId="0" applyNumberFormat="1" applyFont="1" applyFill="1" applyBorder="1" applyAlignment="1">
      <x:alignment vertical="top" wrapText="1"/>
    </x:xf>
    <x:xf numFmtId="0" fontId="27" fillId="18" borderId="0" xfId="0" applyNumberFormat="1" applyFont="1" applyFill="1" applyBorder="1" applyAlignment="1">
      <x:alignment vertical="top" wrapText="1"/>
    </x:xf>
    <x:xf numFmtId="0" fontId="28" fillId="18" borderId="0" xfId="0" applyNumberFormat="1" applyFont="1" applyFill="1" applyBorder="1" applyAlignment="1">
      <x:alignment vertical="top" wrapText="1"/>
    </x:xf>
    <x:xf numFmtId="0" fontId="29" fillId="18" borderId="0" xfId="0" applyNumberFormat="1" applyFont="1" applyFill="1" applyBorder="1" applyAlignment="1">
      <x:alignment vertical="top" wrapText="1"/>
    </x:xf>
    <x:xf numFmtId="202" fontId="27" fillId="0" borderId="0" xfId="0" applyNumberFormat="1" applyFont="1" applyFill="1" applyBorder="1" applyAlignment="1">
      <x:alignment vertical="top" wrapText="1"/>
    </x:xf>
    <x:xf numFmtId="202" fontId="3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21" fillId="19" borderId="0" xfId="0" applyNumberFormat="1" applyFont="1" applyFill="1" applyBorder="1" applyAlignment="1">
      <x:alignment vertical="top" wrapText="1"/>
    </x:xf>
    <x:xf numFmtId="0" fontId="21" fillId="19" borderId="0" xfId="0" applyNumberFormat="1" applyFont="1" applyFill="1" applyBorder="1" applyAlignment="1">
      <x:alignment vertical="bottom" wrapText="1"/>
    </x:xf>
    <x:xf numFmtId="0" fontId="0" fillId="19" borderId="0" xfId="0" applyNumberFormat="1" applyFont="1" applyFill="1" applyBorder="1" applyAlignment="1">
      <x:alignment vertical="bottom" wrapText="1"/>
    </x:xf>
    <x:xf numFmtId="0" fontId="26" fillId="19" borderId="0" xfId="0" applyNumberFormat="1" applyFont="1" applyFill="1" applyBorder="1" applyAlignment="1">
      <x:alignment vertical="bottom" wrapText="1"/>
    </x:xf>
    <x:xf numFmtId="0" fontId="0" fillId="19" borderId="0" xfId="0" applyNumberFormat="1" applyFont="1" applyFill="1" applyBorder="1" applyAlignment="1">
      <x:alignment vertical="bottom" wrapText="0"/>
    </x:xf>
    <x:xf numFmtId="0" fontId="21" fillId="19" borderId="0" xfId="0" applyNumberFormat="1" applyFont="1" applyFill="1" applyBorder="1" applyAlignment="1">
      <x:alignment vertical="bottom" wrapText="0"/>
    </x:xf>
    <x:xf numFmtId="0" fontId="26" fillId="19" borderId="0" xfId="0" applyNumberFormat="1" applyFont="1" applyFill="1" applyBorder="1" applyAlignment="1">
      <x:alignment vertical="bottom" wrapText="0"/>
    </x:xf>
    <x:xf numFmtId="0" fontId="27" fillId="19" borderId="0" xfId="0" applyNumberFormat="1" applyFont="1" applyFill="1" applyBorder="1" applyAlignment="1">
      <x:alignment vertical="top" wrapText="1"/>
    </x:xf>
    <x:xf numFmtId="0" fontId="28" fillId="19" borderId="0" xfId="0" applyNumberFormat="1" applyFont="1" applyFill="1" applyBorder="1" applyAlignment="1">
      <x:alignment vertical="top" wrapText="1"/>
    </x:xf>
    <x:xf numFmtId="0" fontId="29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21" fillId="20" borderId="0" xfId="0" applyNumberFormat="1" applyFont="1" applyFill="1" applyBorder="1" applyAlignment="1">
      <x:alignment vertical="top" wrapText="1"/>
    </x:xf>
    <x:xf numFmtId="0" fontId="21" fillId="20" borderId="0" xfId="0" applyNumberFormat="1" applyFont="1" applyFill="1" applyBorder="1" applyAlignment="1">
      <x:alignment vertical="bottom" wrapText="1"/>
    </x:xf>
    <x:xf numFmtId="0" fontId="0" fillId="20" borderId="0" xfId="0" applyNumberFormat="1" applyFont="1" applyFill="1" applyBorder="1" applyAlignment="1">
      <x:alignment vertical="bottom" wrapText="1"/>
    </x:xf>
    <x:xf numFmtId="0" fontId="26" fillId="20" borderId="0" xfId="0" applyNumberFormat="1" applyFont="1" applyFill="1" applyBorder="1" applyAlignment="1">
      <x:alignment vertical="bottom" wrapText="1"/>
    </x:xf>
    <x:xf numFmtId="0" fontId="0" fillId="20" borderId="0" xfId="0" applyNumberFormat="1" applyFont="1" applyFill="1" applyBorder="1" applyAlignment="1">
      <x:alignment vertical="bottom" wrapText="0"/>
    </x:xf>
    <x:xf numFmtId="0" fontId="21" fillId="20" borderId="0" xfId="0" applyNumberFormat="1" applyFont="1" applyFill="1" applyBorder="1" applyAlignment="1">
      <x:alignment vertical="bottom" wrapText="0"/>
    </x:xf>
    <x:xf numFmtId="0" fontId="26" fillId="20" borderId="0" xfId="0" applyNumberFormat="1" applyFont="1" applyFill="1" applyBorder="1" applyAlignment="1">
      <x:alignment vertical="bottom" wrapText="0"/>
    </x:xf>
    <x:xf numFmtId="0" fontId="27" fillId="20" borderId="0" xfId="0" applyNumberFormat="1" applyFont="1" applyFill="1" applyBorder="1" applyAlignment="1">
      <x:alignment vertical="top" wrapText="1"/>
    </x:xf>
    <x:xf numFmtId="0" fontId="28" fillId="20" borderId="0" xfId="0" applyNumberFormat="1" applyFont="1" applyFill="1" applyBorder="1" applyAlignment="1">
      <x:alignment vertical="top" wrapText="1"/>
    </x:xf>
    <x:xf numFmtId="0" fontId="29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21" fillId="21" borderId="0" xfId="0" applyNumberFormat="1" applyFont="1" applyFill="1" applyBorder="1" applyAlignment="1">
      <x:alignment vertical="top" wrapText="1"/>
    </x:xf>
    <x:xf numFmtId="0" fontId="21" fillId="21" borderId="0" xfId="0" applyNumberFormat="1" applyFont="1" applyFill="1" applyBorder="1" applyAlignment="1">
      <x:alignment vertical="bottom" wrapText="1"/>
    </x:xf>
    <x:xf numFmtId="0" fontId="0" fillId="21" borderId="0" xfId="0" applyNumberFormat="1" applyFont="1" applyFill="1" applyBorder="1" applyAlignment="1">
      <x:alignment vertical="bottom" wrapText="1"/>
    </x:xf>
    <x:xf numFmtId="0" fontId="26" fillId="21" borderId="0" xfId="0" applyNumberFormat="1" applyFont="1" applyFill="1" applyBorder="1" applyAlignment="1">
      <x:alignment vertical="bottom" wrapText="1"/>
    </x:xf>
    <x:xf numFmtId="0" fontId="0" fillId="21" borderId="0" xfId="0" applyNumberFormat="1" applyFont="1" applyFill="1" applyBorder="1" applyAlignment="1">
      <x:alignment vertical="bottom" wrapText="0"/>
    </x:xf>
    <x:xf numFmtId="0" fontId="21" fillId="21" borderId="0" xfId="0" applyNumberFormat="1" applyFont="1" applyFill="1" applyBorder="1" applyAlignment="1">
      <x:alignment vertical="bottom" wrapText="0"/>
    </x:xf>
    <x:xf numFmtId="0" fontId="26" fillId="21" borderId="0" xfId="0" applyNumberFormat="1" applyFont="1" applyFill="1" applyBorder="1" applyAlignment="1">
      <x:alignment vertical="bottom" wrapText="0"/>
    </x:xf>
    <x:xf numFmtId="0" fontId="27" fillId="21" borderId="0" xfId="0" applyNumberFormat="1" applyFont="1" applyFill="1" applyBorder="1" applyAlignment="1">
      <x:alignment vertical="top" wrapText="1"/>
    </x:xf>
    <x:xf numFmtId="0" fontId="28" fillId="21" borderId="0" xfId="0" applyNumberFormat="1" applyFont="1" applyFill="1" applyBorder="1" applyAlignment="1">
      <x:alignment vertical="top" wrapText="1"/>
    </x:xf>
    <x:xf numFmtId="0" fontId="29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 applyAlignment="1">
      <x:alignment vertical="bottom" wrapText="1"/>
    </x:xf>
    <x:xf numFmtId="0" fontId="0" fillId="22" borderId="0" xfId="0" applyNumberFormat="1" applyFont="1" applyFill="1" applyBorder="1" applyAlignment="1">
      <x:alignment vertical="bottom" wrapText="1"/>
    </x:xf>
    <x:xf numFmtId="0" fontId="26" fillId="22" borderId="0" xfId="0" applyNumberFormat="1" applyFont="1" applyFill="1" applyBorder="1" applyAlignment="1">
      <x:alignment vertical="bottom" wrapText="1"/>
    </x:xf>
    <x:xf numFmtId="0" fontId="0" fillId="22" borderId="0" xfId="0" applyNumberFormat="1" applyFont="1" applyFill="1" applyBorder="1" applyAlignment="1">
      <x:alignment vertical="bottom" wrapText="0"/>
    </x:xf>
    <x:xf numFmtId="0" fontId="21" fillId="22" borderId="0" xfId="0" applyNumberFormat="1" applyFont="1" applyFill="1" applyBorder="1" applyAlignment="1">
      <x:alignment vertical="bottom" wrapText="0"/>
    </x:xf>
    <x:xf numFmtId="0" fontId="26" fillId="22" borderId="0" xfId="0" applyNumberFormat="1" applyFont="1" applyFill="1" applyBorder="1" applyAlignment="1">
      <x:alignment vertical="bottom" wrapText="0"/>
    </x:xf>
    <x:xf numFmtId="0" fontId="27" fillId="22" borderId="0" xfId="0" applyNumberFormat="1" applyFont="1" applyFill="1" applyBorder="1" applyAlignment="1">
      <x:alignment vertical="top" wrapText="1"/>
    </x:xf>
    <x:xf numFmtId="0" fontId="28" fillId="22" borderId="0" xfId="0" applyNumberFormat="1" applyFont="1" applyFill="1" applyBorder="1" applyAlignment="1">
      <x:alignment vertical="top" wrapText="1"/>
    </x:xf>
    <x:xf numFmtId="0" fontId="29" fillId="22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 applyAlignment="1">
      <x:alignment vertical="bottom" wrapText="1"/>
    </x:xf>
    <x:xf numFmtId="0" fontId="31" fillId="0" borderId="0" xfId="0" applyNumberFormat="1" applyFont="1" applyFill="1" applyBorder="1" applyAlignment="1">
      <x:alignment vertical="bottom" wrapText="0"/>
    </x:xf>
    <x:xf numFmtId="0" fontId="22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 applyAlignment="1">
      <x:alignment vertical="top" wrapText="1"/>
    </x:xf>
    <x:xf numFmtId="203" fontId="22" fillId="0" borderId="0" xfId="0" applyNumberFormat="1" applyFont="1" applyFill="1" applyBorder="1" applyAlignment="1">
      <x:alignment vertical="top" wrapText="1"/>
    </x:xf>
    <x:xf numFmtId="0" fontId="23" fillId="0" borderId="0" xfId="0" applyNumberFormat="1" applyFont="1" applyFill="1" applyBorder="1" applyAlignment="1">
      <x:alignment vertical="top" wrapText="1"/>
    </x:xf>
    <x:xf numFmtId="0" fontId="32" fillId="0" borderId="0" xfId="0" applyNumberFormat="1" applyFont="1" applyFill="1" applyBorder="1" applyAlignment="1">
      <x:alignment vertical="bottom" wrapText="0"/>
    </x:xf>
    <x:xf numFmtId="0" fontId="3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color rgb="FF9C0006"/>
      </x:font>
      <x:fill>
        <x:patternFill>
          <x:bgColor rgb="FFFFC7CE"/>
        </x:patternFill>
      </x:fill>
      <x:border/>
    </x:dxf>
    <x:dxf>
      <x:font>
        <x:color rgb="FF1F4E79"/>
      </x:font>
      <x:fill>
        <x:patternFill>
          <x:bgColor rgb="FFDCEAF5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9"/>
      </x:font>
      <x:fill>
        <x:patternFill>
          <x:bgColor rgb="FFDCEAF5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1F4E79"/>
      </x:font>
      <x:fill>
        <x:patternFill>
          <x:bgColor rgb="FFDCEAF5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3a79f849e459f" /><Relationship Type="http://schemas.openxmlformats.org/officeDocument/2006/relationships/theme" Target="/xl/theme/theme1.xml" Id="R497730d43dc54962" /><Relationship Type="http://schemas.openxmlformats.org/officeDocument/2006/relationships/sharedStrings" Target="/xl/sharedStrings.xml" Id="R258216e5f1df4aea" /><Relationship Type="http://schemas.openxmlformats.org/officeDocument/2006/relationships/worksheet" Target="/xl/worksheets/sheet1.xml" Id="R4dc119dd05074a8b" /><Relationship Type="http://schemas.openxmlformats.org/officeDocument/2006/relationships/worksheet" Target="/xl/worksheets/sheet2.xml" Id="Radcc260190a24d97" /><Relationship Type="http://schemas.openxmlformats.org/officeDocument/2006/relationships/worksheet" Target="/xl/worksheets/sheet3.xml" Id="R605ff0139ad349e1" /><Relationship Type="http://schemas.openxmlformats.org/officeDocument/2006/relationships/worksheet" Target="/xl/worksheets/sheet4.xml" Id="R00ec284f5b704245" /><Relationship Type="http://schemas.openxmlformats.org/officeDocument/2006/relationships/worksheet" Target="/xl/worksheets/sheet5.xml" Id="R4c52f718dff945b1" /><Relationship Type="http://schemas.openxmlformats.org/officeDocument/2006/relationships/worksheet" Target="/xl/worksheets/sheet6.xml" Id="Rf9afb233d4e84d0d" /><Relationship Type="http://schemas.openxmlformats.org/officeDocument/2006/relationships/worksheet" Target="/xl/worksheets/sheet7.xml" Id="R5a8b413e74204866" /><Relationship Type="http://schemas.openxmlformats.org/officeDocument/2006/relationships/worksheet" Target="/xl/worksheets/sheet8.xml" Id="Rcde7fe6c229a4421" /><Relationship Type="http://schemas.openxmlformats.org/officeDocument/2006/relationships/worksheet" Target="/xl/worksheets/sheet9.xml" Id="R079970f11c2347b1" /><Relationship Type="http://schemas.openxmlformats.org/officeDocument/2006/relationships/worksheet" Target="/xl/worksheets/sheet10.xml" Id="R3a9c67bfa033456d" /></Relationships>
</file>

<file path=xl/tables/table1.xml><?xml version="1.0" encoding="utf-8"?>
<x:table xmlns:x="http://schemas.openxmlformats.org/spreadsheetml/2006/main" id="24" name="EpicasProducto" displayName="EpicasProducto" ref="A1:D7" headerRowCount="1" totalsRowCount="0" totalsRowShown="0">
  <x:tableColumns count="4">
    <x:tableColumn id="1" name="Título"/>
    <x:tableColumn id="2" name="Descripción"/>
    <x:tableColumn id="3" name="Horas estimadas"/>
    <x:tableColumn id="4" name="Fechas previs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3" name="FeaturesProducto" displayName="FeaturesProducto" ref="A1:F13" headerRowCount="1" totalsRowCount="0" totalsRowShown="0">
  <x:tableColumns count="6">
    <x:tableColumn id="1" name="Título"/>
    <x:tableColumn id="2" name="Descripción"/>
    <x:tableColumn id="3" name="Horas estimadas"/>
    <x:tableColumn id="4" name="Épica parent"/>
    <x:tableColumn id="5" name="Entrega prevista"/>
    <x:tableColumn id="6" name="Lanzamiento previs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2" name="HistoriasProducto" displayName="HistoriasProducto" ref="A1:D43" headerRowCount="1" totalsRowCount="0" totalsRowShown="0">
  <x:tableColumns count="4">
    <x:tableColumn id="1" name="Título"/>
    <x:tableColumn id="2" name="Descripción"/>
    <x:tableColumn id="3" name="Horas estimadas"/>
    <x:tableColumn id="4" name="Feature par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1" name="TareasRevisadas" displayName="TareasRevisadas" ref="A1:P200" headerRowCount="1" totalsRowCount="0" totalsRowShown="0">
  <x:tableColumns count="16">
    <x:tableColumn id="1" name="ID"/>
    <x:tableColumn id="2" name="Producto"/>
    <x:tableColumn id="3" name="Tarea"/>
    <x:tableColumn id="4" name="Mes"/>
    <x:tableColumn id="5" name="Sprint"/>
    <x:tableColumn id="6" name="Responsable"/>
    <x:tableColumn id="7" name="Dependencias"/>
    <x:tableColumn id="8" name="Ing. software h"/>
    <x:tableColumn id="9" name="Ing. embebidos h"/>
    <x:tableColumn id="10" name="Técnico QA h"/>
    <x:tableColumn id="11" name="Técnico laboratorio h"/>
    <x:tableColumn id="12" name="Entregable"/>
    <x:tableColumn id="13" name="Aceptación"/>
    <x:tableColumn id="14" name="Esfuerzo total h"/>
    <x:tableColumn id="15" name="Condición / espera externa"/>
    <x:tableColumn id="16" name="Historia asocia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5" name="ComponentesKit" displayName="ComponentesKit" ref="A1:H35" headerRowCount="1" totalsRowCount="0" totalsRowShown="0">
  <x:tableColumns count="8">
    <x:tableColumn id="1" name="Grupo de costo"/>
    <x:tableColumn id="2" name="Componente"/>
    <x:tableColumn id="3" name="Alternativa / especificación"/>
    <x:tableColumn id="4" name="Cantidad por dispositivo o kit"/>
    <x:tableColumn id="5" name="USD unidad o conjunto"/>
    <x:tableColumn id="6" name="Subtotal USD"/>
    <x:tableColumn id="7" name="Base de estimación"/>
    <x:tableColumn id="8" name="Fuente técn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515bbd7b10246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0e8573e6d7a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dded1faa9ef40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900665c363a4467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aed893ba39024ba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65" hidden="0" customWidth="1"/>
    <x:col min="3" max="3" width="62" hidden="0" customWidth="1"/>
    <x:col min="5" max="5" width="24" hidden="0" customWidth="1"/>
    <x:col min="6" max="6" width="24" hidden="0" customWidth="1"/>
    <x:col min="4" max="4" width="24" hidden="0" customWidth="1"/>
  </x:cols>
  <x:sheetData>
    <x:row r="1" ht="42" customHeight="1">
      <x:c r="A1" s="150" t="str">
        <x:v>Indicador</x:v>
      </x:c>
      <x:c r="B1" s="150" t="str">
        <x:v>Valor</x:v>
      </x:c>
      <x:c r="C1" s="151"/>
      <x:c r="D1" s="151"/>
      <x:c r="E1" s="151" t="str">
        <x:v>Escenario comercial</x:v>
      </x:c>
      <x:c r="F1" s="175" t="str">
        <x:f>'Plan comercial'!E2</x:f>
        <x:v>Base</x:v>
      </x:c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42" customHeight="1">
      <x:c r="A2" s="147" t="str">
        <x:v>Capital mínimo USD</x:v>
      </x:c>
      <x:c r="B2" s="152" t="n">
        <x:f>MAX(0,-MIN('Flujo mensual'!U2:U49))</x:f>
        <x:v>368813.16000000003</x:v>
      </x:c>
    </x:row>
    <x:row r="3" ht="42" customHeight="1">
      <x:c r="A3" s="147" t="str">
        <x:v>VAN USD</x:v>
      </x:c>
      <x:c r="B3" s="152" t="n">
        <x:f>SUM('Flujo mensual'!V2:V49)</x:f>
        <x:v>119928.9794347331</x:v>
      </x:c>
    </x:row>
    <x:row r="4" ht="42" customHeight="1">
      <x:c r="A4" s="147" t="str">
        <x:v>TIR anual</x:v>
      </x:c>
      <x:c r="B4" s="153" t="n">
        <x:f>(1+IRR('Flujo mensual'!T2:T49))^12-1</x:f>
        <x:v>0.3735767303159132</x:v>
      </x:c>
    </x:row>
    <x:row r="5" ht="42" customHeight="1">
      <x:c r="A5" s="147" t="str">
        <x:v>Egresos año 1 USD</x:v>
      </x:c>
      <x:c r="B5" s="152" t="n">
        <x:f>SUM('Flujo mensual'!S2:S13)</x:f>
        <x:v>233199.99999999997</x:v>
      </x:c>
    </x:row>
    <x:row r="6" ht="42" customHeight="1">
      <x:c r="A6" s="147" t="str">
        <x:v>Egresos meses 13–18 USD</x:v>
      </x:c>
      <x:c r="B6" s="152" t="n">
        <x:f>SUM('Flujo mensual'!S14:S19)</x:f>
        <x:v>135613.15999999997</x:v>
      </x:c>
    </x:row>
    <x:row r="7" ht="42" customHeight="1">
      <x:c r="A7" s="147" t="str">
        <x:v>Costo directo kit USD</x:v>
      </x:c>
      <x:c r="B7" s="152" t="n">
        <x:f>(2*('Supuestos'!$B$19+'Supuestos'!$B$20)+'Supuestos'!$B$21+'Supuestos'!$B$22+2*('Supuestos'!$B$23+'Supuestos'!$B$24)+'Supuestos'!$B$25)</x:f>
        <x:v>194.57</x:v>
      </x:c>
    </x:row>
    <x:row r="8" ht="42" customHeight="1">
      <x:c r="A8" s="147" t="str">
        <x:v>Lanzamiento mes</x:v>
      </x:c>
      <x:c r="B8" s="147" t="n">
        <x:f>'Supuestos'!B2</x:f>
        <x:v>19</x:v>
      </x:c>
    </x:row>
    <x:row r="9" ht="42" customHeight="1">
      <x:c r="A9" s="147"/>
      <x:c r="B9" s="147"/>
    </x:row>
    <x:row r="10" ht="45" customHeight="1">
      <x:c r="A10" s="147" t="str">
        <x:v>Esfuerzo total del proyecto h</x:v>
      </x:c>
      <x:c r="B10" s="152" t="n">
        <x:f>SUM('Tareas y sprints'!N2:N200)</x:f>
        <x:v>8856.400000000001</x:v>
      </x:c>
    </x:row>
    <x:row r="11" ht="45" customHeight="1">
      <x:c r="A11" s="147" t="str">
        <x:v>Historias / features / épicas</x:v>
      </x:c>
      <x:c r="B11" s="152" t="str">
        <x:v>42 / 12 / 6</x:v>
      </x:c>
    </x:row>
    <x:row r="12" ht="45" customHeight="1">
      <x:c r="A12" s="147" t="str">
        <x:v>Planificación</x:v>
      </x:c>
      <x:c r="B12" s="152" t="str">
        <x:v>199 tareas; 39 sprints; 18 meses</x:v>
      </x:c>
    </x:row>
    <x:row r="13" ht="45" customHeight="1">
      <x:c r="A13" s="147" t="str">
        <x:v>Lanzamiento</x:v>
      </x:c>
      <x:c r="B13" s="152" t="str">
        <x:v>Desde M19, sujeto a autorizaciones</x:v>
      </x:c>
    </x:row>
    <x:row r="14" ht="42" customHeight="1">
      <x:c r="A14"/>
      <x:c r="B14"/>
    </x:row>
    <x:row r="15" ht="42" customHeight="1">
      <x:c r="A15"/>
      <x:c r="B15"/>
    </x:row>
    <x:row r="20">
      <x:c r="A20"/>
      <x:c r="B20"/>
      <x:c r="C20"/>
    </x:row>
    <x:row r="21">
      <x:c r="A21"/>
      <x:c r="B21" s="163"/>
      <x:c r="C21"/>
    </x:row>
    <x:row r="22">
      <x:c r="A22"/>
      <x:c r="B22" s="163"/>
      <x:c r="C22"/>
    </x:row>
    <x:row r="23">
      <x:c r="A23"/>
      <x:c r="B23" s="163"/>
      <x:c r="C23"/>
    </x:row>
    <x:row r="24">
      <x:c r="A24"/>
      <x:c r="B24" s="163"/>
      <x:c r="C24"/>
    </x:row>
    <x:row r="25">
      <x:c r="A25"/>
      <x:c r="B25" s="163"/>
      <x:c r="C25"/>
    </x:row>
    <x:row r="26">
      <x:c r="A26"/>
      <x:c r="B26" s="163"/>
      <x:c r="C26"/>
    </x:row>
    <x:row r="27">
      <x:c r="A27"/>
      <x:c r="B27" s="163"/>
      <x:c r="C27"/>
    </x:row>
    <x:row r="30" ht="42" customHeight="1">
      <x:c r="A30" s="147" t="str">
        <x:v>Costo y margen del lote inicial</x:v>
      </x:c>
      <x:c r="B30" s="147" t="str">
        <x:v>USD / kit aceptado</x:v>
      </x:c>
    </x:row>
    <x:row r="31" ht="42" customHeight="1">
      <x:c r="A31" s="147" t="str">
        <x:v>Kits aceptados del lote</x:v>
      </x:c>
      <x:c r="B31" s="152" t="n">
        <x:f>'Supuestos'!B51</x:f>
        <x:v>100</x:v>
      </x:c>
    </x:row>
    <x:row r="32" ht="42" customHeight="1">
      <x:c r="A32" s="147" t="str">
        <x:v>Kits brutos con merma</x:v>
      </x:c>
      <x:c r="B32" s="152" t="n">
        <x:f>ROUNDUP(B31/(1-'Supuestos'!B14),0)</x:f>
        <x:v>112</x:v>
      </x:c>
    </x:row>
    <x:row r="33" ht="42" customHeight="1">
      <x:c r="A33" s="147" t="str">
        <x:v>Costo total del lote</x:v>
      </x:c>
      <x:c r="B33" s="152" t="n">
        <x:f>B32*(((2*SUM('Supuestos'!B19:B20)+SUM('Supuestos'!B21:B22)+2*SUM('Supuestos'!B23:B24)+'Supuestos'!B25)+((2*'Supuestos'!B19+'Supuestos'!B21+'Supuestos'!B25)+'Supuestos'!B26+'Supuestos'!B27)*'Supuestos'!B28+'Supuestos'!B26+'Supuestos'!B27+'Supuestos'!B29)-IF('Supuestos'!B2-1&lt;='Supuestos'!B3,(2*'Supuestos'!B20+'Supuestos'!B22+2*'Supuestos'!B24),0))+'Supuestos'!B30</x:f>
        <x:v>31113.16</x:v>
      </x:c>
    </x:row>
    <x:row r="34" ht="42" customHeight="1">
      <x:c r="A34" s="147" t="str">
        <x:v>Costo por kit aceptado</x:v>
      </x:c>
      <x:c r="B34" s="152" t="n">
        <x:f>B33/B31</x:f>
        <x:v>311.1316</x:v>
      </x:c>
    </x:row>
    <x:row r="35" ht="42" customHeight="1">
      <x:c r="A35" s="147" t="str">
        <x:v>Precio de venta</x:v>
      </x:c>
      <x:c r="B35" s="152" t="n">
        <x:f>'Supuestos'!B15</x:f>
        <x:v>800</x:v>
      </x:c>
    </x:row>
    <x:row r="36" ht="42" customHeight="1">
      <x:c r="A36" s="147" t="str">
        <x:v>Margen después de comisión</x:v>
      </x:c>
      <x:c r="B36" s="152" t="n">
        <x:f>B35*(1-'Supuestos'!B32)-B34</x:f>
        <x:v>424.8684</x:v>
      </x:c>
    </x:row>
    <x:row r="37" ht="42" customHeight="1">
      <x:c r="A37" s="147" t="str">
        <x:v>Margen / precio</x:v>
      </x:c>
      <x:c r="B37" s="153" t="n">
        <x:f>B36/B35</x:f>
        <x:v>0.5310855</x:v>
      </x:c>
    </x:row>
    <x:row r="38" ht="42" customHeight="1">
      <x:c r="A38" s="147" t="str">
        <x:v>Unidades brutas de ensayo</x:v>
      </x:c>
      <x:c r="B38" s="152" t="n">
        <x:f>ROUNDUP('Supuestos'!B53/(1-'Supuestos'!B14),0)</x:f>
        <x:v>12</x:v>
      </x:c>
    </x:row>
    <x:row r="39" ht="42" customHeight="1">
      <x:c r="A39" s="147" t="str">
        <x:v>Costo de kits de ensayo</x:v>
      </x:c>
      <x:c r="B39" s="152" t="n">
        <x:f>B38*(((2*SUM('Supuestos'!B19:B20)+SUM('Supuestos'!B21:B22)+2*SUM('Supuestos'!B23:B24)+'Supuestos'!B25)+((2*'Supuestos'!B19+'Supuestos'!B21+'Supuestos'!B25)+'Supuestos'!B26+'Supuestos'!B27)*'Supuestos'!B28+'Supuestos'!B26+'Supuestos'!B27+'Supuestos'!B29)-(2*'Supuestos'!B20+'Supuestos'!B22+2*'Supuestos'!B24))</x:f>
        <x:v>3301.41</x:v>
      </x:c>
    </x:row>
    <x:row r="40" ht="42" customHeight="1">
      <x:c r="A40" s="147" t="str">
        <x:v>Saldo de prototipos para otros insumos</x:v>
      </x:c>
      <x:c r="B40" s="152" t="n">
        <x:f>'Supuestos'!B7-B39</x:f>
        <x:v>8698.59</x:v>
      </x:c>
    </x:row>
    <x:row r="41" ht="42" customHeight="1">
      <x:c r="A41" s="147" t="str">
        <x:v>Alcance del margen</x:v>
      </x:c>
      <x:c r="B41" s="147" t="str">
        <x:v>Contribución de caja del lote inicial; mano de obra en nómina. No equivale al margen económico completo.</x:v>
      </x:c>
    </x:row>
    <x:row r="44" ht="38" customHeight="1">
      <x:c r="A44" s="244" t="str">
        <x:v>Resumen de cuatro años</x:v>
      </x:c>
      <x:c r="B44" s="244" t="str">
        <x:v>Año 1</x:v>
      </x:c>
      <x:c r="C44" s="244" t="str">
        <x:v>Año 2</x:v>
      </x:c>
      <x:c r="D44" s="244" t="str">
        <x:v>Año 3</x:v>
      </x:c>
      <x:c r="E44" s="244" t="str">
        <x:v>Año 4</x:v>
      </x:c>
    </x:row>
    <x:row r="45" ht="38" customHeight="1">
      <x:c r="A45" s="147" t="str">
        <x:v>Meses del proyecto</x:v>
      </x:c>
      <x:c r="B45" s="147" t="str">
        <x:v>1–12</x:v>
      </x:c>
      <x:c r="C45" s="147" t="str">
        <x:v>13–24</x:v>
      </x:c>
      <x:c r="D45" s="147" t="str">
        <x:v>25–36</x:v>
      </x:c>
      <x:c r="E45" s="147" t="str">
        <x:v>37–48</x:v>
      </x:c>
    </x:row>
    <x:row r="46" ht="38" customHeight="1">
      <x:c r="A46" s="147" t="str">
        <x:v>Kits vendidos</x:v>
      </x:c>
      <x:c r="B46" s="163" t="n">
        <x:f>SUMIF('Flujo mensual'!$B$2:$B$49,1,'Flujo mensual'!$C$2:$C$49)</x:f>
        <x:v>0</x:v>
      </x:c>
      <x:c r="C46" s="163" t="n">
        <x:f>SUMIF('Flujo mensual'!$B$2:$B$49,2,'Flujo mensual'!$C$2:$C$49)</x:f>
        <x:v>150</x:v>
      </x:c>
      <x:c r="D46" s="163" t="n">
        <x:f>SUMIF('Flujo mensual'!$B$2:$B$49,3,'Flujo mensual'!$C$2:$C$49)</x:f>
        <x:v>550.0000000000001</x:v>
      </x:c>
      <x:c r="E46" s="163" t="n">
        <x:f>SUMIF('Flujo mensual'!$B$2:$B$49,4,'Flujo mensual'!$C$2:$C$49)</x:f>
        <x:v>1240</x:v>
      </x:c>
    </x:row>
    <x:row r="47" ht="38" customHeight="1">
      <x:c r="A47" s="147" t="str">
        <x:v>Ingresos USD</x:v>
      </x:c>
      <x:c r="B47" s="163" t="n">
        <x:f>SUMIF('Flujo mensual'!$B$2:$B$49,1,'Flujo mensual'!$J$2:$J$49)</x:f>
        <x:v>0</x:v>
      </x:c>
      <x:c r="C47" s="163" t="n">
        <x:f>SUMIF('Flujo mensual'!$B$2:$B$49,2,'Flujo mensual'!$J$2:$J$49)</x:f>
        <x:v>160837.29609375</x:v>
      </x:c>
      <x:c r="D47" s="163" t="n">
        <x:f>SUMIF('Flujo mensual'!$B$2:$B$49,3,'Flujo mensual'!$J$2:$J$49)</x:f>
        <x:v>772078.4665978076</x:v>
      </x:c>
      <x:c r="E47" s="163" t="n">
        <x:f>SUMIF('Flujo mensual'!$B$2:$B$49,4,'Flujo mensual'!$J$2:$J$49)</x:f>
        <x:v>1963369.8024880788</x:v>
      </x:c>
    </x:row>
    <x:row r="48" ht="38" customHeight="1">
      <x:c r="A48" s="147" t="str">
        <x:v>Egresos USD</x:v>
      </x:c>
      <x:c r="B48" s="163" t="n">
        <x:f>SUMIF('Flujo mensual'!$B$2:$B$49,1,'Flujo mensual'!$S$2:$S$49)</x:f>
        <x:v>233199.99999999997</x:v>
      </x:c>
      <x:c r="C48" s="163" t="n">
        <x:f>SUMIF('Flujo mensual'!$B$2:$B$49,2,'Flujo mensual'!$S$2:$S$49)</x:f>
        <x:v>239121.9296460873</x:v>
      </x:c>
      <x:c r="D48" s="163" t="n">
        <x:f>SUMIF('Flujo mensual'!$B$2:$B$49,3,'Flujo mensual'!$S$2:$S$49)</x:f>
        <x:v>592135.5731067483</x:v>
      </x:c>
      <x:c r="E48" s="163" t="n">
        <x:f>SUMIF('Flujo mensual'!$B$2:$B$49,4,'Flujo mensual'!$S$2:$S$49)</x:f>
        <x:v>1410569.1386843906</x:v>
      </x:c>
    </x:row>
    <x:row r="49" ht="38" customHeight="1">
      <x:c r="A49" s="147" t="str">
        <x:v>Flujo del año USD</x:v>
      </x:c>
      <x:c r="B49" s="163" t="n">
        <x:f>SUMIF('Flujo mensual'!$B$2:$B$49,1,'Flujo mensual'!$T$2:$T$49)</x:f>
        <x:v>-233199.99999999997</x:v>
      </x:c>
      <x:c r="C49" s="163" t="n">
        <x:f>SUMIF('Flujo mensual'!$B$2:$B$49,2,'Flujo mensual'!$T$2:$T$49)</x:f>
        <x:v>-78284.63355233727</x:v>
      </x:c>
      <x:c r="D49" s="163" t="n">
        <x:f>SUMIF('Flujo mensual'!$B$2:$B$49,3,'Flujo mensual'!$T$2:$T$49)</x:f>
        <x:v>179942.89349105925</x:v>
      </x:c>
      <x:c r="E49" s="163" t="n">
        <x:f>SUMIF('Flujo mensual'!$B$2:$B$49,4,'Flujo mensual'!$T$2:$T$49)</x:f>
        <x:v>552800.663803688</x:v>
      </x:c>
    </x:row>
    <x:row r="50" ht="38" customHeight="1">
      <x:c r="A50" s="147" t="str">
        <x:v>Flujo acumulado al cierre USD</x:v>
      </x:c>
      <x:c r="B50" s="163" t="n">
        <x:f>'Flujo mensual'!U13</x:f>
        <x:v>-233199.99999999997</x:v>
      </x:c>
      <x:c r="C50" s="163" t="n">
        <x:f>'Flujo mensual'!U25</x:f>
        <x:v>-311484.63355233736</x:v>
      </x:c>
      <x:c r="D50" s="163" t="n">
        <x:f>'Flujo mensual'!U37</x:f>
        <x:v>-131541.7400612781</x:v>
      </x:c>
      <x:c r="E50" s="163" t="n">
        <x:f>'Flujo mensual'!U49</x:f>
        <x:v>421258.92374240997</x:v>
      </x:c>
    </x:row>
    <x:row r="51" ht="38" customHeight="1">
      <x:c r="A51" s="147" t="str">
        <x:v>Stock de kits al cierre</x:v>
      </x:c>
      <x:c r="B51" s="163" t="n">
        <x:f>'Flujo mensual'!I13</x:f>
        <x:v>0</x:v>
      </x:c>
      <x:c r="C51" s="163" t="n">
        <x:f>'Flujo mensual'!I25</x:f>
        <x:v>0.5000000000000059</x:v>
      </x:c>
      <x:c r="D51" s="163" t="n">
        <x:f>'Flujo mensual'!I37</x:f>
        <x:v>0.4999999999999858</x:v>
      </x:c>
      <x:c r="E51" s="163" t="n">
        <x:f>'Flujo mensual'!I49</x:f>
        <x:v>-5.684341886080802e-14</x:v>
      </x:c>
    </x:row>
    <x:row r="52" ht="38" customHeight="1">
      <x:c r="A52" s="147" t="str">
        <x:v>Flujo descontado USD</x:v>
      </x:c>
      <x:c r="B52" s="163" t="n">
        <x:f>SUMIF('Flujo mensual'!$B$2:$B$49,1,'Flujo mensual'!$V$2:$V$49)</x:f>
        <x:v>-210094.89187936345</x:v>
      </x:c>
      <x:c r="C52" s="163" t="n">
        <x:f>SUMIF('Flujo mensual'!$B$2:$B$49,2,'Flujo mensual'!$V$2:$V$49)</x:f>
        <x:v>-65202.099333483755</x:v>
      </x:c>
      <x:c r="D52" s="163" t="n">
        <x:f>SUMIF('Flujo mensual'!$B$2:$B$49,3,'Flujo mensual'!$V$2:$V$49)</x:f>
        <x:v>110254.52667743548</x:v>
      </x:c>
      <x:c r="E52" s="163" t="n">
        <x:f>SUMIF('Flujo mensual'!$B$2:$B$49,4,'Flujo mensual'!$V$2:$V$49)</x:f>
        <x:v>284971.4439701448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8" hidden="0" customWidth="1"/>
    <x:col min="3" max="3" width="75" hidden="0" customWidth="1"/>
    <x:col min="5" max="5" width="24" hidden="0" customWidth="1"/>
    <x:col min="6" max="6" width="24" hidden="0" customWidth="1"/>
    <x:col min="4" max="4" width="75" hidden="0" customWidth="1"/>
  </x:cols>
  <x:sheetData>
    <x:row r="1" ht="32" customHeight="1">
      <x:c r="A1" s="150" t="str">
        <x:v>Variable</x:v>
      </x:c>
      <x:c r="B1" s="150" t="str">
        <x:v>Valor</x:v>
      </x:c>
      <x:c r="C1" s="150" t="str">
        <x:v>Cómo se obtuvo / qué cubre</x:v>
      </x:c>
      <x:c r="D1" s="150" t="str">
        <x:v>Fuente y alcance del respaldo</x:v>
      </x:c>
      <x:c r="E1" s="151" t="str">
        <x:v>Escenario comercial</x:v>
      </x:c>
      <x:c r="F1" s="175" t="str">
        <x:f>'Plan comercial'!E2</x:f>
        <x:v>Base</x:v>
      </x:c>
      <x:c r="G1" s="151"/>
      <x:c r="H1" s="151"/>
      <x:c r="I1" s="151"/>
      <x:c r="J1" s="151"/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</x:row>
    <x:row r="2" ht="72" customHeight="1">
      <x:c r="A2" s="155" t="str">
        <x:v>Lanzamiento mes</x:v>
      </x:c>
      <x:c r="B2" s="255" t="n">
        <x:v>19</x:v>
      </x:c>
      <x:c r="C2" s="256" t="str">
        <x:v>Ventas desde M19, luego del cierre previsto en M18. El lanzamiento está sujeto a las autorizaciones aplicables.</x:v>
      </x:c>
      <x:c r="D2" s="256" t="str">
        <x:v>Decisión de planificación. Ver LaTeX, Planificación del proyecto. No es una fecha de autorización concedida.</x:v>
      </x:c>
    </x:row>
    <x:row r="3" ht="72" customHeight="1">
      <x:c r="A3" s="155" t="str">
        <x:v>Equipo hasta mes</x:v>
      </x:c>
      <x:c r="B3" s="255" t="n">
        <x:v>18</x:v>
      </x:c>
      <x:c r="C3" s="256" t="str">
        <x:v>Cuatro personas a tiempo completo hasta M18: dos perfiles de ingeniería y dos técnicos.</x:v>
      </x:c>
      <x:c r="D3" s="256" t="str">
        <x:v>Decisión de planificación; capacidad detallada en Plan 18 meses.</x:v>
      </x:c>
    </x:row>
    <x:row r="4" ht="72" customHeight="1">
      <x:c r="A4" s="155" t="str">
        <x:v>Nómina mensual</x:v>
      </x:c>
      <x:c r="B4" s="255" t="n">
        <x:v>11200</x:v>
      </x:c>
      <x:c r="C4" s="256" t="str">
        <x:v>(2 × ARS 3.500.000 + 2 × ARS 2.500.000) × 1,40 / 1.500 ARS/USD = USD 11.200 por mes.</x:v>
      </x:c>
      <x:c r="D4" s="256" t="str">
        <x:v>F1: Flujo de caja C71:C78. Salarios, factor laboral y cambio son supuestos de presupuesto. F2 aporta contexto salarial, no valida esos cuatro parámetros.</x:v>
      </x:c>
    </x:row>
    <x:row r="5" ht="72" customHeight="1">
      <x:c r="A5" s="155" t="str">
        <x:v>Infraestructura mensual</x:v>
      </x:c>
      <x:c r="B5" s="255" t="n">
        <x:v>2000</x:v>
      </x:c>
      <x:c r="C5" s="256" t="str">
        <x:v>USD 500 de oficina/taller + 500 de servicios generales + 1.000 de alquiler de laboratorio/equipamiento por mes.</x:v>
      </x:c>
      <x:c r="D5" s="256" t="str">
        <x:v>F1: Flujo de caja C81:C83. Asignaciones internas; no hay contratos ni cotizaciones adjuntas.</x:v>
      </x:c>
    </x:row>
    <x:row r="6" ht="72" customHeight="1">
      <x:c r="A6" s="155" t="str">
        <x:v>Nube y herramientas mensual</x:v>
      </x:c>
      <x:c r="B6" s="255" t="n">
        <x:v>500</x:v>
      </x:c>
      <x:c r="C6" s="256" t="str">
        <x:v>Reserva mensual de USD 500 para herramientas, nube, cuentas, correo de verificación y activación. Sin desglose por proveedor.</x:v>
      </x:c>
      <x:c r="D6" s="256" t="str">
        <x:v>F1: Flujo de caja C103, con alcance ampliado a cuentas. Estimación interna a ajustar al elegir servicios y consumo.</x:v>
      </x:c>
    </x:row>
    <x:row r="7" ht="72" customHeight="1">
      <x:c r="A7" s="155" t="str">
        <x:v>Prototipos e insumos</x:v>
      </x:c>
      <x:c r="B7" s="255" t="n">
        <x:v>12000</x:v>
      </x:c>
      <x:c r="C7" s="256" t="str">
        <x:v>Total inicial: USD 6.000 componentes + 2.000 carcasas/montajes + 4.000 insumos. En el alcance actual incluye diez kits de ensayo y las repeticiones.</x:v>
      </x:c>
      <x:c r="D7" s="256" t="str">
        <x:v>F1: Flujo de caja C84:C86. Resumen detalla los kits y el saldo del mismo presupuesto; no se agregan otros USD 12.000.</x:v>
      </x:c>
    </x:row>
    <x:row r="8" ht="72" customHeight="1">
      <x:c r="A8" s="155" t="str">
        <x:v>Laboratorio y asesoramiento bioquímico</x:v>
      </x:c>
      <x:c r="B8" s="255" t="n">
        <x:v>12000</x:v>
      </x:c>
      <x:c r="C8" s="256" t="str">
        <x:v>Reserva total de USD 12.000 para laboratorio y asesoramiento bioquímico: formulación, inmovilización y evaluación de reactivos/MIP.</x:v>
      </x:c>
      <x:c r="D8" s="256" t="str">
        <x:v>F1: Flujo de caja C87. Monto global estimado, sin desglose de horas, muestras o tarifa ni cotización adjunta. No es compra de bibliografía.</x:v>
      </x:c>
    </x:row>
    <x:row r="9" ht="72" customHeight="1">
      <x:c r="A9" s="155" t="str">
        <x:v>Consultas</x:v>
      </x:c>
      <x:c r="B9" s="255" t="n">
        <x:v>10000</x:v>
      </x:c>
      <x:c r="C9" s="256" t="str">
        <x:v>USD 3.000 consultas médicas + 2.500 legales + 3.500 regulatorias + 1.000 contables = 10.000. Bioquímica se presupuesta aparte.</x:v>
      </x:c>
      <x:c r="D9" s="256" t="str">
        <x:v>F1: Flujo de caja N65:P69. Distribución interna; los honorarios requieren cotización.</x:v>
      </x:c>
    </x:row>
    <x:row r="10" ht="72" customHeight="1">
      <x:c r="A10" s="155" t="str">
        <x:v>QA y validación técnica externa</x:v>
      </x:c>
      <x:c r="B10" s="255" t="n">
        <x:v>8000</x:v>
      </x:c>
      <x:c r="C10" s="256" t="str">
        <x:v>Reserva total de USD 8.000 para servicios externos de QA: revisión de procedimientos, calibración y verificación independiente.</x:v>
      </x:c>
      <x:c r="D10" s="256" t="str">
        <x:v>F1: Flujo de caja C89. Monto global sin cotización ni detalle de horas. El QA interno ya está incluido en la nómina.</x:v>
      </x:c>
    </x:row>
    <x:row r="11" ht="72" customHeight="1">
      <x:c r="A11" s="155" t="str">
        <x:v>Evaluación clínica</x:v>
      </x:c>
      <x:c r="B11" s="255" t="n">
        <x:v>30000</x:v>
      </x:c>
      <x:c r="C11" s="256" t="str">
        <x:v>USD 12.000 centro + 8.000 mediciones de referencia + 6.000 gestión de datos/monitorización + 4.000 cobertura = 30.000.</x:v>
      </x:c>
      <x:c r="D11" s="256" t="str">
        <x:v>Estimación interna del plan actual. No hay presupuesto del centro; debe ajustarse al diseño del estudio, participantes y duración.</x:v>
      </x:c>
    </x:row>
    <x:row r="12" ht="72" customHeight="1">
      <x:c r="A12" s="155" t="str">
        <x:v>Ensayos y trámites</x:v>
      </x:c>
      <x:c r="B12" s="255" t="n">
        <x:v>10000</x:v>
      </x:c>
      <x:c r="C12" s="256" t="str">
        <x:v>USD 3.000 ambiente/sudor + 4.000 seguridad y compatibilidad electromagnética + 3.000 radio/registro = 10.000.</x:v>
      </x:c>
      <x:c r="D12" s="256" t="str">
        <x:v>Estimación interna del plan actual. Incluye servicios y trámites; no es un arancel oficial ni una cotización de laboratorio.</x:v>
      </x:c>
    </x:row>
    <x:row r="13" ht="72" customHeight="1">
      <x:c r="A13" s="155" t="str">
        <x:v>Reserva técnica</x:v>
      </x:c>
      <x:c r="B13" s="257" t="n">
        <x:v>0.1</x:v>
      </x:c>
      <x:c r="C13" s="256" t="str">
        <x:v>10% de los desembolsos técnicos y herramientas/nube de cada mes. No se aplica a salarios ni nuevamente a kits.</x:v>
      </x:c>
      <x:c r="D13" s="256" t="str">
        <x:v>F1: Flujo de caja C104. Margen de contingencia elegido para planificación; no surge de una medición de desvíos.</x:v>
      </x:c>
    </x:row>
    <x:row r="14" ht="72" customHeight="1">
      <x:c r="A14" s="155" t="str">
        <x:v>Merma</x:v>
      </x:c>
      <x:c r="B14" s="257" t="n">
        <x:v>0.1</x:v>
      </x:c>
      <x:c r="C14" s="256" t="str">
        <x:v>Se supone 10% de unidades no liberadas. Cantidad bruta = cantidad útil / 0,90, redondeada hacia arriba.</x:v>
      </x:c>
      <x:c r="D14" s="256" t="str">
        <x:v>F1: Flujo de caja C90. Hipótesis de rendimiento a contrastar con el lote piloto.</x:v>
      </x:c>
    </x:row>
    <x:row r="15" ht="72" customHeight="1">
      <x:c r="A15" s="155" t="str">
        <x:v>Precio kit</x:v>
      </x:c>
      <x:c r="B15" s="255" t="n">
        <x:v>800</x:v>
      </x:c>
      <x:c r="C15" s="256" t="str">
        <x:v>Precio de planificación del kit completo: USD 800. Se eligió como escenario comercial y no se obtiene de un margen fijo sobre costos.</x:v>
      </x:c>
      <x:c r="D15" s="256" t="str">
        <x:v>Decisión de planificación aprobada. La disposición a pagar y la demanda a este precio requieren validación comercial.</x:v>
      </x:c>
    </x:row>
    <x:row r="16" ht="72" customHeight="1">
      <x:c r="A16" s="155" t="str">
        <x:v>Precio recambio</x:v>
      </x:c>
      <x:c r="B16" s="255" t="n">
        <x:v>25</x:v>
      </x:c>
      <x:c r="C16" s="256" t="str">
        <x:v>Precio de venta previsto de un parche de recambio: USD 25. No es su costo de fabricación.</x:v>
      </x:c>
      <x:c r="D16" s="256" t="str">
        <x:v>F1: Flujo de caja C99. Supuesto comercial interno sin estudio de disposición a pagar adjunto.</x:v>
      </x:c>
    </x:row>
    <x:row r="17" ht="72" customHeight="1">
      <x:c r="A17" s="155" t="str">
        <x:v>Retención mensual</x:v>
      </x:c>
      <x:c r="B17" s="257" t="n">
        <x:v>0.95</x:v>
      </x:c>
      <x:c r="C17" s="256" t="str">
        <x:v>Se conserva cada mes el 95% de los clientes activos del mes anterior; equivale a 5% de baja mensual, antes de nuevas altas.</x:v>
      </x:c>
      <x:c r="D17" s="256" t="str">
        <x:v>F1: Flujo de caja C101. Hipótesis comercial, no tasa observada en usuarios del producto.</x:v>
      </x:c>
    </x:row>
    <x:row r="18" ht="72" customHeight="1">
      <x:c r="A18" s="155" t="str">
        <x:v>Recambios mensuales</x:v>
      </x:c>
      <x:c r="B18" s="255" t="n">
        <x:v>4</x:v>
      </x:c>
      <x:c r="C18" s="256" t="str">
        <x:v>Cuatro recambios por cliente/mes: aproximación de cuatro semanas. En el alta se descuentan dos parches incluidos en el kit.</x:v>
      </x:c>
      <x:c r="D18" s="256" t="str">
        <x:v>F1: Flujo de caja C100 y contenido del kit. Simplificación del consumo, no calendario exacto de meses.</x:v>
      </x:c>
    </x:row>
    <x:row r="19" ht="72" customHeight="1">
      <x:c r="A19" s="155" t="str">
        <x:v>Lector material</x:v>
      </x:c>
      <x:c r="B19" s="258" t="n">
        <x:f>SUMIF(Componentes!$A$2:$A$35,"Lector materiales",Componentes!$F$2:$F$35)</x:f>
        <x:v>55.3</x:v>
      </x:c>
      <x:c r="C19" s="256" t="str">
        <x:v>Suma de materiales y procesos de un lector en Componentes, filas 2–11. Cada kit contiene dos lectores.</x:v>
      </x:c>
      <x:c r="D19" s="256" t="str">
        <x:v>Componentes: cantidades × importes asignados. Referencias técnicas F3–F5; los importes no son cotizaciones confirmadas.</x:v>
      </x:c>
    </x:row>
    <x:row r="20" ht="72" customHeight="1">
      <x:c r="A20" s="155" t="str">
        <x:v>Lector terminación</x:v>
      </x:c>
      <x:c r="B20" s="258" t="n">
        <x:f>SUMIF(Componentes!$A$2:$A$35,"Lector trabajo",Componentes!$F$2:$F$35)</x:f>
        <x:v>6.08</x:v>
      </x:c>
      <x:c r="C20" s="256" t="str">
        <x:v>(10 + 4 + 8 + 3) min / 60 × USD 14,5833/h = USD 6,08 redondeados por lector.</x:v>
      </x:c>
      <x:c r="D20" s="256" t="str">
        <x:v>F1: Flujo de caja G66:G71. Tiempos internos de armado, programación, prueba y registro; tarifa en esta hoja B44.</x:v>
      </x:c>
    </x:row>
    <x:row r="21" ht="72" customHeight="1">
      <x:c r="A21" s="155" t="str">
        <x:v>Pulsera material</x:v>
      </x:c>
      <x:c r="B21" s="258" t="n">
        <x:f>SUMIF(Componentes!$A$2:$A$35,"Pulsera materiales",Componentes!$F$2:$F$35)</x:f>
        <x:v>33.65</x:v>
      </x:c>
      <x:c r="C21" s="256" t="str">
        <x:v>Suma de materiales y procesos de una pulsera en Componentes, filas 13–23.</x:v>
      </x:c>
      <x:c r="D21" s="256" t="str">
        <x:v>Componentes: cantidades × importes asignados. Referencias técnicas F3, F6–F8; falta confirmar precios.</x:v>
      </x:c>
    </x:row>
    <x:row r="22" ht="72" customHeight="1">
      <x:c r="A22" s="155" t="str">
        <x:v>Pulsera terminación</x:v>
      </x:c>
      <x:c r="B22" s="258" t="n">
        <x:f>SUMIF(Componentes!$A$2:$A$35,"Pulsera trabajo",Componentes!$F$2:$F$35)</x:f>
        <x:v>5.1</x:v>
      </x:c>
      <x:c r="C22" s="256" t="str">
        <x:v>(8 + 4 + 6 + 3) min / 60 × USD 14,5833/h = USD 5,10 redondeados por pulsera.</x:v>
      </x:c>
      <x:c r="D22" s="256" t="str">
        <x:v>F1: Flujo de caja G73:G78. Estimaciones internas; el tiempo real se medirá en el lote piloto.</x:v>
      </x:c>
    </x:row>
    <x:row r="23" ht="72" customHeight="1">
      <x:c r="A23" s="155" t="str">
        <x:v>Parche material</x:v>
      </x:c>
      <x:c r="B23" s="258" t="n">
        <x:f>SUMIF(Componentes!$A$2:$A$35,"Parche materiales",Componentes!$F$2:$F$35)</x:f>
        <x:v>7.250000000000001</x:v>
      </x:c>
      <x:c r="C23" s="256" t="str">
        <x:v>USD 0,60 soporte + 1,55 reactivos + 3,50 electrodos + 0,90 MIP + 0,40 adhesivo + 0,30 sobre = 7,25 por parche.</x:v>
      </x:c>
      <x:c r="D23" s="256" t="str">
        <x:v>Componentes, filas 25–30. Asignaciones internas por consumible; faltan cotizaciones y rendimiento real por lote.</x:v>
      </x:c>
    </x:row>
    <x:row r="24" ht="72" customHeight="1">
      <x:c r="A24" s="155" t="str">
        <x:v>Parche preparación</x:v>
      </x:c>
      <x:c r="B24" s="258" t="n">
        <x:f>SUMIF(Componentes!$A$2:$A$35,"Parche trabajo",Componentes!$F$2:$F$35)</x:f>
        <x:v>4.08</x:v>
      </x:c>
      <x:c r="C24" s="256" t="str">
        <x:v>Base previa: 20 h por 100 parches × USD 20,4167/h = USD 4,08 por parche, redondeados. A la tarifa técnica actual equivale a 16,79 min; no es tiempo medido.</x:v>
      </x:c>
      <x:c r="D24" s="256" t="str">
        <x:v>F1: Flujo de caja G80:G82 y C79. Se conserva el importe; las 20 h por lote y la tarifa de ingeniería eran supuestos internos. Validar con lote piloto.</x:v>
      </x:c>
    </x:row>
    <x:row r="25" ht="72" customHeight="1">
      <x:c r="A25" s="155" t="str">
        <x:v>Caja y accesorios</x:v>
      </x:c>
      <x:c r="B25" s="258" t="n">
        <x:f>SUMIF(Componentes!$A$2:$A$35,"Accesorios",Componentes!$F$2:$F$35)</x:f>
        <x:v>10.4</x:v>
      </x:c>
      <x:c r="C25" s="256" t="str">
        <x:v>USD 5 fuente de un puerto + 2 cables × 1,50 + 1,80 empaque + 0,60 guía/etiquetas = 10,40 por kit.</x:v>
      </x:c>
      <x:c r="D25" s="256" t="str">
        <x:v>Componentes, filas 32–35. Asignaciones internas; fuente terminada y cables a cotizar.</x:v>
      </x:c>
    </x:row>
    <x:row r="26" ht="72" customHeight="1">
      <x:c r="A26" s="155" t="str">
        <x:v>Flete</x:v>
      </x:c>
      <x:c r="B26" s="255" t="n">
        <x:v>16</x:v>
      </x:c>
      <x:c r="C26" s="256" t="str">
        <x:v>USD 16 por kit para transporte internacional. Asignación revisada para el kit ampliado; no se calculó con peso y tarifa de un transportista.</x:v>
      </x:c>
      <x:c r="D26" s="256" t="str">
        <x:v>Estimación interna del plan actual. Requiere cotizar peso, volumen, ruta y tamaño de envío.</x:v>
      </x:c>
    </x:row>
    <x:row r="27" ht="72" customHeight="1">
      <x:c r="A27" s="155" t="str">
        <x:v>Seguro</x:v>
      </x:c>
      <x:c r="B27" s="255" t="n">
        <x:v>1.5</x:v>
      </x:c>
      <x:c r="C27" s="256" t="str">
        <x:v>USD 1,50 de seguro por kit. Asignación presupuestaria, sin póliza ni tasa de aseguradora confirmadas.</x:v>
      </x:c>
      <x:c r="D27" s="256" t="str">
        <x:v>Estimación interna del plan actual. Requiere cotización sobre el valor y las condiciones del envío.</x:v>
      </x:c>
    </x:row>
    <x:row r="28" ht="72" customHeight="1">
      <x:c r="A28" s="155" t="str">
        <x:v>Importación CIF</x:v>
      </x:c>
      <x:c r="B28" s="257" t="n">
        <x:v>0.45</x:v>
      </x:c>
      <x:c r="C28" s="256" t="str">
        <x:v>Se aplica 45% al valor CIF (mercadería importada + flete + seguro) como previsión simplificada de desembolso.</x:v>
      </x:c>
      <x:c r="D28" s="256" t="str">
        <x:v>F1: Flujo de caja L74. Hipótesis académica; no es una alícuota legal única. Verificar clasificación y tributos de la operación real.</x:v>
      </x:c>
    </x:row>
    <x:row r="29" ht="72" customHeight="1">
      <x:c r="A29" s="155" t="str">
        <x:v>Despacho/traslado/recepción</x:v>
      </x:c>
      <x:c r="B29" s="255" t="n">
        <x:v>11</x:v>
      </x:c>
      <x:c r="C29" s="256" t="str">
        <x:v>USD 6 de gestión/despacho + 3 de traslado local + 2 de recepción e inventario = 11 por kit.</x:v>
      </x:c>
      <x:c r="D29" s="256" t="str">
        <x:v>F1: Flujo de caja L75:L77. Estimaciones unitarias internas, sin cotización adjunta.</x:v>
      </x:c>
    </x:row>
    <x:row r="30" ht="72" customHeight="1">
      <x:c r="A30" s="155" t="str">
        <x:v>Almacenamiento lote</x:v>
      </x:c>
      <x:c r="B30" s="255" t="n">
        <x:v>300</x:v>
      </x:c>
      <x:c r="C30" s="256" t="str">
        <x:v>USD 300 para almacenar el lote inicial de 100 kits útiles; equivale a USD 3 por kit en ese lote.</x:v>
      </x:c>
      <x:c r="D30" s="256" t="str">
        <x:v>F1: Flujo de caja C68 y C65. Reserva por lote; falta definir duración y tarifa del depósito.</x:v>
      </x:c>
    </x:row>
    <x:row r="31" ht="72" customHeight="1">
      <x:c r="A31" s="155" t="str">
        <x:v>Logística recambio</x:v>
      </x:c>
      <x:c r="B31" s="255" t="n">
        <x:v>3</x:v>
      </x:c>
      <x:c r="C31" s="256" t="str">
        <x:v>USD 3 por parche de recambio para entrega e insumos logísticos; se suma al costo de fabricación.</x:v>
      </x:c>
      <x:c r="D31" s="256" t="str">
        <x:v>F1: Flujo de caja C70. Asignación interna sin tarifa de operador logístico adjunta.</x:v>
      </x:c>
    </x:row>
    <x:row r="32" ht="72" customHeight="1">
      <x:c r="A32" s="155" t="str">
        <x:v>Comisión ventas</x:v>
      </x:c>
      <x:c r="B32" s="257" t="n">
        <x:v>0.08</x:v>
      </x:c>
      <x:c r="C32" s="256" t="str">
        <x:v>8% de los cobros por kits y recambios para comercialización, soporte institucional y cobranza.</x:v>
      </x:c>
      <x:c r="D32" s="256" t="str">
        <x:v>F1: Flujo de caja C91. Hipótesis de costo de canal; no remunera decisiones ni derivaciones clínicas.</x:v>
      </x:c>
    </x:row>
    <x:row r="33" ht="72" customHeight="1">
      <x:c r="A33" s="155" t="str">
        <x:v>Descuento anual</x:v>
      </x:c>
      <x:c r="B33" s="257" t="n">
        <x:v>0.2</x:v>
      </x:c>
      <x:c r="C33" s="256" t="str">
        <x:v>20% anual para evaluar el VAN. Tasa mensual equivalente: (1 + 0,20)^(1/12) − 1.</x:v>
      </x:c>
      <x:c r="D33" s="256" t="str">
        <x:v>F1: Flujo de caja C96. Tasa de evaluación elegida; no es una tasa de mercado ni un costo de capital estimado.</x:v>
      </x:c>
    </x:row>
    <x:row r="34" ht="72" customHeight="1">
      <x:c r="A34" s="155" t="str">
        <x:v>Ventas año comercial 1</x:v>
      </x:c>
      <x:c r="B34" s="258" t="n">
        <x:f>'Plan comercial'!C24</x:f>
        <x:v>300</x:v>
      </x:c>
      <x:c r="C34" s="256" t="str">
        <x:v>Aliados × pacientes alcanzables por aliado × adopción, redondeado. Base: 25 × 40 × 30% = 300 kits en el primer año comercial.</x:v>
      </x:c>
      <x:c r="D34" s="256" t="str">
        <x:v>Plan comercial C7, C13, C19 y C24. Parámetros internos de escenario, pendientes de entrevistas y acuerdos.</x:v>
      </x:c>
    </x:row>
    <x:row r="35" ht="72" customHeight="1">
      <x:c r="A35" s="155" t="str">
        <x:v>Ventas año comercial 2</x:v>
      </x:c>
      <x:c r="B35" s="258" t="n">
        <x:f>'Plan comercial'!D24</x:f>
        <x:v>800</x:v>
      </x:c>
      <x:c r="C35" s="256" t="str">
        <x:v>Misma cuenta para el segundo año comercial. Base: 50 × 50 × 32% = 800 kits.</x:v>
      </x:c>
      <x:c r="D35" s="256" t="str">
        <x:v>Plan comercial D7, D13, D19 y D24. El valor cambia con el selector de escenario.</x:v>
      </x:c>
    </x:row>
    <x:row r="36" ht="72" customHeight="1">
      <x:c r="A36" s="155" t="str">
        <x:v>Ventas año comercial 3</x:v>
      </x:c>
      <x:c r="B36" s="258" t="n">
        <x:f>'Plan comercial'!E24</x:f>
        <x:v>1680</x:v>
      </x:c>
      <x:c r="C36" s="256" t="str">
        <x:v>Misma cuenta para el tercer año comercial. Base: 80 × 60 × 35% = 1.680 kits.</x:v>
      </x:c>
      <x:c r="D36" s="256" t="str">
        <x:v>Plan comercial E7, E13, E19 y E24. Hipótesis de adopción, no ventas comprometidas.</x:v>
      </x:c>
    </x:row>
    <x:row r="37" ht="72" customHeight="1">
      <x:c r="A37" s="155" t="str">
        <x:v>Demos año comercial 1</x:v>
      </x:c>
      <x:c r="B37" s="258" t="n">
        <x:f>'Plan comercial'!C62</x:f>
        <x:v>7</x:v>
      </x:c>
      <x:c r="C37" s="256" t="str">
        <x:v>Un kit demostrador por clínica aliada. Base del primer año comercial: 7 clínicas, 7 kits.</x:v>
      </x:c>
      <x:c r="D37" s="256" t="str">
        <x:v>Plan comercial C55 y C62. Hipótesis interna de demostración.</x:v>
      </x:c>
    </x:row>
    <x:row r="38" ht="72" customHeight="1">
      <x:c r="A38" s="155" t="str">
        <x:v>Demos año comercial 2</x:v>
      </x:c>
      <x:c r="B38" s="258" t="n">
        <x:f>'Plan comercial'!D62</x:f>
        <x:v>15</x:v>
      </x:c>
      <x:c r="C38" s="256" t="str">
        <x:v>Un kit demostrador por clínica aliada. Base del segundo año comercial: 15 clínicas, 15 kits.</x:v>
      </x:c>
      <x:c r="D38" s="256" t="str">
        <x:v>Plan comercial D55 y D62. Hipótesis interna de demostración.</x:v>
      </x:c>
    </x:row>
    <x:row r="39" ht="72" customHeight="1">
      <x:c r="A39" s="155" t="str">
        <x:v>Demos año comercial 3</x:v>
      </x:c>
      <x:c r="B39" s="258" t="n">
        <x:f>'Plan comercial'!E62</x:f>
        <x:v>24</x:v>
      </x:c>
      <x:c r="C39" s="256" t="str">
        <x:v>Un kit demostrador por clínica aliada. Base del tercer año comercial: 24 clínicas, 24 kits.</x:v>
      </x:c>
      <x:c r="D39" s="256" t="str">
        <x:v>Plan comercial E55 y E62. Hipótesis interna de demostración.</x:v>
      </x:c>
    </x:row>
    <x:row r="40" ht="72" customHeight="1">
      <x:c r="A40" s="155" t="str">
        <x:v>Incorporación y capacitación año comercial 1</x:v>
      </x:c>
      <x:c r="B40" s="258" t="n">
        <x:f>'Plan comercial'!C65</x:f>
        <x:v>3450</x:v>
      </x:c>
      <x:c r="C40" s="256" t="str">
        <x:v>Médicos × USD 75 + clínicas × USD 300 para incorporación y capacitación. Base: 18 × 75 + 7 × 300 = USD 3.450.</x:v>
      </x:c>
      <x:c r="D40" s="256" t="str">
        <x:v>Plan comercial C54:C65 y B63:B64. Tarifas internas por aliado, sin contratación confirmada.</x:v>
      </x:c>
    </x:row>
    <x:row r="41" ht="72" customHeight="1">
      <x:c r="A41" s="155" t="str">
        <x:v>Incorporación y capacitación año comercial 2</x:v>
      </x:c>
      <x:c r="B41" s="258" t="n">
        <x:f>'Plan comercial'!D65</x:f>
        <x:v>7125</x:v>
      </x:c>
      <x:c r="C41" s="256" t="str">
        <x:v>Mismo cálculo en el segundo año comercial. Base: 35 × 75 + 15 × 300 = USD 7.125.</x:v>
      </x:c>
      <x:c r="D41" s="256" t="str">
        <x:v>Plan comercial D54:D65 y B63:B64. Tarifas internas por aliado.</x:v>
      </x:c>
    </x:row>
    <x:row r="42" ht="72" customHeight="1">
      <x:c r="A42" s="155" t="str">
        <x:v>Incorporación y capacitación año comercial 3</x:v>
      </x:c>
      <x:c r="B42" s="258" t="n">
        <x:f>'Plan comercial'!E65</x:f>
        <x:v>11400</x:v>
      </x:c>
      <x:c r="C42" s="256" t="str">
        <x:v>Mismo cálculo en el tercer año comercial. Base: 56 × 75 + 24 × 300 = USD 11.400.</x:v>
      </x:c>
      <x:c r="D42" s="256" t="str">
        <x:v>Plan comercial E54:E65 y B63:B64. Tarifas internas por aliado.</x:v>
      </x:c>
    </x:row>
    <x:row r="43" ht="72" customHeight="1">
      <x:c r="A43" s="155" t="str">
        <x:v>Soporte h/100 clientes/mes</x:v>
      </x:c>
      <x:c r="B43" s="255" t="n">
        <x:v>40</x:v>
      </x:c>
      <x:c r="C43" s="256" t="str">
        <x:v>40 horas por cada 100 clientes activos al mes: 0,4 h (24 min) por cliente/mes.</x:v>
      </x:c>
      <x:c r="D43" s="256" t="str">
        <x:v>F1: Flujo de caja C94. Hipótesis de carga de soporte; no proviene de mediciones de atención.</x:v>
      </x:c>
    </x:row>
    <x:row r="44" ht="72" customHeight="1">
      <x:c r="A44" s="155" t="str">
        <x:v>Tarifa soporte</x:v>
      </x:c>
      <x:c r="B44" s="255" t="n">
        <x:v>14.5833333333</x:v>
      </x:c>
      <x:c r="C44" s="256" t="str">
        <x:v>ARS 2.500.000 × 1,40 / 1.500 ARS/USD / 160 h = USD 14,5833/h.</x:v>
      </x:c>
      <x:c r="D44" s="256" t="str">
        <x:v>F1: Flujo de caja C72 y C76:C80. Misma tarifa técnica presupuestaria para soporte y terminación; validar al contratar.</x:v>
      </x:c>
    </x:row>
    <x:row r="45" ht="72" customHeight="1">
      <x:c r="A45" s="155" t="str">
        <x:v>Comercial mensual año 1</x:v>
      </x:c>
      <x:c r="B45" s="258" t="n">
        <x:f>'Plan comercial'!C28*$B$52</x:f>
        <x:v>2500</x:v>
      </x:c>
      <x:c r="C45" s="256" t="str">
        <x:v>Puestos comerciales activos × USD 2.500 por puesto/mes. Base: 1 × 2.500 = 2.500.</x:v>
      </x:c>
      <x:c r="D45" s="256" t="str">
        <x:v>Plan comercial C28 × B52 de esta hoja. Costo por puesto estimado, sin oferta laboral adjunta.</x:v>
      </x:c>
    </x:row>
    <x:row r="46" ht="72" customHeight="1">
      <x:c r="A46" s="155" t="str">
        <x:v>Comercial mensual año 2</x:v>
      </x:c>
      <x:c r="B46" s="258" t="n">
        <x:f>'Plan comercial'!D28*$B$52</x:f>
        <x:v>5000</x:v>
      </x:c>
      <x:c r="C46" s="256" t="str">
        <x:v>Mismo cálculo para el segundo año comercial. Base: 2 × 2.500 = USD 5.000/mes.</x:v>
      </x:c>
      <x:c r="D46" s="256" t="str">
        <x:v>Plan comercial D28 × B52 de esta hoja.</x:v>
      </x:c>
    </x:row>
    <x:row r="47" ht="72" customHeight="1">
      <x:c r="A47" s="155" t="str">
        <x:v>Comercial mensual año 3</x:v>
      </x:c>
      <x:c r="B47" s="258" t="n">
        <x:f>'Plan comercial'!E28*$B$52</x:f>
        <x:v>7500</x:v>
      </x:c>
      <x:c r="C47" s="256" t="str">
        <x:v>Mismo cálculo para el tercer año comercial. Base: 3 × 2.500 = USD 7.500/mes.</x:v>
      </x:c>
      <x:c r="D47" s="256" t="str">
        <x:v>Plan comercial E28 × B52 de esta hoja.</x:v>
      </x:c>
    </x:row>
    <x:row r="48" ht="72" customHeight="1">
      <x:c r="A48" s="155" t="str">
        <x:v>Difusión mensual año 1</x:v>
      </x:c>
      <x:c r="B48" s="258" t="n">
        <x:f>'Plan comercial'!C34</x:f>
        <x:v>2000</x:v>
      </x:c>
      <x:c r="C48" s="256" t="str">
        <x:v>Presupuesto mensual de difusión del escenario activo. Base del primer año comercial: USD 2.000.</x:v>
      </x:c>
      <x:c r="D48" s="256" t="str">
        <x:v>Plan comercial C34:C37. Asignación interna de publicidad y canales; no deriva de un costo por adquisición medido.</x:v>
      </x:c>
    </x:row>
    <x:row r="49" ht="72" customHeight="1">
      <x:c r="A49" s="155" t="str">
        <x:v>Difusión mensual año 2</x:v>
      </x:c>
      <x:c r="B49" s="258" t="n">
        <x:f>'Plan comercial'!D34</x:f>
        <x:v>3500</x:v>
      </x:c>
      <x:c r="C49" s="256" t="str">
        <x:v>Presupuesto mensual de difusión del escenario activo. Base del segundo año comercial: USD 3.500.</x:v>
      </x:c>
      <x:c r="D49" s="256" t="str">
        <x:v>Plan comercial D34:D37. Asignación interna por escenario.</x:v>
      </x:c>
    </x:row>
    <x:row r="50" ht="72" customHeight="1">
      <x:c r="A50" s="155" t="str">
        <x:v>Difusión mensual año 3</x:v>
      </x:c>
      <x:c r="B50" s="258" t="n">
        <x:f>'Plan comercial'!E34</x:f>
        <x:v>5000</x:v>
      </x:c>
      <x:c r="C50" s="256" t="str">
        <x:v>Presupuesto mensual de difusión del escenario activo. Base del tercer año comercial: USD 5.000.</x:v>
      </x:c>
      <x:c r="D50" s="256" t="str">
        <x:v>Plan comercial E34:E37. Asignación interna por escenario.</x:v>
      </x:c>
    </x:row>
    <x:row r="51" ht="72" customHeight="1">
      <x:c r="A51" s="155" t="str">
        <x:v>Lote inicial comercial</x:v>
      </x:c>
      <x:c r="B51" s="255" t="n">
        <x:v>100</x:v>
      </x:c>
      <x:c r="C51" s="256" t="str">
        <x:v>100 kits aprobados por QA para lanzamiento. Con 10% de merma: redondear hacia arriba 100/0,90 = 112 kits brutos.</x:v>
      </x:c>
      <x:c r="D51" s="256" t="str">
        <x:v>Decisión de tamaño de lote. Materiales M16, importación M17 y liberación de stock M18; ventas sujetas a autorización.</x:v>
      </x:c>
    </x:row>
    <x:row r="52" ht="72" customHeight="1">
      <x:c r="A52" s="155" t="str">
        <x:v>Costo mensual comercial por FTE</x:v>
      </x:c>
      <x:c r="B52" s="255" t="n">
        <x:v>2500</x:v>
      </x:c>
      <x:c r="C52" s="256" t="str">
        <x:v>USD 2.500 por puesto comercial a tiempo completo y mes; se multiplica por la dotación del escenario.</x:v>
      </x:c>
      <x:c r="D52" s="256" t="str">
        <x:v>F1: Flujo de caja C92. Costo presupuestario global, sin desglose salarial/cargas ni cotización adjunta.</x:v>
      </x:c>
    </x:row>
    <x:row r="53" ht="72" customHeight="1">
      <x:c r="A53" s="155" t="str">
        <x:v>Kits completos de ensayo previstos</x:v>
      </x:c>
      <x:c r="B53" s="255" t="n">
        <x:v>10</x:v>
      </x:c>
      <x:c r="C53" s="256" t="str">
        <x:v>Diez kits útiles de ingeniería y ensayos. Con merma del 10% se presupuestan doce kits brutos dentro de prototipos.</x:v>
      </x:c>
      <x:c r="D53" s="256" t="str">
        <x:v>Decisión de planificación. No determina la cantidad de participantes del estudio clínico.</x:v>
      </x:c>
    </x:row>
    <x:row r="54" ht="72" customHeight="1">
      <x:c r="A54" s="155" t="str">
        <x:v>Capacidad mensual por persona h</x:v>
      </x:c>
      <x:c r="B54" s="255" t="n">
        <x:v>160</x:v>
      </x:c>
      <x:c r="C54" s="256" t="str">
        <x:v>160 h por persona y mes. Cuatro personas × 18 meses × 160 h = 11.520 h de capacidad bruta.</x:v>
      </x:c>
      <x:c r="D54" s="256" t="str">
        <x:v>F1: Flujo de caja C76 y plan actual de 18 meses. Convención presupuestaria; las horas no generan otro pago de salarios.</x:v>
      </x:c>
    </x:row>
    <x:row r="56">
      <x:c r="A56" s="259" t="str">
        <x:v>Fuentes y alcance de las estimaciones</x:v>
      </x:c>
    </x:row>
    <x:row r="57">
      <x:c r="A57" s="150" t="str">
        <x:v>Ref.</x:v>
      </x:c>
      <x:c r="B57" s="150" t="str">
        <x:v>Documento / entidad</x:v>
      </x:c>
      <x:c r="C57" s="150" t="str">
        <x:v>Qué respalda</x:v>
      </x:c>
      <x:c r="D57" s="150" t="str">
        <x:v>Ubicación o enlace</x:v>
      </x:c>
    </x:row>
    <x:row r="58" ht="95" customHeight="1">
      <x:c r="A58" s="256" t="str">
        <x:v>F1</x:v>
      </x:c>
      <x:c r="B58" s="256" t="str">
        <x:v>Presupuesto previo del proyecto</x:v>
      </x:c>
      <x:c r="C58" s="256" t="str">
        <x:v>Permite reconstruir los valores heredados y sus cuentas. Sus importes no equivalen a cotizaciones externas. Las celdas de origen se indican arriba.</x:v>
      </x:c>
      <x:c r="D58" s="256" t="str">
        <x:v>Flujo-de-caja-agrupado-VAN-TIR-corregido.xlsm; hojas Flujo de caja y Plan comercial. Las cuentas necesarias están transcritas en esta hoja.</x:v>
      </x:c>
    </x:row>
    <x:row r="59" ht="95" customHeight="1">
      <x:c r="A59" s="256" t="str">
        <x:v>F2</x:v>
      </x:c>
      <x:c r="B59" s="256" t="str">
        <x:v>CESSI / OPSSI, julio de 2026, pág. 17</x:v>
      </x:c>
      <x:c r="C59" s="256" t="str">
        <x:v>Referencia sectorial: salario bruto promedio del software de ARS 3.738.000 a marzo de 2026. No fija los salarios de estos perfiles, el factor 1,40 ni el cambio 1.500. Consulta: 30/10/2026.</x:v>
      </x:c>
      <x:c r="D59" s="260" t="str">
        <x:v>https://cessi.org.ar/wp-content/uploads/2026/07/OPSSI-Reporte-Industria-Software-1er.-trim.-2026.pdf</x:v>
      </x:c>
    </x:row>
    <x:row r="60" ht="95" customHeight="1">
      <x:c r="A60" s="256" t="str">
        <x:v>F3</x:v>
      </x:c>
      <x:c r="B60" s="256" t="str">
        <x:v>Espressif, ESP32-C3-MINI-1</x:v>
      </x:c>
      <x:c r="C60" s="256" t="str">
        <x:v>Ficha técnica del módulo candidato. Respalda la identificación del componente, no el precio asignado. Consulta: 30/10/2026.</x:v>
      </x:c>
      <x:c r="D60" s="260" t="str">
        <x:v>https://www.espressif.com/sites/default/files/documentation/esp32-c3-mini-1_datasheet_en.pdf</x:v>
      </x:c>
    </x:row>
    <x:row r="61" ht="95" customHeight="1">
      <x:c r="A61" s="256" t="str">
        <x:v>F4</x:v>
      </x:c>
      <x:c r="B61" s="256" t="str">
        <x:v>ams OSRAM, AS7341</x:v>
      </x:c>
      <x:c r="C61" s="256" t="str">
        <x:v>Ficha técnica del sensor óptico candidato. No valida el costo presupuestado del conjunto del lector. Consulta: 30/10/2026.</x:v>
      </x:c>
      <x:c r="D61" s="260" t="str">
        <x:v>https://ams-osram.com/products/sensor-solutions/ambient-light-color-spectral-proximity-sensors/ams-as7341-11-channel-spectral-color-sensor</x:v>
      </x:c>
    </x:row>
    <x:row r="62" ht="95" customHeight="1">
      <x:c r="A62" s="256" t="str">
        <x:v>F5</x:v>
      </x:c>
      <x:c r="B62" s="256" t="str">
        <x:v>Analog Devices, AD5941</x:v>
      </x:c>
      <x:c r="C62" s="256" t="str">
        <x:v>Ficha técnica del frente electroquímico. Su precio individual de catálogo no cotiza el conjunto completo del lector. Consulta: 30/10/2026.</x:v>
      </x:c>
      <x:c r="D62" s="260" t="str">
        <x:v>https://www.analog.com/en/products/ad5941.html</x:v>
      </x:c>
    </x:row>
    <x:row r="63" ht="95" customHeight="1">
      <x:c r="A63" s="256" t="str">
        <x:v>F6</x:v>
      </x:c>
      <x:c r="B63" s="256" t="str">
        <x:v>Analog Devices, MAX30101</x:v>
      </x:c>
      <x:c r="C63" s="256" t="str">
        <x:v>Ficha técnica del sensor PPG. No valida la asignación total de USD 7,05 para tres sensores; ese conjunto requiere cotización. Consulta: 30/10/2026.</x:v>
      </x:c>
      <x:c r="D63" s="260" t="str">
        <x:v>https://www.analog.com/en/products/max30101.html</x:v>
      </x:c>
    </x:row>
    <x:row r="64" ht="95" customHeight="1">
      <x:c r="A64" s="256" t="str">
        <x:v>F7</x:v>
      </x:c>
      <x:c r="B64" s="256" t="str">
        <x:v>STMicroelectronics, LSM6DS3TR-C</x:v>
      </x:c>
      <x:c r="C64" s="256" t="str">
        <x:v>Ficha técnica de la IMU candidata. Respaldo técnico, sin cotización aplicada al modelo. Consulta: 30/10/2026.</x:v>
      </x:c>
      <x:c r="D64" s="260" t="str">
        <x:v>https://www.st.com/en/mems-and-sensors/lsm6ds3tr-c.html</x:v>
      </x:c>
    </x:row>
    <x:row r="65" ht="95" customHeight="1">
      <x:c r="A65" s="256" t="str">
        <x:v>F8</x:v>
      </x:c>
      <x:c r="B65" s="256" t="str">
        <x:v>Texas Instruments, TMP117</x:v>
      </x:c>
      <x:c r="C65" s="256" t="str">
        <x:v>Ficha técnica del sensor de temperatura candidato. Respaldo técnico, sin cotización aplicada al modelo. Consulta: 30/10/2026.</x:v>
      </x:c>
      <x:c r="D65" s="260" t="str">
        <x:v>https://www.ti.com/product/TMP117</x:v>
      </x:c>
    </x:row>
    <x:row r="66" ht="95" customHeight="1">
      <x:c r="A66" s="256" t="str">
        <x:v>Criterio</x:v>
      </x:c>
      <x:c r="B66" s="256" t="str">
        <x:v>Estimaciones internas</x:v>
      </x:c>
      <x:c r="C66" s="256" t="str">
        <x:v>Donde no hay cotización, se mantiene una asignación presupuestaria explícita. No se reconstruyen horas, cantidades o precios inexistentes para justificar un total.</x:v>
      </x:c>
      <x:c r="D66" s="256" t="str">
        <x:v>Bioquímica, QA, evaluación clínica, ensayos, nube, logística y varios componentes deben ajustarse con presupuestos de proveedores.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18" hidden="0" customWidth="1"/>
    <x:col min="4" max="4" width="66" hidden="0" customWidth="1"/>
  </x:cols>
  <x:sheetData>
    <x:row r="1" ht="34" customHeight="1">
      <x:c r="A1" s="252" t="str">
        <x:v>Título</x:v>
      </x:c>
      <x:c r="B1" s="252" t="str">
        <x:v>Descripción</x:v>
      </x:c>
      <x:c r="C1" s="252" t="str">
        <x:v>Horas estimadas</x:v>
      </x:c>
      <x:c r="D1" s="252" t="str">
        <x:v>Fechas previstas</x:v>
      </x:c>
    </x:row>
    <x:row r="2" ht="60" customHeight="1">
      <x:c r="A2" s="203" t="str">
        <x:v>Sensado</x:v>
      </x:c>
      <x:c r="B2" s="203" t="str">
        <x:v>Construir los tres componentes de adquisición del producto.</x:v>
      </x:c>
      <x:c r="C2" s="207" t="n">
        <x:f>SUMIF(Features!$D$2:$D$13,A2,Features!$C$2:$C$13)</x:f>
        <x:v>1431.35</x:v>
      </x:c>
      <x:c r="D2" s="203" t="str">
        <x:v>M7: prototipo; M12: MVP; M19: lanzamiento condicionado</x:v>
      </x:c>
    </x:row>
    <x:row r="3" ht="60" customHeight="1">
      <x:c r="A3" s="203" t="str">
        <x:v>Datos y experiencia de uso</x:v>
      </x:c>
      <x:c r="B3" s="203" t="str">
        <x:v>Conectar el kit y presentar información accesible en app y pulsera.</x:v>
      </x:c>
      <x:c r="C3" s="207" t="n">
        <x:f>SUMIF(Features!$D$2:$D$13,A3,Features!$C$2:$C$13)</x:f>
        <x:v>1030.0900000000001</x:v>
      </x:c>
      <x:c r="D3" s="203" t="str">
        <x:v>M7: integración; M12: MVP; M19: lanzamiento condicionado</x:v>
      </x:c>
    </x:row>
    <x:row r="4" ht="60" customHeight="1">
      <x:c r="A4" s="203" t="str">
        <x:v>Uso cotidiano</x:v>
      </x:c>
      <x:c r="B4" s="203" t="str">
        <x:v>Asegurar recarga, autonomía y protección en las condiciones de uso.</x:v>
      </x:c>
      <x:c r="C4" s="207" t="n">
        <x:f>SUMIF(Features!$D$2:$D$13,A4,Features!$C$2:$C$13)</x:f>
        <x:v>275</x:v>
      </x:c>
      <x:c r="D4" s="203" t="str">
        <x:v>M8–M9: pruebas; M12: MVP; M19: lanzamiento condicionado</x:v>
      </x:c>
    </x:row>
    <x:row r="5" ht="60" customHeight="1">
      <x:c r="A5" s="203" t="str">
        <x:v>Integración y calidad</x:v>
      </x:c>
      <x:c r="B5" s="203" t="str">
        <x:v>Demostrar el conjunto y cerrar una versión técnica documentada.</x:v>
      </x:c>
      <x:c r="C5" s="207" t="n">
        <x:f>SUMIF(Features!$D$2:$D$13,A5,Features!$C$2:$C$13)</x:f>
        <x:v>1917.7099999999998</x:v>
      </x:c>
      <x:c r="D5" s="203" t="str">
        <x:v>M7: prototipo integrado; M12: MVP técnico</x:v>
      </x:c>
    </x:row>
    <x:row r="6" ht="60" customHeight="1">
      <x:c r="A6" s="203" t="str">
        <x:v>Lanzamiento</x:v>
      </x:c>
      <x:c r="B6" s="203" t="str">
        <x:v>Obtener autorizaciones y preparar lote, canales y soporte.</x:v>
      </x:c>
      <x:c r="C6" s="207" t="n">
        <x:f>SUMIF(Features!$D$2:$D$13,A6,Features!$C$2:$C$13)</x:f>
        <x:v>3668.8900000000003</x:v>
      </x:c>
      <x:c r="D6" s="203" t="str">
        <x:v>M18: cierre previsto; ventas desde M19 sujetas a aprobación</x:v>
      </x:c>
    </x:row>
    <x:row r="7" ht="60" customHeight="1">
      <x:c r="A7" s="203" t="str">
        <x:v>Gestión del proyecto</x:v>
      </x:c>
      <x:c r="B7" s="203" t="str">
        <x:v>Coordinar el equipo, suministros, presupuesto y revisiones.</x:v>
      </x:c>
      <x:c r="C7" s="207" t="n">
        <x:f>SUMIF(Features!$D$2:$D$13,A7,Features!$C$2:$C$13)</x:f>
        <x:v>533.36</x:v>
      </x:c>
      <x:c r="D7" s="203" t="str">
        <x:v>M1–M18: seguimiento por sprint y por hito</x:v>
      </x:c>
    </x:row>
    <x:row r="10" ht="40" customHeight="1">
      <x:c r="A10" s="147" t="str">
        <x:v>M indica mes desde el inicio del proyecto. Las fechas calendario se fijarán al acordar el inicio.</x:v>
      </x:c>
      <x:c r="B10" s="147"/>
      <x:c r="C10" s="147"/>
      <x:c r="D10" s="147"/>
    </x:row>
    <x:row r="12">
      <x:c r="A12" s="147" t="str">
        <x:v>Las horas se suman desde las tareas a historias, features y épicas. Son el mismo esfuerzo visto en distintos niveles; no se suman los niveles entre sí. Son estimaciones, no ejecución ya realizada.</x:v>
      </x:c>
      <x:c r="B12" s="147"/>
      <x:c r="C12" s="147"/>
      <x:c r="D12" s="147"/>
    </x:row>
    <x:row r="13">
      <x:c r="A13" s="147"/>
      <x:c r="B13" s="147"/>
      <x:c r="C13" s="147"/>
      <x:c r="D13" s="147"/>
    </x:row>
  </x:sheetData>
  <x:mergeCells>
    <x:mergeCell ref="A10:D10"/>
    <x:mergeCell ref="A12:D13"/>
  </x:mergeCells>
  <x:pageMargins left="0.7" right="0.7" top="0.75" bottom="0.75" header="0.3" footer="0.3"/>
  <x:tableParts count="1">
    <x:tablePart xmlns:r="http://schemas.openxmlformats.org/officeDocument/2006/relationships" r:id="Rd515bbd7b102461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18" hidden="0" customWidth="1"/>
    <x:col min="4" max="4" width="32" hidden="0" customWidth="1"/>
    <x:col min="5" max="5" width="40" hidden="0" customWidth="1"/>
    <x:col min="6" max="6" width="40" hidden="0" customWidth="1"/>
  </x:cols>
  <x:sheetData>
    <x:row r="1" ht="34" customHeight="1">
      <x:c r="A1" s="252" t="str">
        <x:v>Título</x:v>
      </x:c>
      <x:c r="B1" s="252" t="str">
        <x:v>Descripción</x:v>
      </x:c>
      <x:c r="C1" s="252" t="str">
        <x:v>Horas estimadas</x:v>
      </x:c>
      <x:c r="D1" s="252" t="str">
        <x:v>Épica parent</x:v>
      </x:c>
      <x:c r="E1" s="252" t="str">
        <x:v>Entrega prevista</x:v>
      </x:c>
      <x:c r="F1" s="252" t="str">
        <x:v>Lanzamiento previsto</x:v>
      </x:c>
    </x:row>
    <x:row r="2" ht="60" customHeight="1">
      <x:c r="A2" s="203" t="str">
        <x:v>Parche sensor</x:v>
      </x:c>
      <x:c r="B2" s="203" t="str">
        <x:v>Medir biomarcadores del sudor mediante un consumible de siete días.</x:v>
      </x:c>
      <x:c r="C2" s="207" t="n">
        <x:f>SUMIF('Historias de usuario'!$D$2:$D$43,A2,'Historias de usuario'!$C$2:$C$43)</x:f>
        <x:v>688.5</x:v>
      </x:c>
      <x:c r="D2" s="203" t="str">
        <x:v>Sensado</x:v>
      </x:c>
      <x:c r="E2" s="203" t="str">
        <x:v>M7: prototipo; M12: MVP</x:v>
      </x:c>
      <x:c r="F2" s="203" t="str">
        <x:v>M19, sujeto a autorizaciones</x:v>
      </x:c>
    </x:row>
    <x:row r="3" ht="60" customHeight="1">
      <x:c r="A3" s="203" t="str">
        <x:v>Lector de biomarcadores</x:v>
      </x:c>
      <x:c r="B3" s="203" t="str">
        <x:v>Adquirir y procesar las zonas ópticas y electroquímicas del parche.</x:v>
      </x:c>
      <x:c r="C3" s="207" t="n">
        <x:f>SUMIF('Historias de usuario'!$D$2:$D$43,A3,'Historias de usuario'!$C$2:$C$43)</x:f>
        <x:v>397.70000000000005</x:v>
      </x:c>
      <x:c r="D3" s="203" t="str">
        <x:v>Sensado</x:v>
      </x:c>
      <x:c r="E3" s="203" t="str">
        <x:v>M7: prototipo; M12: MVP</x:v>
      </x:c>
      <x:c r="F3" s="203" t="str">
        <x:v>M19, sujeto a autorizaciones</x:v>
      </x:c>
    </x:row>
    <x:row r="4" ht="60" customHeight="1">
      <x:c r="A4" s="203" t="str">
        <x:v>Señales de la pulsera</x:v>
      </x:c>
      <x:c r="B4" s="203" t="str">
        <x:v>Obtener frecuencia cardíaca, actividad y temperatura de piel.</x:v>
      </x:c>
      <x:c r="C4" s="207" t="n">
        <x:f>SUMIF('Historias de usuario'!$D$2:$D$43,A4,'Historias de usuario'!$C$2:$C$43)</x:f>
        <x:v>345.15</x:v>
      </x:c>
      <x:c r="D4" s="203" t="str">
        <x:v>Sensado</x:v>
      </x:c>
      <x:c r="E4" s="203" t="str">
        <x:v>M7: prototipo; M12: MVP</x:v>
      </x:c>
      <x:c r="F4" s="203" t="str">
        <x:v>M19, sujeto a autorizaciones</x:v>
      </x:c>
    </x:row>
    <x:row r="5" ht="60" customHeight="1">
      <x:c r="A5" s="203" t="str">
        <x:v>Comunicación e historial</x:v>
      </x:c>
      <x:c r="B5" s="203" t="str">
        <x:v>Vincular los dispositivos, sincronizar y recuperar registros.</x:v>
      </x:c>
      <x:c r="C5" s="207" t="n">
        <x:f>SUMIF('Historias de usuario'!$D$2:$D$43,A5,'Historias de usuario'!$C$2:$C$43)</x:f>
        <x:v>346.24</x:v>
      </x:c>
      <x:c r="D5" s="203" t="str">
        <x:v>Datos y experiencia de uso</x:v>
      </x:c>
      <x:c r="E5" s="203" t="str">
        <x:v>M7: prototipo; M12: MVP</x:v>
      </x:c>
      <x:c r="F5" s="203" t="str">
        <x:v>M19, sujeto a autorizaciones</x:v>
      </x:c>
    </x:row>
    <x:row r="6" ht="60" customHeight="1">
      <x:c r="A6" s="203" t="str">
        <x:v>Indicador portátil</x:v>
      </x:c>
      <x:c r="B6" s="203" t="str">
        <x:v>Consultar la última lectura y distinguir datos vencidos mediante LED y gesto.</x:v>
      </x:c>
      <x:c r="C6" s="207" t="n">
        <x:f>SUMIF('Historias de usuario'!$D$2:$D$43,A6,'Historias de usuario'!$C$2:$C$43)</x:f>
        <x:v>83.85</x:v>
      </x:c>
      <x:c r="D6" s="203" t="str">
        <x:v>Datos y experiencia de uso</x:v>
      </x:c>
      <x:c r="E6" s="203" t="str">
        <x:v>M7: prototipo; M12: MVP</x:v>
      </x:c>
      <x:c r="F6" s="203" t="str">
        <x:v>M19, sujeto a autorizaciones</x:v>
      </x:c>
    </x:row>
    <x:row r="7" ht="60" customHeight="1">
      <x:c r="A7" s="203" t="str">
        <x:v>Carga y protección</x:v>
      </x:c>
      <x:c r="B7" s="203" t="str">
        <x:v>Recargar por USB-C, alcanzar siete días de autonomía y proteger las envolventes.</x:v>
      </x:c>
      <x:c r="C7" s="207" t="n">
        <x:f>SUMIF('Historias de usuario'!$D$2:$D$43,A7,'Historias de usuario'!$C$2:$C$43)</x:f>
        <x:v>275</x:v>
      </x:c>
      <x:c r="D7" s="203" t="str">
        <x:v>Uso cotidiano</x:v>
      </x:c>
      <x:c r="E7" s="203" t="str">
        <x:v>M8–M9: pruebas; M12: MVP</x:v>
      </x:c>
      <x:c r="F7" s="203" t="str">
        <x:v>M19, sujeto a autorizaciones</x:v>
      </x:c>
    </x:row>
    <x:row r="8" ht="60" customHeight="1">
      <x:c r="A8" s="203" t="str">
        <x:v>Cuenta y activación</x:v>
      </x:c>
      <x:c r="B8" s="203" t="str">
        <x:v>Habilitar el kit adquirido y configurar su uso desde la aplicación.</x:v>
      </x:c>
      <x:c r="C8" s="207" t="n">
        <x:f>SUMIF('Historias de usuario'!$D$2:$D$43,A8,'Historias de usuario'!$C$2:$C$43)</x:f>
        <x:v>105</x:v>
      </x:c>
      <x:c r="D8" s="203" t="str">
        <x:v>Datos y experiencia de uso</x:v>
      </x:c>
      <x:c r="E8" s="203" t="str">
        <x:v>M5: implementación; M8: revisión</x:v>
      </x:c>
      <x:c r="F8" s="203" t="str">
        <x:v>M19, sujeto a autorizaciones</x:v>
      </x:c>
    </x:row>
    <x:row r="9" ht="60" customHeight="1">
      <x:c r="A9" s="203" t="str">
        <x:v>Aplicación y predicciones</x:v>
      </x:c>
      <x:c r="B9" s="203" t="str">
        <x:v>Presentar historial, avisos y modelos evaluados frente a referencia.</x:v>
      </x:c>
      <x:c r="C9" s="207" t="n">
        <x:f>SUMIF('Historias de usuario'!$D$2:$D$43,A9,'Historias de usuario'!$C$2:$C$43)</x:f>
        <x:v>495</x:v>
      </x:c>
      <x:c r="D9" s="203" t="str">
        <x:v>Datos y experiencia de uso</x:v>
      </x:c>
      <x:c r="E9" s="203" t="str">
        <x:v>M7: app integrada; M12: MVP</x:v>
      </x:c>
      <x:c r="F9" s="203" t="str">
        <x:v>M19; funciones según evidencia y autorización</x:v>
      </x:c>
    </x:row>
    <x:row r="10" ht="60" customHeight="1">
      <x:c r="A10" s="203" t="str">
        <x:v>Integración y MVP</x:v>
      </x:c>
      <x:c r="B10" s="203" t="str">
        <x:v>Integrar los cuatro productos, corregirlos y aceptar una versión técnica.</x:v>
      </x:c>
      <x:c r="C10" s="207" t="n">
        <x:f>SUMIF('Historias de usuario'!$D$2:$D$43,A10,'Historias de usuario'!$C$2:$C$43)</x:f>
        <x:v>1917.7099999999998</x:v>
      </x:c>
      <x:c r="D10" s="203" t="str">
        <x:v>Integración y calidad</x:v>
      </x:c>
      <x:c r="E10" s="203" t="str">
        <x:v>M7: prototipo; M12: MVP</x:v>
      </x:c>
      <x:c r="F10" s="203" t="str">
        <x:v>Entrega técnica M12; venta desde M19</x:v>
      </x:c>
    </x:row>
    <x:row r="11" ht="60" customHeight="1">
      <x:c r="A11" s="203" t="str">
        <x:v>Evaluación y autorizaciones</x:v>
      </x:c>
      <x:c r="B11" s="203" t="str">
        <x:v>Reunir evidencia técnica y clínica y gestionar las aprobaciones aplicables.</x:v>
      </x:c>
      <x:c r="C11" s="207" t="n">
        <x:f>SUMIF('Historias de usuario'!$D$2:$D$43,A11,'Historias de usuario'!$C$2:$C$43)</x:f>
        <x:v>2283.9400000000005</x:v>
      </x:c>
      <x:c r="D11" s="203" t="str">
        <x:v>Lanzamiento</x:v>
      </x:c>
      <x:c r="E11" s="203" t="str">
        <x:v>M7: aptitud; M12: preparación; M18: cierre previsto</x:v>
      </x:c>
      <x:c r="F11" s="203" t="str">
        <x:v>M18: autorización prevista, fecha ajustable</x:v>
      </x:c>
    </x:row>
    <x:row r="12" ht="60" customHeight="1">
      <x:c r="A12" s="203" t="str">
        <x:v>Producción y soporte</x:v>
      </x:c>
      <x:c r="B12" s="203" t="str">
        <x:v>Preparar 100 kits aprobados por QA, capacitación y soporte.</x:v>
      </x:c>
      <x:c r="C12" s="207" t="n">
        <x:f>SUMIF('Historias de usuario'!$D$2:$D$43,A12,'Historias de usuario'!$C$2:$C$43)</x:f>
        <x:v>1384.9499999999998</x:v>
      </x:c>
      <x:c r="D12" s="203" t="str">
        <x:v>Lanzamiento</x:v>
      </x:c>
      <x:c r="E12" s="203" t="str">
        <x:v>M16–M18: lote, distribución y capacitación</x:v>
      </x:c>
      <x:c r="F12" s="203" t="str">
        <x:v>M19, sujeto a autorizaciones</x:v>
      </x:c>
    </x:row>
    <x:row r="13" ht="60" customHeight="1">
      <x:c r="A13" s="203" t="str">
        <x:v>Gestión y abastecimiento</x:v>
      </x:c>
      <x:c r="B13" s="203" t="str">
        <x:v>Coordinar recursos, compras, riesgos y controles del proyecto.</x:v>
      </x:c>
      <x:c r="C13" s="207" t="n">
        <x:f>SUMIF('Historias de usuario'!$D$2:$D$43,A13,'Historias de usuario'!$C$2:$C$43)</x:f>
        <x:v>533.36</x:v>
      </x:c>
      <x:c r="D13" s="203" t="str">
        <x:v>Gestión del proyecto</x:v>
      </x:c>
      <x:c r="E13" s="203" t="str">
        <x:v>Revisiones M3, M6, M7, M10, M12 y M18</x:v>
      </x:c>
      <x:c r="F13" s="203" t="str">
        <x:v>Actividad interna M1–M18</x:v>
      </x:c>
    </x:row>
  </x:sheetData>
  <x:pageMargins left="0.7" right="0.7" top="0.75" bottom="0.75" header="0.3" footer="0.3"/>
  <x:tableParts count="1">
    <x:tablePart xmlns:r="http://schemas.openxmlformats.org/officeDocument/2006/relationships" r:id="R50e8573e6d7a4b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84" hidden="0" customWidth="1"/>
    <x:col min="3" max="3" width="18" hidden="0" customWidth="1"/>
    <x:col min="4" max="4" width="34" hidden="0" customWidth="1"/>
  </x:cols>
  <x:sheetData>
    <x:row r="1" ht="34" customHeight="1">
      <x:c r="A1" s="252" t="str">
        <x:v>Título</x:v>
      </x:c>
      <x:c r="B1" s="252" t="str">
        <x:v>Descripción</x:v>
      </x:c>
      <x:c r="C1" s="252" t="str">
        <x:v>Horas estimadas</x:v>
      </x:c>
      <x:c r="D1" s="252" t="str">
        <x:v>Feature parent</x:v>
      </x:c>
    </x:row>
    <x:row r="2" ht="48" customHeight="1">
      <x:c r="A2" s="203" t="str">
        <x:v>Colocar un parche sensor</x:v>
      </x:c>
      <x:c r="B2" s="203" t="str">
        <x:v>Como usuario quiero colocar un parche que capte sudor para obtener las mediciones previstas.</x:v>
      </x:c>
      <x:c r="C2" s="207" t="n">
        <x:f>SUMIF('Tareas y sprints'!$P$2:$P$200,A2,'Tareas y sprints'!$N$2:$N$200)</x:f>
        <x:v>395.25</x:v>
      </x:c>
      <x:c r="D2" s="203" t="str">
        <x:v>Parche sensor</x:v>
      </x:c>
    </x:row>
    <x:row r="3" ht="48" customHeight="1">
      <x:c r="A3" s="203" t="str">
        <x:v>Obtener lecturas consistentes</x:v>
      </x:c>
      <x:c r="B3" s="203" t="str">
        <x:v>Como usuario quiero mediciones calibradas y con interferencias caracterizadas para interpretar sus límites.</x:v>
      </x:c>
      <x:c r="C3" s="207" t="n">
        <x:f>SUMIF('Tareas y sprints'!$P$2:$P$200,A3,'Tareas y sprints'!$N$2:$N$200)</x:f>
        <x:v>133.44</x:v>
      </x:c>
      <x:c r="D3" s="203" t="str">
        <x:v>Parche sensor</x:v>
      </x:c>
    </x:row>
    <x:row r="4" ht="48" customHeight="1">
      <x:c r="A4" s="203" t="str">
        <x:v>Usar el parche durante siete días</x:v>
      </x:c>
      <x:c r="B4" s="203" t="str">
        <x:v>Como usuario quiero un parche estable, adherente y reemplazable cada siete días para sostener el seguimiento.</x:v>
      </x:c>
      <x:c r="C4" s="207" t="n">
        <x:f>SUMIF('Tareas y sprints'!$P$2:$P$200,A4,'Tareas y sprints'!$N$2:$N$200)</x:f>
        <x:v>159.81</x:v>
      </x:c>
      <x:c r="D4" s="203" t="str">
        <x:v>Parche sensor</x:v>
      </x:c>
    </x:row>
    <x:row r="5" ht="48" customHeight="1">
      <x:c r="A5" s="203" t="str">
        <x:v>Medir biomarcadores con el lector</x:v>
      </x:c>
      <x:c r="B5" s="203" t="str">
        <x:v>Como usuario quiero que el lector procese una lectura cada dos minutos para seguir la evolución de mis mediciones.</x:v>
      </x:c>
      <x:c r="C5" s="207" t="n">
        <x:f>SUMIF('Tareas y sprints'!$P$2:$P$200,A5,'Tareas y sprints'!$N$2:$N$200)</x:f>
        <x:v>362.85</x:v>
      </x:c>
      <x:c r="D5" s="203" t="str">
        <x:v>Lector de biomarcadores</x:v>
      </x:c>
    </x:row>
    <x:row r="6" ht="48" customHeight="1">
      <x:c r="A6" s="203" t="str">
        <x:v>Conocer la calidad de la lectura</x:v>
      </x:c>
      <x:c r="B6" s="203" t="str">
        <x:v>Como usuario quiero que cada lectura indique su fecha y calidad para distinguir datos utilizables.</x:v>
      </x:c>
      <x:c r="C6" s="207" t="n">
        <x:f>SUMIF('Tareas y sprints'!$P$2:$P$200,A6,'Tareas y sprints'!$N$2:$N$200)</x:f>
        <x:v>34.85</x:v>
      </x:c>
      <x:c r="D6" s="203" t="str">
        <x:v>Lector de biomarcadores</x:v>
      </x:c>
    </x:row>
    <x:row r="7" ht="48" customHeight="1">
      <x:c r="A7" s="203" t="str">
        <x:v>Registrar señales de la muñeca</x:v>
      </x:c>
      <x:c r="B7" s="203" t="str">
        <x:v>Como usuario quiero registrar frecuencia cardíaca, actividad y temperatura para contextualizar las mediciones.</x:v>
      </x:c>
      <x:c r="C7" s="207" t="n">
        <x:f>SUMIF('Tareas y sprints'!$P$2:$P$200,A7,'Tareas y sprints'!$N$2:$N$200)</x:f>
        <x:v>345.15</x:v>
      </x:c>
      <x:c r="D7" s="203" t="str">
        <x:v>Señales de la pulsera</x:v>
      </x:c>
    </x:row>
    <x:row r="8" ht="48" customHeight="1">
      <x:c r="A8" s="203" t="str">
        <x:v>Conservar datos sin teléfono</x:v>
      </x:c>
      <x:c r="B8" s="203" t="str">
        <x:v>Como usuario quiero conservar al menos 24 horas de registros ante desconexión o apagado para recuperarlos después.</x:v>
      </x:c>
      <x:c r="C8" s="207" t="n">
        <x:f>SUMIF('Tareas y sprints'!$P$2:$P$200,A8,'Tareas y sprints'!$N$2:$N$200)</x:f>
        <x:v>27.340000000000003</x:v>
      </x:c>
      <x:c r="D8" s="203" t="str">
        <x:v>Comunicación e historial</x:v>
      </x:c>
    </x:row>
    <x:row r="9" ht="48" customHeight="1">
      <x:c r="A9" s="203" t="str">
        <x:v>Conectar lector, pulsera y teléfono</x:v>
      </x:c>
      <x:c r="B9" s="203" t="str">
        <x:v>Como usuario quiero vincular mis equipos y recibir cada lectura en la pulsera, con sincronización al teléfono cada dos minutos.</x:v>
      </x:c>
      <x:c r="C9" s="207" t="n">
        <x:f>SUMIF('Tareas y sprints'!$P$2:$P$200,A9,'Tareas y sprints'!$N$2:$N$200)</x:f>
        <x:v>143.9</x:v>
      </x:c>
      <x:c r="D9" s="203" t="str">
        <x:v>Comunicación e historial</x:v>
      </x:c>
    </x:row>
    <x:row r="10" ht="48" customHeight="1">
      <x:c r="A10" s="203" t="str">
        <x:v>Consultar el historial y el lector activo</x:v>
      </x:c>
      <x:c r="B10" s="203" t="str">
        <x:v>Como usuario quiero ver el historial y reconocer el lector activo para continuar el seguimiento al alternar equipos.</x:v>
      </x:c>
      <x:c r="C10" s="207" t="n">
        <x:f>SUMIF('Tareas y sprints'!$P$2:$P$200,A10,'Tareas y sprints'!$N$2:$N$200)</x:f>
        <x:v>105</x:v>
      </x:c>
      <x:c r="D10" s="203" t="str">
        <x:v>Comunicación e historial</x:v>
      </x:c>
    </x:row>
    <x:row r="11" ht="48" customHeight="1">
      <x:c r="A11" s="203" t="str">
        <x:v>Recuperar registros sin duplicados</x:v>
      </x:c>
      <x:c r="B11" s="203" t="str">
        <x:v>Como usuario quiero recuperar datos pendientes con su fecha original y ver los intervalos ausentes para comprender el historial.</x:v>
      </x:c>
      <x:c r="C11" s="207" t="n">
        <x:f>SUMIF('Tareas y sprints'!$P$2:$P$200,A11,'Tareas y sprints'!$N$2:$N$200)</x:f>
        <x:v>70</x:v>
      </x:c>
      <x:c r="D11" s="203" t="str">
        <x:v>Comunicación e historial</x:v>
      </x:c>
    </x:row>
    <x:row r="12" ht="48" customHeight="1">
      <x:c r="A12" s="203" t="str">
        <x:v>Consultar el indicador por gesto</x:v>
      </x:c>
      <x:c r="B12" s="203" t="str">
        <x:v>Como usuario quiero encender el indicador tres segundos con un gesto de muñeca para consultar la lectura sin usar el teléfono.</x:v>
      </x:c>
      <x:c r="C12" s="207" t="n">
        <x:f>SUMIF('Tareas y sprints'!$P$2:$P$200,A12,'Tareas y sprints'!$N$2:$N$200)</x:f>
        <x:v>55.25</x:v>
      </x:c>
      <x:c r="D12" s="203" t="str">
        <x:v>Indicador portátil</x:v>
      </x:c>
    </x:row>
    <x:row r="13" ht="48" customHeight="1">
      <x:c r="A13" s="203" t="str">
        <x:v>Distinguir el estado de la lectura</x:v>
      </x:c>
      <x:c r="B13" s="203" t="str">
        <x:v>Como usuario quiero ver verde, amarillo o rojo según la última lectura y doble amarillo si faltan datos válidos.</x:v>
      </x:c>
      <x:c r="C13" s="207" t="n">
        <x:f>SUMIF('Tareas y sprints'!$P$2:$P$200,A13,'Tareas y sprints'!$N$2:$N$200)</x:f>
        <x:v>28.599999999999994</x:v>
      </x:c>
      <x:c r="D13" s="203" t="str">
        <x:v>Indicador portátil</x:v>
      </x:c>
    </x:row>
    <x:row r="14" ht="48" customHeight="1">
      <x:c r="A14" s="203" t="str">
        <x:v>Recargar y usar el lector siete días</x:v>
      </x:c>
      <x:c r="B14" s="203" t="str">
        <x:v>Como usuario quiero recargar un lector por USB-C mientras uso el otro y contar con siete días de autonomía.</x:v>
      </x:c>
      <x:c r="C14" s="207" t="n">
        <x:f>SUMIF('Tareas y sprints'!$P$2:$P$200,A14,'Tareas y sprints'!$N$2:$N$200)</x:f>
        <x:v>120.94999999999999</x:v>
      </x:c>
      <x:c r="D14" s="203" t="str">
        <x:v>Carga y protección</x:v>
      </x:c>
    </x:row>
    <x:row r="15" ht="48" customHeight="1">
      <x:c r="A15" s="203" t="str">
        <x:v>Recargar y usar la pulsera siete días</x:v>
      </x:c>
      <x:c r="B15" s="203" t="str">
        <x:v>Como usuario quiero cargar la pulsera durante el descanso y contar con siete días de autonomía en el perfil previsto.</x:v>
      </x:c>
      <x:c r="C15" s="207" t="n">
        <x:f>SUMIF('Tareas y sprints'!$P$2:$P$200,A15,'Tareas y sprints'!$N$2:$N$200)</x:f>
        <x:v>72.15</x:v>
      </x:c>
      <x:c r="D15" s="203" t="str">
        <x:v>Carga y protección</x:v>
      </x:c>
    </x:row>
    <x:row r="16" ht="48" customHeight="1">
      <x:c r="A16" s="203" t="str">
        <x:v>Usar equipos protegidos</x:v>
      </x:c>
      <x:c r="B16" s="203" t="str">
        <x:v>Como usuario quiero envolventes IP68 y resistencia al sudor para el uso cotidiano, respetando las condiciones indicadas.</x:v>
      </x:c>
      <x:c r="C16" s="207" t="n">
        <x:f>SUMIF('Tareas y sprints'!$P$2:$P$200,A16,'Tareas y sprints'!$N$2:$N$200)</x:f>
        <x:v>81.89999999999999</x:v>
      </x:c>
      <x:c r="D16" s="203" t="str">
        <x:v>Carga y protección</x:v>
      </x:c>
    </x:row>
    <x:row r="17" ht="48" customHeight="1">
      <x:c r="A17" s="203" t="str">
        <x:v>Crear y recuperar mi cuenta</x:v>
      </x:c>
      <x:c r="B17" s="203" t="str">
        <x:v>Como usuario quiero crear una cuenta con correo verificado y recuperar el acceso para conservar mi vínculo con el producto.</x:v>
      </x:c>
      <x:c r="C17" s="207" t="n">
        <x:f>SUMIF('Tareas y sprints'!$P$2:$P$200,A17,'Tareas y sprints'!$N$2:$N$200)</x:f>
        <x:v>72</x:v>
      </x:c>
      <x:c r="D17" s="203" t="str">
        <x:v>Cuenta y activación</x:v>
      </x:c>
    </x:row>
    <x:row r="18" ht="48" customHeight="1">
      <x:c r="A18" s="203" t="str">
        <x:v>Activar y configurar mi kit</x:v>
      </x:c>
      <x:c r="B18" s="203" t="str">
        <x:v>Como comprador quiero activar mis dispositivos y configurar sus enlaces desde la app para comenzar a usarlos.</x:v>
      </x:c>
      <x:c r="C18" s="207" t="n">
        <x:f>SUMIF('Tareas y sprints'!$P$2:$P$200,A18,'Tareas y sprints'!$N$2:$N$200)</x:f>
        <x:v>33</x:v>
      </x:c>
      <x:c r="D18" s="203" t="str">
        <x:v>Cuenta y activación</x:v>
      </x:c>
    </x:row>
    <x:row r="19" ht="48" customHeight="1">
      <x:c r="A19" s="203" t="str">
        <x:v>Consultar información en la aplicación</x:v>
      </x:c>
      <x:c r="B19" s="203" t="str">
        <x:v>Como usuario quiero una aplicación con navegación clara, historial y referencias para comprender las mediciones.</x:v>
      </x:c>
      <x:c r="C19" s="207" t="n">
        <x:f>SUMIF('Tareas y sprints'!$P$2:$P$200,A19,'Tareas y sprints'!$N$2:$N$200)</x:f>
        <x:v>295</x:v>
      </x:c>
      <x:c r="D19" s="203" t="str">
        <x:v>Aplicación y predicciones</x:v>
      </x:c>
    </x:row>
    <x:row r="20" ht="48" customHeight="1">
      <x:c r="A20" s="203" t="str">
        <x:v>Reconocer datos y contexto faltantes</x:v>
      </x:c>
      <x:c r="B20" s="203" t="str">
        <x:v>Como usuario quiero identificar mediciones inválidas o contexto ausente para interpretar correctamente la información.</x:v>
      </x:c>
      <x:c r="C20" s="207" t="n">
        <x:f>SUMIF('Tareas y sprints'!$P$2:$P$200,A20,'Tareas y sprints'!$N$2:$N$200)</x:f>
        <x:v>42.49999999999999</x:v>
      </x:c>
      <x:c r="D20" s="203" t="str">
        <x:v>Aplicación y predicciones</x:v>
      </x:c>
    </x:row>
    <x:row r="21" ht="48" customHeight="1">
      <x:c r="A21" s="203" t="str">
        <x:v>Consultar una predicción a corto plazo</x:v>
      </x:c>
      <x:c r="B21" s="203" t="str">
        <x:v>Como usuario quiero una estimación a 30–60 minutos con su incertidumbre y límites, una vez evaluada y autorizada.</x:v>
      </x:c>
      <x:c r="C21" s="207" t="n">
        <x:f>SUMIF('Tareas y sprints'!$P$2:$P$200,A21,'Tareas y sprints'!$N$2:$N$200)</x:f>
        <x:v>42.49999999999999</x:v>
      </x:c>
      <x:c r="D21" s="203" t="str">
        <x:v>Aplicación y predicciones</x:v>
      </x:c>
    </x:row>
    <x:row r="22" ht="48" customHeight="1">
      <x:c r="A22" s="203" t="str">
        <x:v>Consultar tendencias y factores asociados</x:v>
      </x:c>
      <x:c r="B22" s="203" t="str">
        <x:v>Como usuario quiero explorar tendencias de 1–8 horas y factores asociados con límites claros, sujetos a evaluación.</x:v>
      </x:c>
      <x:c r="C22" s="207" t="n">
        <x:f>SUMIF('Tareas y sprints'!$P$2:$P$200,A22,'Tareas y sprints'!$N$2:$N$200)</x:f>
        <x:v>50</x:v>
      </x:c>
      <x:c r="D22" s="203" t="str">
        <x:v>Aplicación y predicciones</x:v>
      </x:c>
    </x:row>
    <x:row r="23" ht="48" customHeight="1">
      <x:c r="A23" s="203" t="str">
        <x:v>Recibir avisos comprensibles</x:v>
      </x:c>
      <x:c r="B23" s="203" t="str">
        <x:v>Como usuario quiero avisos que indiquen cuándo consultar la app o verificar con el método de referencia indicado.</x:v>
      </x:c>
      <x:c r="C23" s="207" t="n">
        <x:f>SUMIF('Tareas y sprints'!$P$2:$P$200,A23,'Tareas y sprints'!$N$2:$N$200)</x:f>
        <x:v>65</x:v>
      </x:c>
      <x:c r="D23" s="203" t="str">
        <x:v>Aplicación y predicciones</x:v>
      </x:c>
    </x:row>
    <x:row r="24" ht="48" customHeight="1">
      <x:c r="A24" s="203" t="str">
        <x:v>Demostrar el prototipo de parche</x:v>
      </x:c>
      <x:c r="B24" s="203" t="str">
        <x:v>Como equipo quiero integrar muestras trazables con el lector para demostrar el prototipo del mes 7.</x:v>
      </x:c>
      <x:c r="C24" s="207" t="n">
        <x:f>SUMIF('Tareas y sprints'!$P$2:$P$200,A24,'Tareas y sprints'!$N$2:$N$200)</x:f>
        <x:v>135.99</x:v>
      </x:c>
      <x:c r="D24" s="203" t="str">
        <x:v>Integración y MVP</x:v>
      </x:c>
    </x:row>
    <x:row r="25" ht="48" customHeight="1">
      <x:c r="A25" s="203" t="str">
        <x:v>Demostrar el prototipo de lector</x:v>
      </x:c>
      <x:c r="B25" s="203" t="str">
        <x:v>Como usuario quiero que los dos lectores funcionen en el conjunto y puedan alternarse en el prototipo.</x:v>
      </x:c>
      <x:c r="C25" s="207" t="n">
        <x:f>SUMIF('Tareas y sprints'!$P$2:$P$200,A25,'Tareas y sprints'!$N$2:$N$200)</x:f>
        <x:v>86.1</x:v>
      </x:c>
      <x:c r="D25" s="203" t="str">
        <x:v>Integración y MVP</x:v>
      </x:c>
    </x:row>
    <x:row r="26" ht="48" customHeight="1">
      <x:c r="A26" s="203" t="str">
        <x:v>Demostrar el prototipo de pulsera</x:v>
      </x:c>
      <x:c r="B26" s="203" t="str">
        <x:v>Como usuario quiero señales e indicador integrados con el lector para probar el uso del conjunto.</x:v>
      </x:c>
      <x:c r="C26" s="207" t="n">
        <x:f>SUMIF('Tareas y sprints'!$P$2:$P$200,A26,'Tareas y sprints'!$N$2:$N$200)</x:f>
        <x:v>81.9</x:v>
      </x:c>
      <x:c r="D26" s="203" t="str">
        <x:v>Integración y MVP</x:v>
      </x:c>
    </x:row>
    <x:row r="27" ht="48" customHeight="1">
      <x:c r="A27" s="203" t="str">
        <x:v>Demostrar la aplicación integrada</x:v>
      </x:c>
      <x:c r="B27" s="203" t="str">
        <x:v>Como usuario quiero visualizar mediciones reales de los equipos para probar el prototipo completo.</x:v>
      </x:c>
      <x:c r="C27" s="207" t="n">
        <x:f>SUMIF('Tareas y sprints'!$P$2:$P$200,A27,'Tareas y sprints'!$N$2:$N$200)</x:f>
        <x:v>133.32999999999998</x:v>
      </x:c>
      <x:c r="D27" s="203" t="str">
        <x:v>Integración y MVP</x:v>
      </x:c>
    </x:row>
    <x:row r="28" ht="48" customHeight="1">
      <x:c r="A28" s="203" t="str">
        <x:v>Completar el parche del MVP</x:v>
      </x:c>
      <x:c r="B28" s="203" t="str">
        <x:v>Como equipo quiero cerrar fabricación, controles y documentación del parche para aceptar su versión técnica.</x:v>
      </x:c>
      <x:c r="C28" s="207" t="n">
        <x:f>SUMIF('Tareas y sprints'!$P$2:$P$200,A28,'Tareas y sprints'!$N$2:$N$200)</x:f>
        <x:v>373.14</x:v>
      </x:c>
      <x:c r="D28" s="203" t="str">
        <x:v>Integración y MVP</x:v>
      </x:c>
    </x:row>
    <x:row r="29" ht="48" customHeight="1">
      <x:c r="A29" s="203" t="str">
        <x:v>Completar el lector del MVP</x:v>
      </x:c>
      <x:c r="B29" s="203" t="str">
        <x:v>Como equipo quiero corregir y documentar el lector para aceptar su versión técnica integrada.</x:v>
      </x:c>
      <x:c r="C29" s="207" t="n">
        <x:f>SUMIF('Tareas y sprints'!$P$2:$P$200,A29,'Tareas y sprints'!$N$2:$N$200)</x:f>
        <x:v>224.14</x:v>
      </x:c>
      <x:c r="D29" s="203" t="str">
        <x:v>Integración y MVP</x:v>
      </x:c>
    </x:row>
    <x:row r="30" ht="48" customHeight="1">
      <x:c r="A30" s="203" t="str">
        <x:v>Completar la pulsera del MVP</x:v>
      </x:c>
      <x:c r="B30" s="203" t="str">
        <x:v>Como equipo quiero corregir y documentar la pulsera para aceptar su versión técnica integrada.</x:v>
      </x:c>
      <x:c r="C30" s="207" t="n">
        <x:f>SUMIF('Tareas y sprints'!$P$2:$P$200,A30,'Tareas y sprints'!$N$2:$N$200)</x:f>
        <x:v>256.1</x:v>
      </x:c>
      <x:c r="D30" s="203" t="str">
        <x:v>Integración y MVP</x:v>
      </x:c>
    </x:row>
    <x:row r="31" ht="48" customHeight="1">
      <x:c r="A31" s="203" t="str">
        <x:v>Completar la aplicación del MVP</x:v>
      </x:c>
      <x:c r="B31" s="203" t="str">
        <x:v>Como usuario quiero una aplicación probada, con ayuda y funcionamiento sin conexión definido para usar el conjunto.</x:v>
      </x:c>
      <x:c r="C31" s="207" t="n">
        <x:f>SUMIF('Tareas y sprints'!$P$2:$P$200,A31,'Tareas y sprints'!$N$2:$N$200)</x:f>
        <x:v>328.33</x:v>
      </x:c>
      <x:c r="D31" s="203" t="str">
        <x:v>Integración y MVP</x:v>
      </x:c>
    </x:row>
    <x:row r="32" ht="48" customHeight="1">
      <x:c r="A32" s="203" t="str">
        <x:v>Evaluar el parche</x:v>
      </x:c>
      <x:c r="B32" s="203" t="str">
        <x:v>Como equipo evaluador quiero muestras trazables y resultados analíticos para reunir evidencia del parche.</x:v>
      </x:c>
      <x:c r="C32" s="207" t="n">
        <x:f>SUMIF('Tareas y sprints'!$P$2:$P$200,A32,'Tareas y sprints'!$N$2:$N$200)</x:f>
        <x:v>300.9</x:v>
      </x:c>
      <x:c r="D32" s="203" t="str">
        <x:v>Evaluación y autorizaciones</x:v>
      </x:c>
    </x:row>
    <x:row r="33" ht="48" customHeight="1">
      <x:c r="A33" s="203" t="str">
        <x:v>Evaluar el lector</x:v>
      </x:c>
      <x:c r="B33" s="203" t="str">
        <x:v>Como equipo evaluador quiero registros íntegros y una configuración controlada para evaluar el lector.</x:v>
      </x:c>
      <x:c r="C33" s="207" t="n">
        <x:f>SUMIF('Tareas y sprints'!$P$2:$P$200,A33,'Tareas y sprints'!$N$2:$N$200)</x:f>
        <x:v>241.9</x:v>
      </x:c>
      <x:c r="D33" s="203" t="str">
        <x:v>Evaluación y autorizaciones</x:v>
      </x:c>
    </x:row>
    <x:row r="34" ht="48" customHeight="1">
      <x:c r="A34" s="203" t="str">
        <x:v>Evaluar la pulsera</x:v>
      </x:c>
      <x:c r="B34" s="203" t="str">
        <x:v>Como equipo evaluador quiero señales y alertas documentadas para evaluar la pulsera y sus límites.</x:v>
      </x:c>
      <x:c r="C34" s="207" t="n">
        <x:f>SUMIF('Tareas y sprints'!$P$2:$P$200,A34,'Tareas y sprints'!$N$2:$N$200)</x:f>
        <x:v>230.10000000000002</x:v>
      </x:c>
      <x:c r="D34" s="203" t="str">
        <x:v>Evaluación y autorizaciones</x:v>
      </x:c>
    </x:row>
    <x:row r="35" ht="48" customHeight="1">
      <x:c r="A35" s="203" t="str">
        <x:v>Evaluar la aplicación y los modelos</x:v>
      </x:c>
      <x:c r="B35" s="203" t="str">
        <x:v>Como equipo evaluador quiero comparar mediciones, avisos y modelos con sus referencias para justificar las funciones habilitadas.</x:v>
      </x:c>
      <x:c r="C35" s="207" t="n">
        <x:f>SUMIF('Tareas y sprints'!$P$2:$P$200,A35,'Tareas y sprints'!$N$2:$N$200)</x:f>
        <x:v>295</x:v>
      </x:c>
      <x:c r="D35" s="203" t="str">
        <x:v>Evaluación y autorizaciones</x:v>
      </x:c>
    </x:row>
    <x:row r="36" ht="48" customHeight="1">
      <x:c r="A36" s="203" t="str">
        <x:v>Gestionar evaluaciones y autorizaciones</x:v>
      </x:c>
      <x:c r="B36" s="203" t="str">
        <x:v>Como equipo quiero preparar expedientes y responder observaciones para investigar y comercializar solo con las aprobaciones aplicables.</x:v>
      </x:c>
      <x:c r="C36" s="207" t="n">
        <x:f>SUMIF('Tareas y sprints'!$P$2:$P$200,A36,'Tareas y sprints'!$N$2:$N$200)</x:f>
        <x:v>1216.0400000000002</x:v>
      </x:c>
      <x:c r="D36" s="203" t="str">
        <x:v>Evaluación y autorizaciones</x:v>
      </x:c>
    </x:row>
    <x:row r="37" ht="48" customHeight="1">
      <x:c r="A37" s="203" t="str">
        <x:v>Recibir consumibles controlados</x:v>
      </x:c>
      <x:c r="B37" s="203" t="str">
        <x:v>Como usuario quiero consumibles identificados y aprobados por QA, con instrucciones, para reemplazar el parche.</x:v>
      </x:c>
      <x:c r="C37" s="207" t="n">
        <x:f>SUMIF('Tareas y sprints'!$P$2:$P$200,A37,'Tareas y sprints'!$N$2:$N$200)</x:f>
        <x:v>313.74</x:v>
      </x:c>
      <x:c r="D37" s="203" t="str">
        <x:v>Producción y soporte</x:v>
      </x:c>
    </x:row>
    <x:row r="38" ht="48" customHeight="1">
      <x:c r="A38" s="203" t="str">
        <x:v>Recibir lectores listos para usar</x:v>
      </x:c>
      <x:c r="B38" s="203" t="str">
        <x:v>Como usuario quiero dos lectores programados, probados e identificados para alternarlos desde el primer uso.</x:v>
      </x:c>
      <x:c r="C38" s="207" t="n">
        <x:f>SUMIF('Tareas y sprints'!$P$2:$P$200,A38,'Tareas y sprints'!$N$2:$N$200)</x:f>
        <x:v>282.59</x:v>
      </x:c>
      <x:c r="D38" s="203" t="str">
        <x:v>Producción y soporte</x:v>
      </x:c>
    </x:row>
    <x:row r="39" ht="48" customHeight="1">
      <x:c r="A39" s="203" t="str">
        <x:v>Recibir una pulsera lista para usar</x:v>
      </x:c>
      <x:c r="B39" s="203" t="str">
        <x:v>Como usuario quiero una pulsera calibrada y probada con el cargador del kit para comenzar a utilizarla.</x:v>
      </x:c>
      <x:c r="C39" s="207" t="n">
        <x:f>SUMIF('Tareas y sprints'!$P$2:$P$200,A39,'Tareas y sprints'!$N$2:$N$200)</x:f>
        <x:v>231.75</x:v>
      </x:c>
      <x:c r="D39" s="203" t="str">
        <x:v>Producción y soporte</x:v>
      </x:c>
    </x:row>
    <x:row r="40" ht="48" customHeight="1">
      <x:c r="A40" s="203" t="str">
        <x:v>Instalar la aplicación y recibir soporte</x:v>
      </x:c>
      <x:c r="B40" s="203" t="str">
        <x:v>Como usuario quiero instalar y activar la app, recibir ayuda y actualizarla para mantener el uso del producto.</x:v>
      </x:c>
      <x:c r="C40" s="207" t="n">
        <x:f>SUMIF('Tareas y sprints'!$P$2:$P$200,A40,'Tareas y sprints'!$N$2:$N$200)</x:f>
        <x:v>300.83000000000004</x:v>
      </x:c>
      <x:c r="D40" s="203" t="str">
        <x:v>Producción y soporte</x:v>
      </x:c>
    </x:row>
    <x:row r="41" ht="48" customHeight="1">
      <x:c r="A41" s="203" t="str">
        <x:v>Preparar la atención comercial</x:v>
      </x:c>
      <x:c r="B41" s="203" t="str">
        <x:v>Como equipo quiero capacitar aliados, controlar el lote y preparar soporte para el lanzamiento autorizado.</x:v>
      </x:c>
      <x:c r="C41" s="207" t="n">
        <x:f>SUMIF('Tareas y sprints'!$P$2:$P$200,A41,'Tareas y sprints'!$N$2:$N$200)</x:f>
        <x:v>256.04</x:v>
      </x:c>
      <x:c r="D41" s="203" t="str">
        <x:v>Producción y soporte</x:v>
      </x:c>
    </x:row>
    <x:row r="42" ht="48" customHeight="1">
      <x:c r="A42" s="203" t="str">
        <x:v>Coordinar recursos y suministros</x:v>
      </x:c>
      <x:c r="B42" s="203" t="str">
        <x:v>Como equipo quiero gestionar compras, riesgos y entregas para disponer de los recursos necesarios en cada sprint.</x:v>
      </x:c>
      <x:c r="C42" s="207" t="n">
        <x:f>SUMIF('Tareas y sprints'!$P$2:$P$200,A42,'Tareas y sprints'!$N$2:$N$200)</x:f>
        <x:v>533.36</x:v>
      </x:c>
      <x:c r="D42" s="203" t="str">
        <x:v>Gestión y abastecimiento</x:v>
      </x:c>
    </x:row>
    <x:row r="43" ht="48" customHeight="1">
      <x:c r="A43" s="203" t="str">
        <x:v>Revisar las entregas integradas</x:v>
      </x:c>
      <x:c r="B43" s="203" t="str">
        <x:v>Como equipo quiero revisar el prototipo y el MVP con evidencia para decidir el avance entre etapas.</x:v>
      </x:c>
      <x:c r="C43" s="207" t="n">
        <x:f>SUMIF('Tareas y sprints'!$P$2:$P$200,A43,'Tareas y sprints'!$N$2:$N$200)</x:f>
        <x:v>298.68</x:v>
      </x:c>
      <x:c r="D43" s="203" t="str">
        <x:v>Integración y MVP</x:v>
      </x:c>
    </x:row>
  </x:sheetData>
  <x:pageMargins left="0.7" right="0.7" top="0.75" bottom="0.75" header="0.3" footer="0.3"/>
  <x:tableParts count="1">
    <x:tablePart xmlns:r="http://schemas.openxmlformats.org/officeDocument/2006/relationships" r:id="R3dded1faa9ef40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5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</x:cols>
  <x:sheetData>
    <x:row r="1" ht="42" customHeight="1">
      <x:c r="A1" s="168" t="str">
        <x:v>Plan de trabajo y capacidad: 18 meses, 39 sprints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/>
    </x:row>
    <x:row r="2" ht="42" customHeight="1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</x:row>
    <x:row r="3" ht="48" customHeight="1">
      <x:c r="A3" s="246" t="str">
        <x:v>Ciclo</x:v>
      </x:c>
      <x:c r="B3" s="246" t="str">
        <x:v>Mes inicial</x:v>
      </x:c>
      <x:c r="C3" s="246" t="str">
        <x:v>Mes final</x:v>
      </x:c>
      <x:c r="D3" s="246" t="str">
        <x:v>Sprints</x:v>
      </x:c>
      <x:c r="E3" s="246" t="str">
        <x:v>Entregable de cierre</x:v>
      </x:c>
      <x:c r="F3" s="246" t="str">
        <x:v>Esfuerzo h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</x:row>
    <x:row r="4" ht="48" customHeight="1">
      <x:c r="A4" s="147" t="str">
        <x:v>Definición</x:v>
      </x:c>
      <x:c r="B4" s="147" t="n">
        <x:v>1</x:v>
      </x:c>
      <x:c r="C4" s="147" t="n">
        <x:v>3</x:v>
      </x:c>
      <x:c r="D4" s="147" t="str">
        <x:v>S1–S6</x:v>
      </x:c>
      <x:c r="E4" s="147" t="str">
        <x:v>Requisitos, uso previsto, arquitectura y proveedores</x:v>
      </x:c>
      <x:c r="F4" s="169" t="n">
        <x:f>SUMIFS('Tareas y sprints'!$N$2:$N$200,'Tareas y sprints'!$D$2:$D$200,"&gt;="&amp;B4,'Tareas y sprints'!$D$2:$D$200,"&lt;="&amp;C4)</x:f>
        <x:v>1475.9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</x:row>
    <x:row r="5" ht="48" customHeight="1">
      <x:c r="A5" s="147" t="str">
        <x:v>Subsistemas</x:v>
      </x:c>
      <x:c r="B5" s="147" t="n">
        <x:v>4</x:v>
      </x:c>
      <x:c r="C5" s="147" t="n">
        <x:v>6</x:v>
      </x:c>
      <x:c r="D5" s="147" t="str">
        <x:v>S7–S13</x:v>
      </x:c>
      <x:c r="E5" s="147" t="str">
        <x:v>Cuatro subsistemas probados; lote experimental</x:v>
      </x:c>
      <x:c r="F5" s="169" t="n">
        <x:f>SUMIFS('Tareas y sprints'!$N$2:$N$200,'Tareas y sprints'!$D$2:$D$200,"&gt;="&amp;B5,'Tareas y sprints'!$D$2:$D$200,"&lt;="&amp;C5)</x:f>
        <x:v>1490.8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</x:row>
    <x:row r="6" ht="48" customHeight="1">
      <x:c r="A6" s="147" t="str">
        <x:v>Prototipo</x:v>
      </x:c>
      <x:c r="B6" s="147" t="n">
        <x:v>7</x:v>
      </x:c>
      <x:c r="C6" s="147" t="n">
        <x:v>7</x:v>
      </x:c>
      <x:c r="D6" s="147" t="str">
        <x:v>S14–S15</x:v>
      </x:c>
      <x:c r="E6" s="147" t="str">
        <x:v>Conjunto funcional y revisión de aptitud</x:v>
      </x:c>
      <x:c r="F6" s="169" t="n">
        <x:f>SUMIFS('Tareas y sprints'!$N$2:$N$200,'Tareas y sprints'!$D$2:$D$200,"&gt;="&amp;B6,'Tareas y sprints'!$D$2:$D$200,"&lt;="&amp;C6)</x:f>
        <x:v>508.1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</x:row>
    <x:row r="7" ht="48" customHeight="1">
      <x:c r="A7" s="147" t="str">
        <x:v>Iteración</x:v>
      </x:c>
      <x:c r="B7" s="147" t="n">
        <x:v>8</x:v>
      </x:c>
      <x:c r="C7" s="147" t="n">
        <x:v>10</x:v>
      </x:c>
      <x:c r="D7" s="147" t="str">
        <x:v>S16–S22</x:v>
      </x:c>
      <x:c r="E7" s="147" t="str">
        <x:v>Correcciones y configuración de evaluación</x:v>
      </x:c>
      <x:c r="F7" s="169" t="n">
        <x:f>SUMIFS('Tareas y sprints'!$N$2:$N$200,'Tareas y sprints'!$D$2:$D$200,"&gt;="&amp;B7,'Tareas y sprints'!$D$2:$D$200,"&lt;="&amp;C7)</x:f>
        <x:v>1445.8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</x:row>
    <x:row r="8" ht="48" customHeight="1">
      <x:c r="A8" s="147" t="str">
        <x:v>MVP técnico</x:v>
      </x:c>
      <x:c r="B8" s="147" t="n">
        <x:v>11</x:v>
      </x:c>
      <x:c r="C8" s="147" t="n">
        <x:v>12</x:v>
      </x:c>
      <x:c r="D8" s="147" t="str">
        <x:v>S23–S26</x:v>
      </x:c>
      <x:c r="E8" s="147" t="str">
        <x:v>MVP aceptado y evidencia documentada</x:v>
      </x:c>
      <x:c r="F8" s="169" t="n">
        <x:f>SUMIFS('Tareas y sprints'!$N$2:$N$200,'Tareas y sprints'!$D$2:$D$200,"&gt;="&amp;B8,'Tareas y sprints'!$D$2:$D$200,"&lt;="&amp;C8)</x:f>
        <x:v>970.95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</x:row>
    <x:row r="9" ht="48" customHeight="1">
      <x:c r="A9" s="147" t="str">
        <x:v>Evaluación y registro</x:v>
      </x:c>
      <x:c r="B9" s="147" t="n">
        <x:v>13</x:v>
      </x:c>
      <x:c r="C9" s="147" t="n">
        <x:v>18</x:v>
      </x:c>
      <x:c r="D9" s="147" t="str">
        <x:v>S27–S39</x:v>
      </x:c>
      <x:c r="E9" s="147" t="str">
        <x:v>Expediente, lote y autorización prevista</x:v>
      </x:c>
      <x:c r="F9" s="169" t="n">
        <x:f>SUMIFS('Tareas y sprints'!$N$2:$N$200,'Tareas y sprints'!$D$2:$D$200,"&gt;="&amp;B9,'Tareas y sprints'!$D$2:$D$200,"&lt;="&amp;C9)</x:f>
        <x:v>2964.8499999999985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</x:row>
    <x:row r="10" ht="48" customHeight="1">
      <x:c r="A10" s="147" t="str">
        <x:v>Operación</x:v>
      </x:c>
      <x:c r="B10" s="147" t="n">
        <x:v>19</x:v>
      </x:c>
      <x:c r="C10" s="147" t="n">
        <x:v>48</x:v>
      </x:c>
      <x:c r="D10" s="147" t="str">
        <x:v>Desde M19</x:v>
      </x:c>
      <x:c r="E10" s="147" t="str">
        <x:v>Ventas sujetas a liberación; soporte y seguimiento</x:v>
      </x:c>
      <x:c r="F10" s="147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</x:row>
    <x:row r="11" ht="28" customHeight="1">
      <x:c r="A11" s="154"/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</x:row>
    <x:row r="12" ht="28" customHeight="1">
      <x:c r="A12" s="249" t="str">
        <x:v>Prioridad de entrega</x:v>
      </x:c>
      <x:c r="B12" s="249" t="str">
        <x:v>Mes inicial</x:v>
      </x:c>
      <x:c r="C12" s="249" t="str">
        <x:v>Mes final</x:v>
      </x:c>
      <x:c r="D12" s="249" t="str">
        <x:v>Sprints</x:v>
      </x:c>
      <x:c r="E12" s="249" t="str">
        <x:v>Hito</x:v>
      </x:c>
      <x:c r="F12" s="249" t="str">
        <x:v>Condición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</x:row>
    <x:row r="13" ht="66" customHeight="1">
      <x:c r="A13" s="147" t="str">
        <x:v>Arquitectura y proveedores</x:v>
      </x:c>
      <x:c r="B13" s="147" t="n">
        <x:v>1</x:v>
      </x:c>
      <x:c r="C13" s="147" t="n">
        <x:v>3</x:v>
      </x:c>
      <x:c r="D13" s="147" t="str">
        <x:v>S1–S6</x:v>
      </x:c>
      <x:c r="E13" s="147" t="str">
        <x:v>Requisitos y diseño</x:v>
      </x:c>
      <x:c r="F13" s="147" t="str">
        <x:v>Criterios y recursos acordados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</x:row>
    <x:row r="14" ht="66" customHeight="1">
      <x:c r="A14" s="147" t="str">
        <x:v>Subsistemas y cuenta</x:v>
      </x:c>
      <x:c r="B14" s="147" t="n">
        <x:v>4</x:v>
      </x:c>
      <x:c r="C14" s="147" t="n">
        <x:v>6</x:v>
      </x:c>
      <x:c r="D14" s="147" t="str">
        <x:v>S7–S13</x:v>
      </x:c>
      <x:c r="E14" s="147" t="str">
        <x:v>Equipos de banco y alta del kit</x:v>
      </x:c>
      <x:c r="F14" s="147" t="str">
        <x:v>Interfaces disponibles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</x:row>
    <x:row r="15" ht="66" customHeight="1">
      <x:c r="A15" s="147" t="str">
        <x:v>Prototipo integrado</x:v>
      </x:c>
      <x:c r="B15" s="147" t="n">
        <x:v>7</x:v>
      </x:c>
      <x:c r="C15" s="147" t="n">
        <x:v>7</x:v>
      </x:c>
      <x:c r="D15" s="147" t="str">
        <x:v>S14–S15</x:v>
      </x:c>
      <x:c r="E15" s="147" t="str">
        <x:v>Cuatro componentes funcionando</x:v>
      </x:c>
      <x:c r="F15" s="147" t="str">
        <x:v>Subsistemas aceptados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</x:row>
    <x:row r="16" ht="66" customHeight="1">
      <x:c r="A16" s="147" t="str">
        <x:v>Uso cotidiano y correcciones</x:v>
      </x:c>
      <x:c r="B16" s="147" t="n">
        <x:v>8</x:v>
      </x:c>
      <x:c r="C16" s="147" t="n">
        <x:v>10</x:v>
      </x:c>
      <x:c r="D16" s="147" t="str">
        <x:v>S16–S22</x:v>
      </x:c>
      <x:c r="E16" s="147" t="str">
        <x:v>Autonomía, protección y recuperación</x:v>
      </x:c>
      <x:c r="F16" s="147" t="str">
        <x:v>Pruebas e iteración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</x:row>
    <x:row r="17" ht="66" customHeight="1">
      <x:c r="A17" s="147" t="str">
        <x:v>MVP técnico</x:v>
      </x:c>
      <x:c r="B17" s="147" t="n">
        <x:v>11</x:v>
      </x:c>
      <x:c r="C17" s="147" t="n">
        <x:v>12</x:v>
      </x:c>
      <x:c r="D17" s="147" t="str">
        <x:v>S23–S26</x:v>
      </x:c>
      <x:c r="E17" s="147" t="str">
        <x:v>Versión técnica aceptada</x:v>
      </x:c>
      <x:c r="F17" s="147" t="str">
        <x:v>Regresión y documentación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</x:row>
    <x:row r="18" ht="66" customHeight="1">
      <x:c r="A18" s="147" t="str">
        <x:v>Evaluación autorizada</x:v>
      </x:c>
      <x:c r="B18" s="147" t="n">
        <x:v>13</x:v>
      </x:c>
      <x:c r="C18" s="147" t="n">
        <x:v>15</x:v>
      </x:c>
      <x:c r="D18" s="147" t="str">
        <x:v>S27–S32</x:v>
      </x:c>
      <x:c r="E18" s="147" t="str">
        <x:v>Evidencia clínica y técnica</x:v>
      </x:c>
      <x:c r="F18" s="147" t="str">
        <x:v>Aprobaciones antes de participantes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</x:row>
    <x:row r="19" ht="66" customHeight="1">
      <x:c r="A19" s="147" t="str">
        <x:v>Producción y autorizaciones</x:v>
      </x:c>
      <x:c r="B19" s="147" t="n">
        <x:v>16</x:v>
      </x:c>
      <x:c r="C19" s="147" t="n">
        <x:v>18</x:v>
      </x:c>
      <x:c r="D19" s="147" t="str">
        <x:v>S33–S39</x:v>
      </x:c>
      <x:c r="E19" s="147" t="str">
        <x:v>Lote y expediente comercial</x:v>
      </x:c>
      <x:c r="F19" s="147" t="str">
        <x:v>QA y autorizaciones completas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</x:row>
    <x:row r="20" ht="66" customHeight="1">
      <x:c r="A20" s="147" t="str">
        <x:v>Lanzamiento</x:v>
      </x:c>
      <x:c r="B20" s="147" t="n">
        <x:v>19</x:v>
      </x:c>
      <x:c r="C20" s="147" t="n">
        <x:v>19</x:v>
      </x:c>
      <x:c r="D20" s="147" t="str">
        <x:v>Operación</x:v>
      </x:c>
      <x:c r="E20" s="147" t="str">
        <x:v>Inicio previsto de ventas</x:v>
      </x:c>
      <x:c r="F20" s="147" t="str">
        <x:v>Sujeto a autorización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</x:row>
    <x:row r="21" ht="66" customHeight="1">
      <x:c r="A21" s="147" t="str">
        <x:v>Detalle de features</x:v>
      </x:c>
      <x:c r="B21" s="147" t="str">
        <x:v>Ver hoja Features</x:v>
      </x:c>
      <x:c r="C21" s="147" t="str"/>
      <x:c r="D21" s="147" t="str"/>
      <x:c r="E21" s="147" t="str">
        <x:v>Meses relativos al inicio</x:v>
      </x:c>
      <x:c r="F21" s="147" t="str">
        <x:v>Fechas reales al iniciar el proyecto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</x:row>
    <x:row r="22" ht="66" customHeight="1">
      <x:c r="A22" s="147" t="str">
        <x:v>Jerarquía</x:v>
      </x:c>
      <x:c r="B22" s="147" t="str">
        <x:v>Épicas → Features → Historias</x:v>
      </x:c>
      <x:c r="C22" s="147" t="str"/>
      <x:c r="D22" s="147" t="str"/>
      <x:c r="E22" s="147" t="str">
        <x:v>Tareas y sprints enlazadas</x:v>
      </x:c>
      <x:c r="F22" s="147" t="str">
        <x:v>Horas sin doble conteo</x:v>
      </x:c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</x:row>
    <x:row r="23" ht="28" customHeight="1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</x:row>
    <x:row r="24" ht="42" customHeight="1">
      <x:c r="A24" s="154" t="str">
        <x:v>Calendario</x:v>
      </x:c>
      <x:c r="B24" s="147" t="str">
        <x:v>Dos semanas nominales; asignación a meses para presupuesto.</x:v>
      </x:c>
      <x:c r="C24" s="147"/>
      <x:c r="D24" s="147"/>
      <x:c r="E24" s="147"/>
      <x:c r="F24" s="147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</x:row>
    <x:row r="25" ht="42" customHeight="1">
      <x:c r="A25" s="154" t="str">
        <x:v>Horas</x:v>
      </x:c>
      <x:c r="B25" s="147" t="str">
        <x:v>Estimaciones de alumnos según experiencia en trabajos prácticos profesionales y electrónica. Ajustar con tiempos reales.</x:v>
      </x:c>
      <x:c r="C25" s="147"/>
      <x:c r="D25" s="147"/>
      <x:c r="E25" s="147"/>
      <x:c r="F25" s="147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</x:row>
    <x:row r="26" ht="42" customHeight="1">
      <x:c r="A26" s="154" t="str">
        <x:v>Reserva</x:v>
      </x:c>
      <x:c r="B26" s="147" t="str">
        <x:v>Capacidad no asignada para retrabajo, contingencias y ausencias.</x:v>
      </x:c>
      <x:c r="C26" s="147"/>
      <x:c r="D26" s="147"/>
      <x:c r="E26" s="147"/>
      <x:c r="F26" s="147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</x:row>
    <x:row r="27" ht="42" customHeight="1">
      <x:c r="A27" s="154" t="str">
        <x:v>Autorización</x:v>
      </x:c>
      <x:c r="B27" s="147" t="str">
        <x:v>Las ventanas de terceros son estimadas. Sin aprobación se reprograman actividades y ventas.</x:v>
      </x:c>
      <x:c r="C27" s="147"/>
      <x:c r="D27" s="147"/>
      <x:c r="E27" s="147"/>
      <x:c r="F27" s="147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</x:row>
    <x:row r="28" ht="28" customHeight="1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</x:row>
    <x:row r="29" ht="28" customHeight="1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</x:row>
    <x:row r="30" ht="44" customHeight="1">
      <x:c r="A30" s="246" t="str">
        <x:v>Mes</x:v>
      </x:c>
      <x:c r="B30" s="246" t="str">
        <x:v>Software h</x:v>
      </x:c>
      <x:c r="C30" s="246" t="str">
        <x:v>Embebidos h</x:v>
      </x:c>
      <x:c r="D30" s="246" t="str">
        <x:v>QA h</x:v>
      </x:c>
      <x:c r="E30" s="246" t="str">
        <x:v>Laboratorio h</x:v>
      </x:c>
      <x:c r="F30" s="246" t="str">
        <x:v>Capacidad por persona</x:v>
      </x:c>
      <x:c r="G30" s="246" t="str">
        <x:v>Disponible software</x:v>
      </x:c>
      <x:c r="H30" s="246" t="str">
        <x:v>Disponible embebidos</x:v>
      </x:c>
      <x:c r="I30" s="246" t="str">
        <x:v>Disponible QA</x:v>
      </x:c>
      <x:c r="J30" s="246" t="str">
        <x:v>Disponible laboratorio</x:v>
      </x:c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</x:row>
    <x:row r="31" ht="28" customHeight="1">
      <x:c r="A31" s="147" t="n">
        <x:v>1</x:v>
      </x:c>
      <x:c r="B31" s="169" t="n">
        <x:f>SUMIF('Tareas y sprints'!$D$2:$D$200,$A31,'Tareas y sprints'!$H$2:$H$200)</x:f>
        <x:v>126.35</x:v>
      </x:c>
      <x:c r="C31" s="169" t="n">
        <x:f>SUMIF('Tareas y sprints'!$D$2:$D$200,$A31,'Tareas y sprints'!$I$2:$I$200)</x:f>
        <x:v>130.05</x:v>
      </x:c>
      <x:c r="D31" s="169" t="n">
        <x:f>SUMIF('Tareas y sprints'!$D$2:$D$200,$A31,'Tareas y sprints'!$J$2:$J$200)</x:f>
        <x:v>93.05</x:v>
      </x:c>
      <x:c r="E31" s="169" t="n">
        <x:f>SUMIF('Tareas y sprints'!$D$2:$D$200,$A31,'Tareas y sprints'!$K$2:$K$200)</x:f>
        <x:v>113.4</x:v>
      </x:c>
      <x:c r="F31" s="169" t="n">
        <x:f>'Supuestos'!$B$54</x:f>
        <x:v>160</x:v>
      </x:c>
      <x:c r="G31" s="169" t="n">
        <x:f>$F31-B31</x:f>
        <x:v>33.650000000000006</x:v>
      </x:c>
      <x:c r="H31" s="169" t="n">
        <x:f>$F31-C31</x:f>
        <x:v>29.94999999999999</x:v>
      </x:c>
      <x:c r="I31" s="169" t="n">
        <x:f>$F31-D31</x:f>
        <x:v>66.95</x:v>
      </x:c>
      <x:c r="J31" s="169" t="n">
        <x:f>$F31-E31</x:f>
        <x:v>46.599999999999994</x:v>
      </x:c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</x:row>
    <x:row r="32" ht="28" customHeight="1">
      <x:c r="A32" s="147" t="n">
        <x:v>2</x:v>
      </x:c>
      <x:c r="B32" s="169" t="n">
        <x:f>SUMIF('Tareas y sprints'!$D$2:$D$200,$A32,'Tareas y sprints'!$H$2:$H$200)</x:f>
        <x:v>151.45</x:v>
      </x:c>
      <x:c r="C32" s="169" t="n">
        <x:f>SUMIF('Tareas y sprints'!$D$2:$D$200,$A32,'Tareas y sprints'!$I$2:$I$200)</x:f>
        <x:v>135.35</x:v>
      </x:c>
      <x:c r="D32" s="169" t="n">
        <x:f>SUMIF('Tareas y sprints'!$D$2:$D$200,$A32,'Tareas y sprints'!$J$2:$J$200)</x:f>
        <x:v>100.35</x:v>
      </x:c>
      <x:c r="E32" s="169" t="n">
        <x:f>SUMIF('Tareas y sprints'!$D$2:$D$200,$A32,'Tareas y sprints'!$K$2:$K$200)</x:f>
        <x:v>117.8</x:v>
      </x:c>
      <x:c r="F32" s="169" t="n">
        <x:f>'Supuestos'!$B$54</x:f>
        <x:v>160</x:v>
      </x:c>
      <x:c r="G32" s="169" t="n">
        <x:f>$F32-B32</x:f>
        <x:v>8.550000000000011</x:v>
      </x:c>
      <x:c r="H32" s="169" t="n">
        <x:f>$F32-C32</x:f>
        <x:v>24.650000000000006</x:v>
      </x:c>
      <x:c r="I32" s="169" t="n">
        <x:f>$F32-D32</x:f>
        <x:v>59.650000000000006</x:v>
      </x:c>
      <x:c r="J32" s="169" t="n">
        <x:f>$F32-E32</x:f>
        <x:v>42.2</x:v>
      </x:c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</x:row>
    <x:row r="33" ht="28" customHeight="1">
      <x:c r="A33" s="147" t="n">
        <x:v>3</x:v>
      </x:c>
      <x:c r="B33" s="169" t="n">
        <x:f>SUMIF('Tareas y sprints'!$D$2:$D$200,$A33,'Tareas y sprints'!$H$2:$H$200)</x:f>
        <x:v>139.1</x:v>
      </x:c>
      <x:c r="C33" s="169" t="n">
        <x:f>SUMIF('Tareas y sprints'!$D$2:$D$200,$A33,'Tareas y sprints'!$I$2:$I$200)</x:f>
        <x:v>143.3</x:v>
      </x:c>
      <x:c r="D33" s="169" t="n">
        <x:f>SUMIF('Tareas y sprints'!$D$2:$D$200,$A33,'Tareas y sprints'!$J$2:$J$200)</x:f>
        <x:v>101.3</x:v>
      </x:c>
      <x:c r="E33" s="169" t="n">
        <x:f>SUMIF('Tareas y sprints'!$D$2:$D$200,$A33,'Tareas y sprints'!$K$2:$K$200)</x:f>
        <x:v>124.39999999999999</x:v>
      </x:c>
      <x:c r="F33" s="169" t="n">
        <x:f>'Supuestos'!$B$54</x:f>
        <x:v>160</x:v>
      </x:c>
      <x:c r="G33" s="169" t="n">
        <x:f>$F33-B33</x:f>
        <x:v>20.900000000000006</x:v>
      </x:c>
      <x:c r="H33" s="169" t="n">
        <x:f>$F33-C33</x:f>
        <x:v>16.69999999999999</x:v>
      </x:c>
      <x:c r="I33" s="169" t="n">
        <x:f>$F33-D33</x:f>
        <x:v>58.7</x:v>
      </x:c>
      <x:c r="J33" s="169" t="n">
        <x:f>$F33-E33</x:f>
        <x:v>35.60000000000001</x:v>
      </x:c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</x:row>
    <x:row r="34" ht="28" customHeight="1">
      <x:c r="A34" s="147" t="n">
        <x:v>4</x:v>
      </x:c>
      <x:c r="B34" s="169" t="n">
        <x:f>SUMIF('Tareas y sprints'!$D$2:$D$200,$A34,'Tareas y sprints'!$H$2:$H$200)</x:f>
        <x:v>146.35</x:v>
      </x:c>
      <x:c r="C34" s="169" t="n">
        <x:f>SUMIF('Tareas y sprints'!$D$2:$D$200,$A34,'Tareas y sprints'!$I$2:$I$200)</x:f>
        <x:v>130.05</x:v>
      </x:c>
      <x:c r="D34" s="169" t="n">
        <x:f>SUMIF('Tareas y sprints'!$D$2:$D$200,$A34,'Tareas y sprints'!$J$2:$J$200)</x:f>
        <x:v>103.05</x:v>
      </x:c>
      <x:c r="E34" s="169" t="n">
        <x:f>SUMIF('Tareas y sprints'!$D$2:$D$200,$A34,'Tareas y sprints'!$K$2:$K$200)</x:f>
        <x:v>113.4</x:v>
      </x:c>
      <x:c r="F34" s="169" t="n">
        <x:f>'Supuestos'!$B$54</x:f>
        <x:v>160</x:v>
      </x:c>
      <x:c r="G34" s="169" t="n">
        <x:f>$F34-B34</x:f>
        <x:v>13.650000000000006</x:v>
      </x:c>
      <x:c r="H34" s="169" t="n">
        <x:f>$F34-C34</x:f>
        <x:v>29.94999999999999</x:v>
      </x:c>
      <x:c r="I34" s="169" t="n">
        <x:f>$F34-D34</x:f>
        <x:v>56.95</x:v>
      </x:c>
      <x:c r="J34" s="169" t="n">
        <x:f>$F34-E34</x:f>
        <x:v>46.599999999999994</x:v>
      </x:c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</x:row>
    <x:row r="35" ht="28" customHeight="1">
      <x:c r="A35" s="147" t="n">
        <x:v>5</x:v>
      </x:c>
      <x:c r="B35" s="169" t="n">
        <x:f>SUMIF('Tareas y sprints'!$D$2:$D$200,$A35,'Tareas y sprints'!$H$2:$H$200)</x:f>
        <x:v>139.35</x:v>
      </x:c>
      <x:c r="C35" s="169" t="n">
        <x:f>SUMIF('Tareas y sprints'!$D$2:$D$200,$A35,'Tareas y sprints'!$I$2:$I$200)</x:f>
        <x:v>138.35</x:v>
      </x:c>
      <x:c r="D35" s="169" t="n">
        <x:f>SUMIF('Tareas y sprints'!$D$2:$D$200,$A35,'Tareas y sprints'!$J$2:$J$200)</x:f>
        <x:v>110.35</x:v>
      </x:c>
      <x:c r="E35" s="169" t="n">
        <x:f>SUMIF('Tareas y sprints'!$D$2:$D$200,$A35,'Tareas y sprints'!$K$2:$K$200)</x:f>
        <x:v>125.89999999999999</x:v>
      </x:c>
      <x:c r="F35" s="169" t="n">
        <x:f>'Supuestos'!$B$54</x:f>
        <x:v>160</x:v>
      </x:c>
      <x:c r="G35" s="169" t="n">
        <x:f>$F35-B35</x:f>
        <x:v>20.650000000000006</x:v>
      </x:c>
      <x:c r="H35" s="169" t="n">
        <x:f>$F35-C35</x:f>
        <x:v>21.650000000000006</x:v>
      </x:c>
      <x:c r="I35" s="169" t="n">
        <x:f>$F35-D35</x:f>
        <x:v>49.650000000000006</x:v>
      </x:c>
      <x:c r="J35" s="169" t="n">
        <x:f>$F35-E35</x:f>
        <x:v>34.10000000000001</x:v>
      </x:c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</x:row>
    <x:row r="36" ht="28" customHeight="1">
      <x:c r="A36" s="147" t="n">
        <x:v>6</x:v>
      </x:c>
      <x:c r="B36" s="169" t="n">
        <x:f>SUMIF('Tareas y sprints'!$D$2:$D$200,$A36,'Tareas y sprints'!$H$2:$H$200)</x:f>
        <x:v>132.29999999999998</x:v>
      </x:c>
      <x:c r="C36" s="169" t="n">
        <x:f>SUMIF('Tareas y sprints'!$D$2:$D$200,$A36,'Tareas y sprints'!$I$2:$I$200)</x:f>
        <x:v>136.25</x:v>
      </x:c>
      <x:c r="D36" s="169" t="n">
        <x:f>SUMIF('Tareas y sprints'!$D$2:$D$200,$A36,'Tareas y sprints'!$J$2:$J$200)</x:f>
        <x:v>96.91</x:v>
      </x:c>
      <x:c r="E36" s="169" t="n">
        <x:f>SUMIF('Tareas y sprints'!$D$2:$D$200,$A36,'Tareas y sprints'!$K$2:$K$200)</x:f>
        <x:v>118.54</x:v>
      </x:c>
      <x:c r="F36" s="169" t="n">
        <x:f>'Supuestos'!$B$54</x:f>
        <x:v>160</x:v>
      </x:c>
      <x:c r="G36" s="169" t="n">
        <x:f>$F36-B36</x:f>
        <x:v>27.700000000000017</x:v>
      </x:c>
      <x:c r="H36" s="169" t="n">
        <x:f>$F36-C36</x:f>
        <x:v>23.75</x:v>
      </x:c>
      <x:c r="I36" s="169" t="n">
        <x:f>$F36-D36</x:f>
        <x:v>63.09</x:v>
      </x:c>
      <x:c r="J36" s="169" t="n">
        <x:f>$F36-E36</x:f>
        <x:v>41.459999999999994</x:v>
      </x:c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</x:row>
    <x:row r="37" ht="28" customHeight="1">
      <x:c r="A37" s="147" t="n">
        <x:v>7</x:v>
      </x:c>
      <x:c r="B37" s="169" t="n">
        <x:f>SUMIF('Tareas y sprints'!$D$2:$D$200,$A37,'Tareas y sprints'!$H$2:$H$200)</x:f>
        <x:v>139.1</x:v>
      </x:c>
      <x:c r="C37" s="169" t="n">
        <x:f>SUMIF('Tareas y sprints'!$D$2:$D$200,$A37,'Tareas y sprints'!$I$2:$I$200)</x:f>
        <x:v>143.3</x:v>
      </x:c>
      <x:c r="D37" s="169" t="n">
        <x:f>SUMIF('Tareas y sprints'!$D$2:$D$200,$A37,'Tareas y sprints'!$J$2:$J$200)</x:f>
        <x:v>101.3</x:v>
      </x:c>
      <x:c r="E37" s="169" t="n">
        <x:f>SUMIF('Tareas y sprints'!$D$2:$D$200,$A37,'Tareas y sprints'!$K$2:$K$200)</x:f>
        <x:v>124.39999999999999</x:v>
      </x:c>
      <x:c r="F37" s="169" t="n">
        <x:f>'Supuestos'!$B$54</x:f>
        <x:v>160</x:v>
      </x:c>
      <x:c r="G37" s="169" t="n">
        <x:f>$F37-B37</x:f>
        <x:v>20.900000000000006</x:v>
      </x:c>
      <x:c r="H37" s="169" t="n">
        <x:f>$F37-C37</x:f>
        <x:v>16.69999999999999</x:v>
      </x:c>
      <x:c r="I37" s="169" t="n">
        <x:f>$F37-D37</x:f>
        <x:v>58.7</x:v>
      </x:c>
      <x:c r="J37" s="169" t="n">
        <x:f>$F37-E37</x:f>
        <x:v>35.60000000000001</x:v>
      </x:c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</x:row>
    <x:row r="38" ht="28" customHeight="1">
      <x:c r="A38" s="147" t="n">
        <x:v>8</x:v>
      </x:c>
      <x:c r="B38" s="169" t="n">
        <x:f>SUMIF('Tareas y sprints'!$D$2:$D$200,$A38,'Tareas y sprints'!$H$2:$H$200)</x:f>
        <x:v>138.35</x:v>
      </x:c>
      <x:c r="C38" s="169" t="n">
        <x:f>SUMIF('Tareas y sprints'!$D$2:$D$200,$A38,'Tareas y sprints'!$I$2:$I$200)</x:f>
        <x:v>130.05</x:v>
      </x:c>
      <x:c r="D38" s="169" t="n">
        <x:f>SUMIF('Tareas y sprints'!$D$2:$D$200,$A38,'Tareas y sprints'!$J$2:$J$200)</x:f>
        <x:v>99.05</x:v>
      </x:c>
      <x:c r="E38" s="169" t="n">
        <x:f>SUMIF('Tareas y sprints'!$D$2:$D$200,$A38,'Tareas y sprints'!$K$2:$K$200)</x:f>
        <x:v>113.4</x:v>
      </x:c>
      <x:c r="F38" s="169" t="n">
        <x:f>'Supuestos'!$B$54</x:f>
        <x:v>160</x:v>
      </x:c>
      <x:c r="G38" s="169" t="n">
        <x:f>$F38-B38</x:f>
        <x:v>21.650000000000006</x:v>
      </x:c>
      <x:c r="H38" s="169" t="n">
        <x:f>$F38-C38</x:f>
        <x:v>29.94999999999999</x:v>
      </x:c>
      <x:c r="I38" s="169" t="n">
        <x:f>$F38-D38</x:f>
        <x:v>60.95</x:v>
      </x:c>
      <x:c r="J38" s="169" t="n">
        <x:f>$F38-E38</x:f>
        <x:v>46.599999999999994</x:v>
      </x:c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</x:row>
    <x:row r="39" ht="28" customHeight="1">
      <x:c r="A39" s="147" t="n">
        <x:v>9</x:v>
      </x:c>
      <x:c r="B39" s="169" t="n">
        <x:f>SUMIF('Tareas y sprints'!$D$2:$D$200,$A39,'Tareas y sprints'!$H$2:$H$200)</x:f>
        <x:v>132.29999999999998</x:v>
      </x:c>
      <x:c r="C39" s="169" t="n">
        <x:f>SUMIF('Tareas y sprints'!$D$2:$D$200,$A39,'Tareas y sprints'!$I$2:$I$200)</x:f>
        <x:v>136.25</x:v>
      </x:c>
      <x:c r="D39" s="169" t="n">
        <x:f>SUMIF('Tareas y sprints'!$D$2:$D$200,$A39,'Tareas y sprints'!$J$2:$J$200)</x:f>
        <x:v>96.91</x:v>
      </x:c>
      <x:c r="E39" s="169" t="n">
        <x:f>SUMIF('Tareas y sprints'!$D$2:$D$200,$A39,'Tareas y sprints'!$K$2:$K$200)</x:f>
        <x:v>118.53999999999999</x:v>
      </x:c>
      <x:c r="F39" s="169" t="n">
        <x:f>'Supuestos'!$B$54</x:f>
        <x:v>160</x:v>
      </x:c>
      <x:c r="G39" s="169" t="n">
        <x:f>$F39-B39</x:f>
        <x:v>27.700000000000017</x:v>
      </x:c>
      <x:c r="H39" s="169" t="n">
        <x:f>$F39-C39</x:f>
        <x:v>23.75</x:v>
      </x:c>
      <x:c r="I39" s="169" t="n">
        <x:f>$F39-D39</x:f>
        <x:v>63.09</x:v>
      </x:c>
      <x:c r="J39" s="169" t="n">
        <x:f>$F39-E39</x:f>
        <x:v>41.46000000000001</x:v>
      </x:c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</x:row>
    <x:row r="40" ht="28" customHeight="1">
      <x:c r="A40" s="147" t="n">
        <x:v>10</x:v>
      </x:c>
      <x:c r="B40" s="169" t="n">
        <x:f>SUMIF('Tareas y sprints'!$D$2:$D$200,$A40,'Tareas y sprints'!$H$2:$H$200)</x:f>
        <x:v>131.45</x:v>
      </x:c>
      <x:c r="C40" s="169" t="n">
        <x:f>SUMIF('Tareas y sprints'!$D$2:$D$200,$A40,'Tareas y sprints'!$I$2:$I$200)</x:f>
        <x:v>135.35</x:v>
      </x:c>
      <x:c r="D40" s="169" t="n">
        <x:f>SUMIF('Tareas y sprints'!$D$2:$D$200,$A40,'Tareas y sprints'!$J$2:$J$200)</x:f>
        <x:v>96.35</x:v>
      </x:c>
      <x:c r="E40" s="169" t="n">
        <x:f>SUMIF('Tareas y sprints'!$D$2:$D$200,$A40,'Tareas y sprints'!$K$2:$K$200)</x:f>
        <x:v>117.8</x:v>
      </x:c>
      <x:c r="F40" s="169" t="n">
        <x:f>'Supuestos'!$B$54</x:f>
        <x:v>160</x:v>
      </x:c>
      <x:c r="G40" s="169" t="n">
        <x:f>$F40-B40</x:f>
        <x:v>28.55000000000001</x:v>
      </x:c>
      <x:c r="H40" s="169" t="n">
        <x:f>$F40-C40</x:f>
        <x:v>24.650000000000006</x:v>
      </x:c>
      <x:c r="I40" s="169" t="n">
        <x:f>$F40-D40</x:f>
        <x:v>63.650000000000006</x:v>
      </x:c>
      <x:c r="J40" s="169" t="n">
        <x:f>$F40-E40</x:f>
        <x:v>42.2</x:v>
      </x:c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</x:row>
    <x:row r="41" ht="28" customHeight="1">
      <x:c r="A41" s="147" t="n">
        <x:v>11</x:v>
      </x:c>
      <x:c r="B41" s="169" t="n">
        <x:f>SUMIF('Tareas y sprints'!$D$2:$D$200,$A41,'Tareas y sprints'!$H$2:$H$200)</x:f>
        <x:v>139.1</x:v>
      </x:c>
      <x:c r="C41" s="169" t="n">
        <x:f>SUMIF('Tareas y sprints'!$D$2:$D$200,$A41,'Tareas y sprints'!$I$2:$I$200)</x:f>
        <x:v>143.3</x:v>
      </x:c>
      <x:c r="D41" s="169" t="n">
        <x:f>SUMIF('Tareas y sprints'!$D$2:$D$200,$A41,'Tareas y sprints'!$J$2:$J$200)</x:f>
        <x:v>101.3</x:v>
      </x:c>
      <x:c r="E41" s="169" t="n">
        <x:f>SUMIF('Tareas y sprints'!$D$2:$D$200,$A41,'Tareas y sprints'!$K$2:$K$200)</x:f>
        <x:v>124.39999999999999</x:v>
      </x:c>
      <x:c r="F41" s="169" t="n">
        <x:f>'Supuestos'!$B$54</x:f>
        <x:v>160</x:v>
      </x:c>
      <x:c r="G41" s="169" t="n">
        <x:f>$F41-B41</x:f>
        <x:v>20.900000000000006</x:v>
      </x:c>
      <x:c r="H41" s="169" t="n">
        <x:f>$F41-C41</x:f>
        <x:v>16.69999999999999</x:v>
      </x:c>
      <x:c r="I41" s="169" t="n">
        <x:f>$F41-D41</x:f>
        <x:v>58.7</x:v>
      </x:c>
      <x:c r="J41" s="169" t="n">
        <x:f>$F41-E41</x:f>
        <x:v>35.60000000000001</x:v>
      </x:c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</x:row>
    <x:row r="42" ht="28" customHeight="1">
      <x:c r="A42" s="147" t="n">
        <x:v>12</x:v>
      </x:c>
      <x:c r="B42" s="169" t="n">
        <x:f>SUMIF('Tareas y sprints'!$D$2:$D$200,$A42,'Tareas y sprints'!$H$2:$H$200)</x:f>
        <x:v>126.35</x:v>
      </x:c>
      <x:c r="C42" s="169" t="n">
        <x:f>SUMIF('Tareas y sprints'!$D$2:$D$200,$A42,'Tareas y sprints'!$I$2:$I$200)</x:f>
        <x:v>130.05</x:v>
      </x:c>
      <x:c r="D42" s="169" t="n">
        <x:f>SUMIF('Tareas y sprints'!$D$2:$D$200,$A42,'Tareas y sprints'!$J$2:$J$200)</x:f>
        <x:v>93.05</x:v>
      </x:c>
      <x:c r="E42" s="169" t="n">
        <x:f>SUMIF('Tareas y sprints'!$D$2:$D$200,$A42,'Tareas y sprints'!$K$2:$K$200)</x:f>
        <x:v>113.4</x:v>
      </x:c>
      <x:c r="F42" s="169" t="n">
        <x:f>'Supuestos'!$B$54</x:f>
        <x:v>160</x:v>
      </x:c>
      <x:c r="G42" s="169" t="n">
        <x:f>$F42-B42</x:f>
        <x:v>33.650000000000006</x:v>
      </x:c>
      <x:c r="H42" s="169" t="n">
        <x:f>$F42-C42</x:f>
        <x:v>29.94999999999999</x:v>
      </x:c>
      <x:c r="I42" s="169" t="n">
        <x:f>$F42-D42</x:f>
        <x:v>66.95</x:v>
      </x:c>
      <x:c r="J42" s="169" t="n">
        <x:f>$F42-E42</x:f>
        <x:v>46.599999999999994</x:v>
      </x:c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</x:row>
    <x:row r="43" ht="28" customHeight="1">
      <x:c r="A43" s="147" t="n">
        <x:v>13</x:v>
      </x:c>
      <x:c r="B43" s="169" t="n">
        <x:f>SUMIF('Tareas y sprints'!$D$2:$D$200,$A43,'Tareas y sprints'!$H$2:$H$200)</x:f>
        <x:v>131.45</x:v>
      </x:c>
      <x:c r="C43" s="169" t="n">
        <x:f>SUMIF('Tareas y sprints'!$D$2:$D$200,$A43,'Tareas y sprints'!$I$2:$I$200)</x:f>
        <x:v>135.35</x:v>
      </x:c>
      <x:c r="D43" s="169" t="n">
        <x:f>SUMIF('Tareas y sprints'!$D$2:$D$200,$A43,'Tareas y sprints'!$J$2:$J$200)</x:f>
        <x:v>96.35</x:v>
      </x:c>
      <x:c r="E43" s="169" t="n">
        <x:f>SUMIF('Tareas y sprints'!$D$2:$D$200,$A43,'Tareas y sprints'!$K$2:$K$200)</x:f>
        <x:v>117.8</x:v>
      </x:c>
      <x:c r="F43" s="169" t="n">
        <x:f>'Supuestos'!$B$54</x:f>
        <x:v>160</x:v>
      </x:c>
      <x:c r="G43" s="169" t="n">
        <x:f>$F43-B43</x:f>
        <x:v>28.55000000000001</x:v>
      </x:c>
      <x:c r="H43" s="169" t="n">
        <x:f>$F43-C43</x:f>
        <x:v>24.650000000000006</x:v>
      </x:c>
      <x:c r="I43" s="169" t="n">
        <x:f>$F43-D43</x:f>
        <x:v>63.650000000000006</x:v>
      </x:c>
      <x:c r="J43" s="169" t="n">
        <x:f>$F43-E43</x:f>
        <x:v>42.2</x:v>
      </x:c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</x:row>
    <x:row r="44" ht="28" customHeight="1">
      <x:c r="A44" s="147" t="n">
        <x:v>14</x:v>
      </x:c>
      <x:c r="B44" s="169" t="n">
        <x:f>SUMIF('Tareas y sprints'!$D$2:$D$200,$A44,'Tareas y sprints'!$H$2:$H$200)</x:f>
        <x:v>139.1</x:v>
      </x:c>
      <x:c r="C44" s="169" t="n">
        <x:f>SUMIF('Tareas y sprints'!$D$2:$D$200,$A44,'Tareas y sprints'!$I$2:$I$200)</x:f>
        <x:v>143.3</x:v>
      </x:c>
      <x:c r="D44" s="169" t="n">
        <x:f>SUMIF('Tareas y sprints'!$D$2:$D$200,$A44,'Tareas y sprints'!$J$2:$J$200)</x:f>
        <x:v>101.3</x:v>
      </x:c>
      <x:c r="E44" s="169" t="n">
        <x:f>SUMIF('Tareas y sprints'!$D$2:$D$200,$A44,'Tareas y sprints'!$K$2:$K$200)</x:f>
        <x:v>124.39999999999999</x:v>
      </x:c>
      <x:c r="F44" s="169" t="n">
        <x:f>'Supuestos'!$B$54</x:f>
        <x:v>160</x:v>
      </x:c>
      <x:c r="G44" s="169" t="n">
        <x:f>$F44-B44</x:f>
        <x:v>20.900000000000006</x:v>
      </x:c>
      <x:c r="H44" s="169" t="n">
        <x:f>$F44-C44</x:f>
        <x:v>16.69999999999999</x:v>
      </x:c>
      <x:c r="I44" s="169" t="n">
        <x:f>$F44-D44</x:f>
        <x:v>58.7</x:v>
      </x:c>
      <x:c r="J44" s="169" t="n">
        <x:f>$F44-E44</x:f>
        <x:v>35.60000000000001</x:v>
      </x:c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</x:row>
    <x:row r="45" ht="28" customHeight="1">
      <x:c r="A45" s="147" t="n">
        <x:v>15</x:v>
      </x:c>
      <x:c r="B45" s="169" t="n">
        <x:f>SUMIF('Tareas y sprints'!$D$2:$D$200,$A45,'Tareas y sprints'!$H$2:$H$200)</x:f>
        <x:v>126.35</x:v>
      </x:c>
      <x:c r="C45" s="169" t="n">
        <x:f>SUMIF('Tareas y sprints'!$D$2:$D$200,$A45,'Tareas y sprints'!$I$2:$I$200)</x:f>
        <x:v>130.05</x:v>
      </x:c>
      <x:c r="D45" s="169" t="n">
        <x:f>SUMIF('Tareas y sprints'!$D$2:$D$200,$A45,'Tareas y sprints'!$J$2:$J$200)</x:f>
        <x:v>93.05</x:v>
      </x:c>
      <x:c r="E45" s="169" t="n">
        <x:f>SUMIF('Tareas y sprints'!$D$2:$D$200,$A45,'Tareas y sprints'!$K$2:$K$200)</x:f>
        <x:v>113.4</x:v>
      </x:c>
      <x:c r="F45" s="169" t="n">
        <x:f>'Supuestos'!$B$54</x:f>
        <x:v>160</x:v>
      </x:c>
      <x:c r="G45" s="169" t="n">
        <x:f>$F45-B45</x:f>
        <x:v>33.650000000000006</x:v>
      </x:c>
      <x:c r="H45" s="169" t="n">
        <x:f>$F45-C45</x:f>
        <x:v>29.94999999999999</x:v>
      </x:c>
      <x:c r="I45" s="169" t="n">
        <x:f>$F45-D45</x:f>
        <x:v>66.95</x:v>
      </x:c>
      <x:c r="J45" s="169" t="n">
        <x:f>$F45-E45</x:f>
        <x:v>46.599999999999994</x:v>
      </x:c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</x:row>
    <x:row r="46" ht="28" customHeight="1">
      <x:c r="A46" s="147" t="n">
        <x:v>16</x:v>
      </x:c>
      <x:c r="B46" s="169" t="n">
        <x:f>SUMIF('Tareas y sprints'!$D$2:$D$200,$A46,'Tareas y sprints'!$H$2:$H$200)</x:f>
        <x:v>131.45</x:v>
      </x:c>
      <x:c r="C46" s="169" t="n">
        <x:f>SUMIF('Tareas y sprints'!$D$2:$D$200,$A46,'Tareas y sprints'!$I$2:$I$200)</x:f>
        <x:v>135.35</x:v>
      </x:c>
      <x:c r="D46" s="169" t="n">
        <x:f>SUMIF('Tareas y sprints'!$D$2:$D$200,$A46,'Tareas y sprints'!$J$2:$J$200)</x:f>
        <x:v>96.35</x:v>
      </x:c>
      <x:c r="E46" s="169" t="n">
        <x:f>SUMIF('Tareas y sprints'!$D$2:$D$200,$A46,'Tareas y sprints'!$K$2:$K$200)</x:f>
        <x:v>117.8</x:v>
      </x:c>
      <x:c r="F46" s="169" t="n">
        <x:f>'Supuestos'!$B$54</x:f>
        <x:v>160</x:v>
      </x:c>
      <x:c r="G46" s="169" t="n">
        <x:f>$F46-B46</x:f>
        <x:v>28.55000000000001</x:v>
      </x:c>
      <x:c r="H46" s="169" t="n">
        <x:f>$F46-C46</x:f>
        <x:v>24.650000000000006</x:v>
      </x:c>
      <x:c r="I46" s="169" t="n">
        <x:f>$F46-D46</x:f>
        <x:v>63.650000000000006</x:v>
      </x:c>
      <x:c r="J46" s="169" t="n">
        <x:f>$F46-E46</x:f>
        <x:v>42.2</x:v>
      </x:c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</x:row>
    <x:row r="47" ht="28" customHeight="1">
      <x:c r="A47" s="147" t="n">
        <x:v>17</x:v>
      </x:c>
      <x:c r="B47" s="169" t="n">
        <x:f>SUMIF('Tareas y sprints'!$D$2:$D$200,$A47,'Tareas y sprints'!$H$2:$H$200)</x:f>
        <x:v>125.8</x:v>
      </x:c>
      <x:c r="C47" s="169" t="n">
        <x:f>SUMIF('Tareas y sprints'!$D$2:$D$200,$A47,'Tareas y sprints'!$I$2:$I$200)</x:f>
        <x:v>125.3</x:v>
      </x:c>
      <x:c r="D47" s="169" t="n">
        <x:f>SUMIF('Tareas y sprints'!$D$2:$D$200,$A47,'Tareas y sprints'!$J$2:$J$200)</x:f>
        <x:v>158.8</x:v>
      </x:c>
      <x:c r="E47" s="169" t="n">
        <x:f>SUMIF('Tareas y sprints'!$D$2:$D$200,$A47,'Tareas y sprints'!$K$2:$K$200)</x:f>
        <x:v>138.1</x:v>
      </x:c>
      <x:c r="F47" s="169" t="n">
        <x:f>'Supuestos'!$B$54</x:f>
        <x:v>160</x:v>
      </x:c>
      <x:c r="G47" s="169" t="n">
        <x:f>$F47-B47</x:f>
        <x:v>34.2</x:v>
      </x:c>
      <x:c r="H47" s="169" t="n">
        <x:f>$F47-C47</x:f>
        <x:v>34.7</x:v>
      </x:c>
      <x:c r="I47" s="169" t="n">
        <x:f>$F47-D47</x:f>
        <x:v>1.1999999999999886</x:v>
      </x:c>
      <x:c r="J47" s="169" t="n">
        <x:f>$F47-E47</x:f>
        <x:v>21.900000000000006</x:v>
      </x:c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</x:row>
    <x:row r="48" ht="28" customHeight="1">
      <x:c r="A48" s="147" t="n">
        <x:v>18</x:v>
      </x:c>
      <x:c r="B48" s="169" t="n">
        <x:f>SUMIF('Tareas y sprints'!$D$2:$D$200,$A48,'Tareas y sprints'!$H$2:$H$200)</x:f>
        <x:v>132.3</x:v>
      </x:c>
      <x:c r="C48" s="169" t="n">
        <x:f>SUMIF('Tareas y sprints'!$D$2:$D$200,$A48,'Tareas y sprints'!$I$2:$I$200)</x:f>
        <x:v>136.25</x:v>
      </x:c>
      <x:c r="D48" s="169" t="n">
        <x:f>SUMIF('Tareas y sprints'!$D$2:$D$200,$A48,'Tareas y sprints'!$J$2:$J$200)</x:f>
        <x:v>96.91</x:v>
      </x:c>
      <x:c r="E48" s="169" t="n">
        <x:f>SUMIF('Tareas y sprints'!$D$2:$D$200,$A48,'Tareas y sprints'!$K$2:$K$200)</x:f>
        <x:v>118.54000000000002</x:v>
      </x:c>
      <x:c r="F48" s="169" t="n">
        <x:f>'Supuestos'!$B$54</x:f>
        <x:v>160</x:v>
      </x:c>
      <x:c r="G48" s="169" t="n">
        <x:f>$F48-B48</x:f>
        <x:v>27.69999999999999</x:v>
      </x:c>
      <x:c r="H48" s="169" t="n">
        <x:f>$F48-C48</x:f>
        <x:v>23.75</x:v>
      </x:c>
      <x:c r="I48" s="169" t="n">
        <x:f>$F48-D48</x:f>
        <x:v>63.09</x:v>
      </x:c>
      <x:c r="J48" s="169" t="n">
        <x:f>$F48-E48</x:f>
        <x:v>41.45999999999998</x:v>
      </x:c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</x:row>
    <x:row r="49" ht="28" customHeight="1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</x:row>
    <x:row r="50" ht="28" customHeight="1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</x:row>
    <x:row r="51" ht="52" customHeight="1">
      <x:c r="A51" s="249" t="str">
        <x:v>Sprint</x:v>
      </x:c>
      <x:c r="B51" s="249" t="str">
        <x:v>Mes</x:v>
      </x:c>
      <x:c r="C51" s="249" t="str">
        <x:v>Parche h</x:v>
      </x:c>
      <x:c r="D51" s="249" t="str">
        <x:v>Lector h</x:v>
      </x:c>
      <x:c r="E51" s="249" t="str">
        <x:v>Pulsera h</x:v>
      </x:c>
      <x:c r="F51" s="249" t="str">
        <x:v>Aplicación h</x:v>
      </x:c>
      <x:c r="G51" s="249" t="str">
        <x:v>Transversal h</x:v>
      </x:c>
      <x:c r="H51" s="249" t="str">
        <x:v>Total h</x:v>
      </x:c>
      <x:c r="I51" s="154"/>
      <x:c r="J51" s="244" t="str">
        <x:v>Software h</x:v>
      </x:c>
      <x:c r="K51" s="244" t="str">
        <x:v>Embebidos h</x:v>
      </x:c>
      <x:c r="L51" s="244" t="str">
        <x:v>QA h</x:v>
      </x:c>
      <x:c r="M51" s="244" t="str">
        <x:v>Laboratorio h</x:v>
      </x:c>
      <x:c r="N51" s="244" t="str">
        <x:v>Tope quincenal h/persona</x:v>
      </x:c>
      <x:c r="O51" s="244" t="str">
        <x:v>Holgura mínima h</x:v>
      </x:c>
      <x:c r="P51" s="154"/>
      <x:c r="Q51" s="154"/>
      <x:c r="R51" s="154"/>
      <x:c r="S51" s="154"/>
      <x:c r="T51" s="154"/>
      <x:c r="U51" s="154"/>
    </x:row>
    <x:row r="52" ht="28" customHeight="1">
      <x:c r="A52" s="154" t="n">
        <x:v>1</x:v>
      </x:c>
      <x:c r="B52" s="154" t="n">
        <x:v>1</x:v>
      </x:c>
      <x:c r="C52" s="170" t="n">
        <x:f>SUMIFS('Tareas y sprints'!$N$2:$N$200,'Tareas y sprints'!$E$2:$E$200,$A52,'Tareas y sprints'!$B$2:$B$200,"Parche descartable")</x:f>
        <x:v>43.349999999999994</x:v>
      </x:c>
      <x:c r="D52" s="170" t="n">
        <x:f>SUMIFS('Tareas y sprints'!$N$2:$N$200,'Tareas y sprints'!$E$2:$E$200,$A52,'Tareas y sprints'!$B$2:$B$200,"Lector reutilizable")</x:f>
        <x:v>34.85</x:v>
      </x:c>
      <x:c r="E52" s="170" t="n">
        <x:f>SUMIFS('Tareas y sprints'!$N$2:$N$200,'Tareas y sprints'!$E$2:$E$200,$A52,'Tareas y sprints'!$B$2:$B$200,"Pulsera")</x:f>
        <x:v>33.15</x:v>
      </x:c>
      <x:c r="F52" s="170" t="n">
        <x:f>SUMIFS('Tareas y sprints'!$N$2:$N$200,'Tareas y sprints'!$E$2:$E$200,$A52,'Tareas y sprints'!$B$2:$B$200,"Aplicación")</x:f>
        <x:v>42.49999999999999</x:v>
      </x:c>
      <x:c r="G52" s="170" t="n">
        <x:f>SUMIFS('Tareas y sprints'!$N$2:$N$200,'Tareas y sprints'!$E$2:$E$200,$A52,'Tareas y sprints'!$B$2:$B$200,"Transversal")</x:f>
        <x:v>64</x:v>
      </x:c>
      <x:c r="H52" s="170" t="n">
        <x:f>SUM(C52:G52)</x:f>
        <x:v>217.85</x:v>
      </x:c>
      <x:c r="I52" s="154"/>
      <x:c r="J52" s="169" t="n">
        <x:f>SUMIF('Tareas y sprints'!$E$2:$E$200,A52,'Tareas y sprints'!$H$2:$H$200)</x:f>
        <x:v>59.349999999999994</x:v>
      </x:c>
      <x:c r="K52" s="169" t="n">
        <x:f>SUMIF('Tareas y sprints'!$E$2:$E$200,A52,'Tareas y sprints'!$I$2:$I$200)</x:f>
        <x:v>61.05</x:v>
      </x:c>
      <x:c r="L52" s="169" t="n">
        <x:f>SUMIF('Tareas y sprints'!$E$2:$E$200,A52,'Tareas y sprints'!$J$2:$J$200)</x:f>
        <x:v>44.05</x:v>
      </x:c>
      <x:c r="M52" s="169" t="n">
        <x:f>SUMIF('Tareas y sprints'!$E$2:$E$200,A52,'Tareas y sprints'!$K$2:$K$200)</x:f>
        <x:v>53.4</x:v>
      </x:c>
      <x:c r="N52" s="169" t="n">
        <x:f>'Supuestos'!$B$54/2</x:f>
        <x:v>80</x:v>
      </x:c>
      <x:c r="O52" s="169" t="n">
        <x:f>N52-MAX(J52:M52)</x:f>
        <x:v>18.950000000000003</x:v>
      </x:c>
      <x:c r="P52" s="154"/>
      <x:c r="Q52" s="154"/>
      <x:c r="R52" s="154"/>
      <x:c r="S52" s="154"/>
      <x:c r="T52" s="154"/>
      <x:c r="U52" s="154"/>
    </x:row>
    <x:row r="53" ht="28" customHeight="1">
      <x:c r="A53" s="154" t="n">
        <x:v>2</x:v>
      </x:c>
      <x:c r="B53" s="154" t="n">
        <x:v>1</x:v>
      </x:c>
      <x:c r="C53" s="170" t="n">
        <x:f>SUMIFS('Tareas y sprints'!$N$2:$N$200,'Tareas y sprints'!$E$2:$E$200,$A53,'Tareas y sprints'!$B$2:$B$200,"Parche descartable")</x:f>
        <x:v>51</x:v>
      </x:c>
      <x:c r="D53" s="170" t="n">
        <x:f>SUMIFS('Tareas y sprints'!$N$2:$N$200,'Tareas y sprints'!$E$2:$E$200,$A53,'Tareas y sprints'!$B$2:$B$200,"Lector reutilizable")</x:f>
        <x:v>41</x:v>
      </x:c>
      <x:c r="E53" s="170" t="n">
        <x:f>SUMIFS('Tareas y sprints'!$N$2:$N$200,'Tareas y sprints'!$E$2:$E$200,$A53,'Tareas y sprints'!$B$2:$B$200,"Pulsera")</x:f>
        <x:v>39</x:v>
      </x:c>
      <x:c r="F53" s="170" t="n">
        <x:f>SUMIFS('Tareas y sprints'!$N$2:$N$200,'Tareas y sprints'!$E$2:$E$200,$A53,'Tareas y sprints'!$B$2:$B$200,"Aplicación")</x:f>
        <x:v>50</x:v>
      </x:c>
      <x:c r="G53" s="170" t="n">
        <x:f>SUMIFS('Tareas y sprints'!$N$2:$N$200,'Tareas y sprints'!$E$2:$E$200,$A53,'Tareas y sprints'!$B$2:$B$200,"Transversal")</x:f>
        <x:v>64</x:v>
      </x:c>
      <x:c r="H53" s="170" t="n">
        <x:f>SUM(C53:G53)</x:f>
        <x:v>245</x:v>
      </x:c>
      <x:c r="I53" s="154"/>
      <x:c r="J53" s="169" t="n">
        <x:f>SUMIF('Tareas y sprints'!$E$2:$E$200,A53,'Tareas y sprints'!$H$2:$H$200)</x:f>
        <x:v>67</x:v>
      </x:c>
      <x:c r="K53" s="169" t="n">
        <x:f>SUMIF('Tareas y sprints'!$E$2:$E$200,A53,'Tareas y sprints'!$I$2:$I$200)</x:f>
        <x:v>69</x:v>
      </x:c>
      <x:c r="L53" s="169" t="n">
        <x:f>SUMIF('Tareas y sprints'!$E$2:$E$200,A53,'Tareas y sprints'!$J$2:$J$200)</x:f>
        <x:v>49</x:v>
      </x:c>
      <x:c r="M53" s="169" t="n">
        <x:f>SUMIF('Tareas y sprints'!$E$2:$E$200,A53,'Tareas y sprints'!$K$2:$K$200)</x:f>
        <x:v>60</x:v>
      </x:c>
      <x:c r="N53" s="169" t="n">
        <x:f>'Supuestos'!$B$54/2</x:f>
        <x:v>80</x:v>
      </x:c>
      <x:c r="O53" s="169" t="n">
        <x:f>N53-MAX(J53:M53)</x:f>
        <x:v>11</x:v>
      </x:c>
      <x:c r="P53" s="154"/>
      <x:c r="Q53" s="154"/>
      <x:c r="R53" s="154"/>
      <x:c r="S53" s="154"/>
      <x:c r="T53" s="154"/>
      <x:c r="U53" s="154"/>
    </x:row>
    <x:row r="54" ht="28" customHeight="1">
      <x:c r="A54" s="154" t="n">
        <x:v>3</x:v>
      </x:c>
      <x:c r="B54" s="154" t="n">
        <x:v>2</x:v>
      </x:c>
      <x:c r="C54" s="170" t="n">
        <x:f>SUMIFS('Tareas y sprints'!$N$2:$N$200,'Tareas y sprints'!$E$2:$E$200,$A54,'Tareas y sprints'!$B$2:$B$200,"Parche descartable")</x:f>
        <x:v>56.099999999999994</x:v>
      </x:c>
      <x:c r="D54" s="170" t="n">
        <x:f>SUMIFS('Tareas y sprints'!$N$2:$N$200,'Tareas y sprints'!$E$2:$E$200,$A54,'Tareas y sprints'!$B$2:$B$200,"Lector reutilizable")</x:f>
        <x:v>45.1</x:v>
      </x:c>
      <x:c r="E54" s="170" t="n">
        <x:f>SUMIFS('Tareas y sprints'!$N$2:$N$200,'Tareas y sprints'!$E$2:$E$200,$A54,'Tareas y sprints'!$B$2:$B$200,"Pulsera")</x:f>
        <x:v>42.900000000000006</x:v>
      </x:c>
      <x:c r="F54" s="170" t="n">
        <x:f>SUMIFS('Tareas y sprints'!$N$2:$N$200,'Tareas y sprints'!$E$2:$E$200,$A54,'Tareas y sprints'!$B$2:$B$200,"Aplicación")</x:f>
        <x:v>54.99999999999999</x:v>
      </x:c>
      <x:c r="G54" s="170" t="n">
        <x:f>SUMIFS('Tareas y sprints'!$N$2:$N$200,'Tareas y sprints'!$E$2:$E$200,$A54,'Tareas y sprints'!$B$2:$B$200,"Transversal")</x:f>
        <x:v>64</x:v>
      </x:c>
      <x:c r="H54" s="170" t="n">
        <x:f>SUM(C54:G54)</x:f>
        <x:v>263.1</x:v>
      </x:c>
      <x:c r="I54" s="154"/>
      <x:c r="J54" s="169" t="n">
        <x:f>SUMIF('Tareas y sprints'!$E$2:$E$200,A54,'Tareas y sprints'!$H$2:$H$200)</x:f>
        <x:v>72.1</x:v>
      </x:c>
      <x:c r="K54" s="169" t="n">
        <x:f>SUMIF('Tareas y sprints'!$E$2:$E$200,A54,'Tareas y sprints'!$I$2:$I$200)</x:f>
        <x:v>74.3</x:v>
      </x:c>
      <x:c r="L54" s="169" t="n">
        <x:f>SUMIF('Tareas y sprints'!$E$2:$E$200,A54,'Tareas y sprints'!$J$2:$J$200)</x:f>
        <x:v>52.3</x:v>
      </x:c>
      <x:c r="M54" s="169" t="n">
        <x:f>SUMIF('Tareas y sprints'!$E$2:$E$200,A54,'Tareas y sprints'!$K$2:$K$200)</x:f>
        <x:v>64.4</x:v>
      </x:c>
      <x:c r="N54" s="169" t="n">
        <x:f>'Supuestos'!$B$54/2</x:f>
        <x:v>80</x:v>
      </x:c>
      <x:c r="O54" s="169" t="n">
        <x:f>N54-MAX(J54:M54)</x:f>
        <x:v>5.700000000000003</x:v>
      </x:c>
      <x:c r="P54" s="154"/>
      <x:c r="Q54" s="154"/>
      <x:c r="R54" s="154"/>
      <x:c r="S54" s="154"/>
      <x:c r="T54" s="154"/>
      <x:c r="U54" s="154"/>
    </x:row>
    <x:row r="55" ht="28" customHeight="1">
      <x:c r="A55" s="154" t="n">
        <x:v>4</x:v>
      </x:c>
      <x:c r="B55" s="154" t="n">
        <x:v>2</x:v>
      </x:c>
      <x:c r="C55" s="170" t="n">
        <x:f>SUMIFS('Tareas y sprints'!$N$2:$N$200,'Tareas y sprints'!$E$2:$E$200,$A55,'Tareas y sprints'!$B$2:$B$200,"Parche descartable")</x:f>
        <x:v>43.349999999999994</x:v>
      </x:c>
      <x:c r="D55" s="170" t="n">
        <x:f>SUMIFS('Tareas y sprints'!$N$2:$N$200,'Tareas y sprints'!$E$2:$E$200,$A55,'Tareas y sprints'!$B$2:$B$200,"Lector reutilizable")</x:f>
        <x:v>34.85</x:v>
      </x:c>
      <x:c r="E55" s="170" t="n">
        <x:f>SUMIFS('Tareas y sprints'!$N$2:$N$200,'Tareas y sprints'!$E$2:$E$200,$A55,'Tareas y sprints'!$B$2:$B$200,"Pulsera")</x:f>
        <x:v>33.15</x:v>
      </x:c>
      <x:c r="F55" s="170" t="n">
        <x:f>SUMIFS('Tareas y sprints'!$N$2:$N$200,'Tareas y sprints'!$E$2:$E$200,$A55,'Tareas y sprints'!$B$2:$B$200,"Aplicación")</x:f>
        <x:v>66.5</x:v>
      </x:c>
      <x:c r="G55" s="170" t="n">
        <x:f>SUMIFS('Tareas y sprints'!$N$2:$N$200,'Tareas y sprints'!$E$2:$E$200,$A55,'Tareas y sprints'!$B$2:$B$200,"Transversal")</x:f>
        <x:v>64</x:v>
      </x:c>
      <x:c r="H55" s="170" t="n">
        <x:f>SUM(C55:G55)</x:f>
        <x:v>241.85</x:v>
      </x:c>
      <x:c r="I55" s="154"/>
      <x:c r="J55" s="169" t="n">
        <x:f>SUMIF('Tareas y sprints'!$E$2:$E$200,A55,'Tareas y sprints'!$H$2:$H$200)</x:f>
        <x:v>79.35</x:v>
      </x:c>
      <x:c r="K55" s="169" t="n">
        <x:f>SUMIF('Tareas y sprints'!$E$2:$E$200,A55,'Tareas y sprints'!$I$2:$I$200)</x:f>
        <x:v>61.05</x:v>
      </x:c>
      <x:c r="L55" s="169" t="n">
        <x:f>SUMIF('Tareas y sprints'!$E$2:$E$200,A55,'Tareas y sprints'!$J$2:$J$200)</x:f>
        <x:v>48.05</x:v>
      </x:c>
      <x:c r="M55" s="169" t="n">
        <x:f>SUMIF('Tareas y sprints'!$E$2:$E$200,A55,'Tareas y sprints'!$K$2:$K$200)</x:f>
        <x:v>53.4</x:v>
      </x:c>
      <x:c r="N55" s="169" t="n">
        <x:f>'Supuestos'!$B$54/2</x:f>
        <x:v>80</x:v>
      </x:c>
      <x:c r="O55" s="169" t="n">
        <x:f>N55-MAX(J55:M55)</x:f>
        <x:v>0.6500000000000057</x:v>
      </x:c>
      <x:c r="P55" s="154"/>
      <x:c r="Q55" s="154"/>
      <x:c r="R55" s="154"/>
      <x:c r="S55" s="154"/>
      <x:c r="T55" s="154"/>
      <x:c r="U55" s="154"/>
    </x:row>
    <x:row r="56" ht="28" customHeight="1">
      <x:c r="A56" s="154" t="n">
        <x:v>5</x:v>
      </x:c>
      <x:c r="B56" s="154" t="n">
        <x:v>3</x:v>
      </x:c>
      <x:c r="C56" s="170" t="n">
        <x:f>SUMIFS('Tareas y sprints'!$N$2:$N$200,'Tareas y sprints'!$E$2:$E$200,$A56,'Tareas y sprints'!$B$2:$B$200,"Parche descartable")</x:f>
        <x:v>51</x:v>
      </x:c>
      <x:c r="D56" s="170" t="n">
        <x:f>SUMIFS('Tareas y sprints'!$N$2:$N$200,'Tareas y sprints'!$E$2:$E$200,$A56,'Tareas y sprints'!$B$2:$B$200,"Lector reutilizable")</x:f>
        <x:v>41</x:v>
      </x:c>
      <x:c r="E56" s="170" t="n">
        <x:f>SUMIFS('Tareas y sprints'!$N$2:$N$200,'Tareas y sprints'!$E$2:$E$200,$A56,'Tareas y sprints'!$B$2:$B$200,"Pulsera")</x:f>
        <x:v>39</x:v>
      </x:c>
      <x:c r="F56" s="170" t="n">
        <x:f>SUMIFS('Tareas y sprints'!$N$2:$N$200,'Tareas y sprints'!$E$2:$E$200,$A56,'Tareas y sprints'!$B$2:$B$200,"Aplicación")</x:f>
        <x:v>50</x:v>
      </x:c>
      <x:c r="G56" s="170" t="n">
        <x:f>SUMIFS('Tareas y sprints'!$N$2:$N$200,'Tareas y sprints'!$E$2:$E$200,$A56,'Tareas y sprints'!$B$2:$B$200,"Transversal")</x:f>
        <x:v>64</x:v>
      </x:c>
      <x:c r="H56" s="170" t="n">
        <x:f>SUM(C56:G56)</x:f>
        <x:v>245</x:v>
      </x:c>
      <x:c r="I56" s="154"/>
      <x:c r="J56" s="169" t="n">
        <x:f>SUMIF('Tareas y sprints'!$E$2:$E$200,A56,'Tareas y sprints'!$H$2:$H$200)</x:f>
        <x:v>67</x:v>
      </x:c>
      <x:c r="K56" s="169" t="n">
        <x:f>SUMIF('Tareas y sprints'!$E$2:$E$200,A56,'Tareas y sprints'!$I$2:$I$200)</x:f>
        <x:v>69</x:v>
      </x:c>
      <x:c r="L56" s="169" t="n">
        <x:f>SUMIF('Tareas y sprints'!$E$2:$E$200,A56,'Tareas y sprints'!$J$2:$J$200)</x:f>
        <x:v>49</x:v>
      </x:c>
      <x:c r="M56" s="169" t="n">
        <x:f>SUMIF('Tareas y sprints'!$E$2:$E$200,A56,'Tareas y sprints'!$K$2:$K$200)</x:f>
        <x:v>60</x:v>
      </x:c>
      <x:c r="N56" s="169" t="n">
        <x:f>'Supuestos'!$B$54/2</x:f>
        <x:v>80</x:v>
      </x:c>
      <x:c r="O56" s="169" t="n">
        <x:f>N56-MAX(J56:M56)</x:f>
        <x:v>11</x:v>
      </x:c>
      <x:c r="P56" s="154"/>
      <x:c r="Q56" s="154"/>
      <x:c r="R56" s="154"/>
      <x:c r="S56" s="154"/>
      <x:c r="T56" s="154"/>
      <x:c r="U56" s="154"/>
    </x:row>
    <x:row r="57" ht="28" customHeight="1">
      <x:c r="A57" s="154" t="n">
        <x:v>6</x:v>
      </x:c>
      <x:c r="B57" s="154" t="n">
        <x:v>3</x:v>
      </x:c>
      <x:c r="C57" s="170" t="n">
        <x:f>SUMIFS('Tareas y sprints'!$N$2:$N$200,'Tareas y sprints'!$E$2:$E$200,$A57,'Tareas y sprints'!$B$2:$B$200,"Parche descartable")</x:f>
        <x:v>56.099999999999994</x:v>
      </x:c>
      <x:c r="D57" s="170" t="n">
        <x:f>SUMIFS('Tareas y sprints'!$N$2:$N$200,'Tareas y sprints'!$E$2:$E$200,$A57,'Tareas y sprints'!$B$2:$B$200,"Lector reutilizable")</x:f>
        <x:v>45.1</x:v>
      </x:c>
      <x:c r="E57" s="170" t="n">
        <x:f>SUMIFS('Tareas y sprints'!$N$2:$N$200,'Tareas y sprints'!$E$2:$E$200,$A57,'Tareas y sprints'!$B$2:$B$200,"Pulsera")</x:f>
        <x:v>42.900000000000006</x:v>
      </x:c>
      <x:c r="F57" s="170" t="n">
        <x:f>SUMIFS('Tareas y sprints'!$N$2:$N$200,'Tareas y sprints'!$E$2:$E$200,$A57,'Tareas y sprints'!$B$2:$B$200,"Aplicación")</x:f>
        <x:v>54.99999999999999</x:v>
      </x:c>
      <x:c r="G57" s="170" t="n">
        <x:f>SUMIFS('Tareas y sprints'!$N$2:$N$200,'Tareas y sprints'!$E$2:$E$200,$A57,'Tareas y sprints'!$B$2:$B$200,"Transversal")</x:f>
        <x:v>64</x:v>
      </x:c>
      <x:c r="H57" s="170" t="n">
        <x:f>SUM(C57:G57)</x:f>
        <x:v>263.1</x:v>
      </x:c>
      <x:c r="I57" s="154"/>
      <x:c r="J57" s="169" t="n">
        <x:f>SUMIF('Tareas y sprints'!$E$2:$E$200,A57,'Tareas y sprints'!$H$2:$H$200)</x:f>
        <x:v>72.1</x:v>
      </x:c>
      <x:c r="K57" s="169" t="n">
        <x:f>SUMIF('Tareas y sprints'!$E$2:$E$200,A57,'Tareas y sprints'!$I$2:$I$200)</x:f>
        <x:v>74.3</x:v>
      </x:c>
      <x:c r="L57" s="169" t="n">
        <x:f>SUMIF('Tareas y sprints'!$E$2:$E$200,A57,'Tareas y sprints'!$J$2:$J$200)</x:f>
        <x:v>52.3</x:v>
      </x:c>
      <x:c r="M57" s="169" t="n">
        <x:f>SUMIF('Tareas y sprints'!$E$2:$E$200,A57,'Tareas y sprints'!$K$2:$K$200)</x:f>
        <x:v>64.4</x:v>
      </x:c>
      <x:c r="N57" s="169" t="n">
        <x:f>'Supuestos'!$B$54/2</x:f>
        <x:v>80</x:v>
      </x:c>
      <x:c r="O57" s="169" t="n">
        <x:f>N57-MAX(J57:M57)</x:f>
        <x:v>5.700000000000003</x:v>
      </x:c>
      <x:c r="P57" s="154"/>
      <x:c r="Q57" s="154"/>
      <x:c r="R57" s="154"/>
      <x:c r="S57" s="154"/>
      <x:c r="T57" s="154"/>
      <x:c r="U57" s="154"/>
    </x:row>
    <x:row r="58" ht="28" customHeight="1">
      <x:c r="A58" s="154" t="n">
        <x:v>7</x:v>
      </x:c>
      <x:c r="B58" s="154" t="n">
        <x:v>4</x:v>
      </x:c>
      <x:c r="C58" s="170" t="n">
        <x:f>SUMIFS('Tareas y sprints'!$N$2:$N$200,'Tareas y sprints'!$E$2:$E$200,$A58,'Tareas y sprints'!$B$2:$B$200,"Parche descartable")</x:f>
        <x:v>43.349999999999994</x:v>
      </x:c>
      <x:c r="D58" s="170" t="n">
        <x:f>SUMIFS('Tareas y sprints'!$N$2:$N$200,'Tareas y sprints'!$E$2:$E$200,$A58,'Tareas y sprints'!$B$2:$B$200,"Lector reutilizable")</x:f>
        <x:v>34.85</x:v>
      </x:c>
      <x:c r="E58" s="170" t="n">
        <x:f>SUMIFS('Tareas y sprints'!$N$2:$N$200,'Tareas y sprints'!$E$2:$E$200,$A58,'Tareas y sprints'!$B$2:$B$200,"Pulsera")</x:f>
        <x:v>33.15</x:v>
      </x:c>
      <x:c r="F58" s="170" t="n">
        <x:f>SUMIFS('Tareas y sprints'!$N$2:$N$200,'Tareas y sprints'!$E$2:$E$200,$A58,'Tareas y sprints'!$B$2:$B$200,"Aplicación")</x:f>
        <x:v>72.5</x:v>
      </x:c>
      <x:c r="G58" s="170" t="n">
        <x:f>SUMIFS('Tareas y sprints'!$N$2:$N$200,'Tareas y sprints'!$E$2:$E$200,$A58,'Tareas y sprints'!$B$2:$B$200,"Transversal")</x:f>
        <x:v>64</x:v>
      </x:c>
      <x:c r="H58" s="170" t="n">
        <x:f>SUM(C58:G58)</x:f>
        <x:v>247.85</x:v>
      </x:c>
      <x:c r="I58" s="154"/>
      <x:c r="J58" s="169" t="n">
        <x:f>SUMIF('Tareas y sprints'!$E$2:$E$200,A58,'Tareas y sprints'!$H$2:$H$200)</x:f>
        <x:v>79.35</x:v>
      </x:c>
      <x:c r="K58" s="169" t="n">
        <x:f>SUMIF('Tareas y sprints'!$E$2:$E$200,A58,'Tareas y sprints'!$I$2:$I$200)</x:f>
        <x:v>61.05</x:v>
      </x:c>
      <x:c r="L58" s="169" t="n">
        <x:f>SUMIF('Tareas y sprints'!$E$2:$E$200,A58,'Tareas y sprints'!$J$2:$J$200)</x:f>
        <x:v>54.05</x:v>
      </x:c>
      <x:c r="M58" s="169" t="n">
        <x:f>SUMIF('Tareas y sprints'!$E$2:$E$200,A58,'Tareas y sprints'!$K$2:$K$200)</x:f>
        <x:v>53.4</x:v>
      </x:c>
      <x:c r="N58" s="169" t="n">
        <x:f>'Supuestos'!$B$54/2</x:f>
        <x:v>80</x:v>
      </x:c>
      <x:c r="O58" s="169" t="n">
        <x:f>N58-MAX(J58:M58)</x:f>
        <x:v>0.6500000000000057</x:v>
      </x:c>
      <x:c r="P58" s="154"/>
      <x:c r="Q58" s="154"/>
      <x:c r="R58" s="154"/>
      <x:c r="S58" s="154"/>
      <x:c r="T58" s="154"/>
      <x:c r="U58" s="154"/>
    </x:row>
    <x:row r="59" ht="28" customHeight="1">
      <x:c r="A59" s="154" t="n">
        <x:v>8</x:v>
      </x:c>
      <x:c r="B59" s="154" t="n">
        <x:v>4</x:v>
      </x:c>
      <x:c r="C59" s="170" t="n">
        <x:f>SUMIFS('Tareas y sprints'!$N$2:$N$200,'Tareas y sprints'!$E$2:$E$200,$A59,'Tareas y sprints'!$B$2:$B$200,"Parche descartable")</x:f>
        <x:v>51</x:v>
      </x:c>
      <x:c r="D59" s="170" t="n">
        <x:f>SUMIFS('Tareas y sprints'!$N$2:$N$200,'Tareas y sprints'!$E$2:$E$200,$A59,'Tareas y sprints'!$B$2:$B$200,"Lector reutilizable")</x:f>
        <x:v>41</x:v>
      </x:c>
      <x:c r="E59" s="170" t="n">
        <x:f>SUMIFS('Tareas y sprints'!$N$2:$N$200,'Tareas y sprints'!$E$2:$E$200,$A59,'Tareas y sprints'!$B$2:$B$200,"Pulsera")</x:f>
        <x:v>39</x:v>
      </x:c>
      <x:c r="F59" s="170" t="n">
        <x:f>SUMIFS('Tareas y sprints'!$N$2:$N$200,'Tareas y sprints'!$E$2:$E$200,$A59,'Tareas y sprints'!$B$2:$B$200,"Aplicación")</x:f>
        <x:v>50</x:v>
      </x:c>
      <x:c r="G59" s="170" t="n">
        <x:f>SUMIFS('Tareas y sprints'!$N$2:$N$200,'Tareas y sprints'!$E$2:$E$200,$A59,'Tareas y sprints'!$B$2:$B$200,"Transversal")</x:f>
        <x:v>64</x:v>
      </x:c>
      <x:c r="H59" s="170" t="n">
        <x:f>SUM(C59:G59)</x:f>
        <x:v>245</x:v>
      </x:c>
      <x:c r="I59" s="154"/>
      <x:c r="J59" s="169" t="n">
        <x:f>SUMIF('Tareas y sprints'!$E$2:$E$200,A59,'Tareas y sprints'!$H$2:$H$200)</x:f>
        <x:v>67</x:v>
      </x:c>
      <x:c r="K59" s="169" t="n">
        <x:f>SUMIF('Tareas y sprints'!$E$2:$E$200,A59,'Tareas y sprints'!$I$2:$I$200)</x:f>
        <x:v>69</x:v>
      </x:c>
      <x:c r="L59" s="169" t="n">
        <x:f>SUMIF('Tareas y sprints'!$E$2:$E$200,A59,'Tareas y sprints'!$J$2:$J$200)</x:f>
        <x:v>49</x:v>
      </x:c>
      <x:c r="M59" s="169" t="n">
        <x:f>SUMIF('Tareas y sprints'!$E$2:$E$200,A59,'Tareas y sprints'!$K$2:$K$200)</x:f>
        <x:v>60</x:v>
      </x:c>
      <x:c r="N59" s="169" t="n">
        <x:f>'Supuestos'!$B$54/2</x:f>
        <x:v>80</x:v>
      </x:c>
      <x:c r="O59" s="169" t="n">
        <x:f>N59-MAX(J59:M59)</x:f>
        <x:v>11</x:v>
      </x:c>
      <x:c r="P59" s="154"/>
      <x:c r="Q59" s="154"/>
      <x:c r="R59" s="154"/>
      <x:c r="S59" s="154"/>
      <x:c r="T59" s="154"/>
      <x:c r="U59" s="154"/>
    </x:row>
    <x:row r="60" ht="28" customHeight="1">
      <x:c r="A60" s="154" t="n">
        <x:v>9</x:v>
      </x:c>
      <x:c r="B60" s="154" t="n">
        <x:v>5</x:v>
      </x:c>
      <x:c r="C60" s="170" t="n">
        <x:f>SUMIFS('Tareas y sprints'!$N$2:$N$200,'Tareas y sprints'!$E$2:$E$200,$A60,'Tareas y sprints'!$B$2:$B$200,"Parche descartable")</x:f>
        <x:v>56.1</x:v>
      </x:c>
      <x:c r="D60" s="170" t="n">
        <x:f>SUMIFS('Tareas y sprints'!$N$2:$N$200,'Tareas y sprints'!$E$2:$E$200,$A60,'Tareas y sprints'!$B$2:$B$200,"Lector reutilizable")</x:f>
        <x:v>45.1</x:v>
      </x:c>
      <x:c r="E60" s="170" t="n">
        <x:f>SUMIFS('Tareas y sprints'!$N$2:$N$200,'Tareas y sprints'!$E$2:$E$200,$A60,'Tareas y sprints'!$B$2:$B$200,"Pulsera")</x:f>
        <x:v>42.900000000000006</x:v>
      </x:c>
      <x:c r="F60" s="170" t="n">
        <x:f>SUMIFS('Tareas y sprints'!$N$2:$N$200,'Tareas y sprints'!$E$2:$E$200,$A60,'Tareas y sprints'!$B$2:$B$200,"Aplicación")</x:f>
        <x:v>88</x:v>
      </x:c>
      <x:c r="G60" s="170" t="n">
        <x:f>SUMIFS('Tareas y sprints'!$N$2:$N$200,'Tareas y sprints'!$E$2:$E$200,$A60,'Tareas y sprints'!$B$2:$B$200,"Transversal")</x:f>
        <x:v>64</x:v>
      </x:c>
      <x:c r="H60" s="170" t="n">
        <x:f>SUM(C60:G60)</x:f>
        <x:v>296.1</x:v>
      </x:c>
      <x:c r="I60" s="154"/>
      <x:c r="J60" s="169" t="n">
        <x:f>SUMIF('Tareas y sprints'!$E$2:$E$200,A60,'Tareas y sprints'!$H$2:$H$200)</x:f>
        <x:v>80</x:v>
      </x:c>
      <x:c r="K60" s="169" t="n">
        <x:f>SUMIF('Tareas y sprints'!$E$2:$E$200,A60,'Tareas y sprints'!$I$2:$I$200)</x:f>
        <x:v>77.3</x:v>
      </x:c>
      <x:c r="L60" s="169" t="n">
        <x:f>SUMIF('Tareas y sprints'!$E$2:$E$200,A60,'Tareas y sprints'!$J$2:$J$200)</x:f>
        <x:v>66.3</x:v>
      </x:c>
      <x:c r="M60" s="169" t="n">
        <x:f>SUMIF('Tareas y sprints'!$E$2:$E$200,A60,'Tareas y sprints'!$K$2:$K$200)</x:f>
        <x:v>72.5</x:v>
      </x:c>
      <x:c r="N60" s="169" t="n">
        <x:f>'Supuestos'!$B$54/2</x:f>
        <x:v>80</x:v>
      </x:c>
      <x:c r="O60" s="169" t="n">
        <x:f>N60-MAX(J60:M60)</x:f>
        <x:v>0</x:v>
      </x:c>
      <x:c r="P60" s="154"/>
      <x:c r="Q60" s="154"/>
      <x:c r="R60" s="154"/>
      <x:c r="S60" s="154"/>
      <x:c r="T60" s="154"/>
      <x:c r="U60" s="154"/>
    </x:row>
    <x:row r="61" ht="28" customHeight="1">
      <x:c r="A61" s="154" t="n">
        <x:v>10</x:v>
      </x:c>
      <x:c r="B61" s="154" t="n">
        <x:v>5</x:v>
      </x:c>
      <x:c r="C61" s="170" t="n">
        <x:f>SUMIFS('Tareas y sprints'!$N$2:$N$200,'Tareas y sprints'!$E$2:$E$200,$A61,'Tareas y sprints'!$B$2:$B$200,"Parche descartable")</x:f>
        <x:v>43.349999999999994</x:v>
      </x:c>
      <x:c r="D61" s="170" t="n">
        <x:f>SUMIFS('Tareas y sprints'!$N$2:$N$200,'Tareas y sprints'!$E$2:$E$200,$A61,'Tareas y sprints'!$B$2:$B$200,"Lector reutilizable")</x:f>
        <x:v>34.85</x:v>
      </x:c>
      <x:c r="E61" s="170" t="n">
        <x:f>SUMIFS('Tareas y sprints'!$N$2:$N$200,'Tareas y sprints'!$E$2:$E$200,$A61,'Tareas y sprints'!$B$2:$B$200,"Pulsera")</x:f>
        <x:v>33.15</x:v>
      </x:c>
      <x:c r="F61" s="170" t="n">
        <x:f>SUMIFS('Tareas y sprints'!$N$2:$N$200,'Tareas y sprints'!$E$2:$E$200,$A61,'Tareas y sprints'!$B$2:$B$200,"Aplicación")</x:f>
        <x:v>42.49999999999999</x:v>
      </x:c>
      <x:c r="G61" s="170" t="n">
        <x:f>SUMIFS('Tareas y sprints'!$N$2:$N$200,'Tareas y sprints'!$E$2:$E$200,$A61,'Tareas y sprints'!$B$2:$B$200,"Transversal")</x:f>
        <x:v>64</x:v>
      </x:c>
      <x:c r="H61" s="170" t="n">
        <x:f>SUM(C61:G61)</x:f>
        <x:v>217.85</x:v>
      </x:c>
      <x:c r="I61" s="154"/>
      <x:c r="J61" s="169" t="n">
        <x:f>SUMIF('Tareas y sprints'!$E$2:$E$200,A61,'Tareas y sprints'!$H$2:$H$200)</x:f>
        <x:v>59.349999999999994</x:v>
      </x:c>
      <x:c r="K61" s="169" t="n">
        <x:f>SUMIF('Tareas y sprints'!$E$2:$E$200,A61,'Tareas y sprints'!$I$2:$I$200)</x:f>
        <x:v>61.05</x:v>
      </x:c>
      <x:c r="L61" s="169" t="n">
        <x:f>SUMIF('Tareas y sprints'!$E$2:$E$200,A61,'Tareas y sprints'!$J$2:$J$200)</x:f>
        <x:v>44.05</x:v>
      </x:c>
      <x:c r="M61" s="169" t="n">
        <x:f>SUMIF('Tareas y sprints'!$E$2:$E$200,A61,'Tareas y sprints'!$K$2:$K$200)</x:f>
        <x:v>53.4</x:v>
      </x:c>
      <x:c r="N61" s="169" t="n">
        <x:f>'Supuestos'!$B$54/2</x:f>
        <x:v>80</x:v>
      </x:c>
      <x:c r="O61" s="169" t="n">
        <x:f>N61-MAX(J61:M61)</x:f>
        <x:v>18.950000000000003</x:v>
      </x:c>
      <x:c r="P61" s="154"/>
      <x:c r="Q61" s="154"/>
      <x:c r="R61" s="154"/>
      <x:c r="S61" s="154"/>
      <x:c r="T61" s="154"/>
      <x:c r="U61" s="154"/>
    </x:row>
    <x:row r="62" ht="28" customHeight="1">
      <x:c r="A62" s="154" t="n">
        <x:v>11</x:v>
      </x:c>
      <x:c r="B62" s="154" t="n">
        <x:v>6</x:v>
      </x:c>
      <x:c r="C62" s="170" t="n">
        <x:f>SUMIFS('Tareas y sprints'!$N$2:$N$200,'Tareas y sprints'!$E$2:$E$200,$A62,'Tareas y sprints'!$B$2:$B$200,"Parche descartable")</x:f>
        <x:v>33.989999999999995</x:v>
      </x:c>
      <x:c r="D62" s="170" t="n">
        <x:f>SUMIFS('Tareas y sprints'!$N$2:$N$200,'Tareas y sprints'!$E$2:$E$200,$A62,'Tareas y sprints'!$B$2:$B$200,"Lector reutilizable")</x:f>
        <x:v>27.340000000000003</x:v>
      </x:c>
      <x:c r="E62" s="170" t="n">
        <x:f>SUMIFS('Tareas y sprints'!$N$2:$N$200,'Tareas y sprints'!$E$2:$E$200,$A62,'Tareas y sprints'!$B$2:$B$200,"Pulsera")</x:f>
        <x:v>26</x:v>
      </x:c>
      <x:c r="F62" s="170" t="n">
        <x:f>SUMIFS('Tareas y sprints'!$N$2:$N$200,'Tareas y sprints'!$E$2:$E$200,$A62,'Tareas y sprints'!$B$2:$B$200,"Aplicación")</x:f>
        <x:v>33.33</x:v>
      </x:c>
      <x:c r="G62" s="170" t="n">
        <x:f>SUMIFS('Tareas y sprints'!$N$2:$N$200,'Tareas y sprints'!$E$2:$E$200,$A62,'Tareas y sprints'!$B$2:$B$200,"Transversal")</x:f>
        <x:v>42.68</x:v>
      </x:c>
      <x:c r="H62" s="170" t="n">
        <x:f>SUM(C62:G62)</x:f>
        <x:v>163.34</x:v>
      </x:c>
      <x:c r="I62" s="154"/>
      <x:c r="J62" s="169" t="n">
        <x:f>SUMIF('Tareas y sprints'!$E$2:$E$200,A62,'Tareas y sprints'!$H$2:$H$200)</x:f>
        <x:v>44.66</x:v>
      </x:c>
      <x:c r="K62" s="169" t="n">
        <x:f>SUMIF('Tareas y sprints'!$E$2:$E$200,A62,'Tareas y sprints'!$I$2:$I$200)</x:f>
        <x:v>46.010000000000005</x:v>
      </x:c>
      <x:c r="L62" s="169" t="n">
        <x:f>SUMIF('Tareas y sprints'!$E$2:$E$200,A62,'Tareas y sprints'!$J$2:$J$200)</x:f>
        <x:v>32.67</x:v>
      </x:c>
      <x:c r="M62" s="169" t="n">
        <x:f>SUMIF('Tareas y sprints'!$E$2:$E$200,A62,'Tareas y sprints'!$K$2:$K$200)</x:f>
        <x:v>40</x:v>
      </x:c>
      <x:c r="N62" s="169" t="n">
        <x:f>'Supuestos'!$B$54/2</x:f>
        <x:v>80</x:v>
      </x:c>
      <x:c r="O62" s="169" t="n">
        <x:f>N62-MAX(J62:M62)</x:f>
        <x:v>33.989999999999995</x:v>
      </x:c>
      <x:c r="P62" s="154"/>
      <x:c r="Q62" s="154"/>
      <x:c r="R62" s="154"/>
      <x:c r="S62" s="154"/>
      <x:c r="T62" s="154"/>
      <x:c r="U62" s="154"/>
    </x:row>
    <x:row r="63" ht="28" customHeight="1">
      <x:c r="A63" s="154" t="n">
        <x:v>12</x:v>
      </x:c>
      <x:c r="B63" s="154" t="n">
        <x:v>6</x:v>
      </x:c>
      <x:c r="C63" s="170" t="n">
        <x:f>SUMIFS('Tareas y sprints'!$N$2:$N$200,'Tareas y sprints'!$E$2:$E$200,$A63,'Tareas y sprints'!$B$2:$B$200,"Parche descartable")</x:f>
        <x:v>37.41</x:v>
      </x:c>
      <x:c r="D63" s="170" t="n">
        <x:f>SUMIFS('Tareas y sprints'!$N$2:$N$200,'Tareas y sprints'!$E$2:$E$200,$A63,'Tareas y sprints'!$B$2:$B$200,"Lector reutilizable")</x:f>
        <x:v>30.059999999999995</x:v>
      </x:c>
      <x:c r="E63" s="170" t="n">
        <x:f>SUMIFS('Tareas y sprints'!$N$2:$N$200,'Tareas y sprints'!$E$2:$E$200,$A63,'Tareas y sprints'!$B$2:$B$200,"Pulsera")</x:f>
        <x:v>28.599999999999994</x:v>
      </x:c>
      <x:c r="F63" s="170" t="n">
        <x:f>SUMIFS('Tareas y sprints'!$N$2:$N$200,'Tareas y sprints'!$E$2:$E$200,$A63,'Tareas y sprints'!$B$2:$B$200,"Aplicación")</x:f>
        <x:v>36.669999999999995</x:v>
      </x:c>
      <x:c r="G63" s="170" t="n">
        <x:f>SUMIFS('Tareas y sprints'!$N$2:$N$200,'Tareas y sprints'!$E$2:$E$200,$A63,'Tareas y sprints'!$B$2:$B$200,"Transversal")</x:f>
        <x:v>42.68</x:v>
      </x:c>
      <x:c r="H63" s="170" t="n">
        <x:f>SUM(C63:G63)</x:f>
        <x:v>175.42</x:v>
      </x:c>
      <x:c r="I63" s="154"/>
      <x:c r="J63" s="169" t="n">
        <x:f>SUMIF('Tareas y sprints'!$E$2:$E$200,A63,'Tareas y sprints'!$H$2:$H$200)</x:f>
        <x:v>48.08</x:v>
      </x:c>
      <x:c r="K63" s="169" t="n">
        <x:f>SUMIF('Tareas y sprints'!$E$2:$E$200,A63,'Tareas y sprints'!$I$2:$I$200)</x:f>
        <x:v>49.53</x:v>
      </x:c>
      <x:c r="L63" s="169" t="n">
        <x:f>SUMIF('Tareas y sprints'!$E$2:$E$200,A63,'Tareas y sprints'!$J$2:$J$200)</x:f>
        <x:v>34.87</x:v>
      </x:c>
      <x:c r="M63" s="169" t="n">
        <x:f>SUMIF('Tareas y sprints'!$E$2:$E$200,A63,'Tareas y sprints'!$K$2:$K$200)</x:f>
        <x:v>42.94</x:v>
      </x:c>
      <x:c r="N63" s="169" t="n">
        <x:f>'Supuestos'!$B$54/2</x:f>
        <x:v>80</x:v>
      </x:c>
      <x:c r="O63" s="169" t="n">
        <x:f>N63-MAX(J63:M63)</x:f>
        <x:v>30.47</x:v>
      </x:c>
      <x:c r="P63" s="154"/>
      <x:c r="Q63" s="154"/>
      <x:c r="R63" s="154"/>
      <x:c r="S63" s="154"/>
      <x:c r="T63" s="154"/>
      <x:c r="U63" s="154"/>
    </x:row>
    <x:row r="64" ht="28" customHeight="1">
      <x:c r="A64" s="154" t="n">
        <x:v>13</x:v>
      </x:c>
      <x:c r="B64" s="154" t="n">
        <x:v>6</x:v>
      </x:c>
      <x:c r="C64" s="170" t="n">
        <x:f>SUMIFS('Tareas y sprints'!$N$2:$N$200,'Tareas y sprints'!$E$2:$E$200,$A64,'Tareas y sprints'!$B$2:$B$200,"Parche descartable")</x:f>
        <x:v>28.89</x:v>
      </x:c>
      <x:c r="D64" s="170" t="n">
        <x:f>SUMIFS('Tareas y sprints'!$N$2:$N$200,'Tareas y sprints'!$E$2:$E$200,$A64,'Tareas y sprints'!$B$2:$B$200,"Lector reutilizable")</x:f>
        <x:v>23.24</x:v>
      </x:c>
      <x:c r="E64" s="170" t="n">
        <x:f>SUMIFS('Tareas y sprints'!$N$2:$N$200,'Tareas y sprints'!$E$2:$E$200,$A64,'Tareas y sprints'!$B$2:$B$200,"Pulsera")</x:f>
        <x:v>22.099999999999998</x:v>
      </x:c>
      <x:c r="F64" s="170" t="n">
        <x:f>SUMIFS('Tareas y sprints'!$N$2:$N$200,'Tareas y sprints'!$E$2:$E$200,$A64,'Tareas y sprints'!$B$2:$B$200,"Aplicación")</x:f>
        <x:v>28.330000000000002</x:v>
      </x:c>
      <x:c r="G64" s="170" t="n">
        <x:f>SUMIFS('Tareas y sprints'!$N$2:$N$200,'Tareas y sprints'!$E$2:$E$200,$A64,'Tareas y sprints'!$B$2:$B$200,"Transversal")</x:f>
        <x:v>42.68</x:v>
      </x:c>
      <x:c r="H64" s="170" t="n">
        <x:f>SUM(C64:G64)</x:f>
        <x:v>145.23999999999998</x:v>
      </x:c>
      <x:c r="I64" s="154"/>
      <x:c r="J64" s="169" t="n">
        <x:f>SUMIF('Tareas y sprints'!$E$2:$E$200,A64,'Tareas y sprints'!$H$2:$H$200)</x:f>
        <x:v>39.56</x:v>
      </x:c>
      <x:c r="K64" s="169" t="n">
        <x:f>SUMIF('Tareas y sprints'!$E$2:$E$200,A64,'Tareas y sprints'!$I$2:$I$200)</x:f>
        <x:v>40.71</x:v>
      </x:c>
      <x:c r="L64" s="169" t="n">
        <x:f>SUMIF('Tareas y sprints'!$E$2:$E$200,A64,'Tareas y sprints'!$J$2:$J$200)</x:f>
        <x:v>29.369999999999997</x:v>
      </x:c>
      <x:c r="M64" s="169" t="n">
        <x:f>SUMIF('Tareas y sprints'!$E$2:$E$200,A64,'Tareas y sprints'!$K$2:$K$200)</x:f>
        <x:v>35.6</x:v>
      </x:c>
      <x:c r="N64" s="169" t="n">
        <x:f>'Supuestos'!$B$54/2</x:f>
        <x:v>80</x:v>
      </x:c>
      <x:c r="O64" s="169" t="n">
        <x:f>N64-MAX(J64:M64)</x:f>
        <x:v>39.29</x:v>
      </x:c>
      <x:c r="P64" s="154"/>
      <x:c r="Q64" s="154"/>
      <x:c r="R64" s="154"/>
      <x:c r="S64" s="154"/>
      <x:c r="T64" s="154"/>
      <x:c r="U64" s="154"/>
    </x:row>
    <x:row r="65" ht="28" customHeight="1">
      <x:c r="A65" s="154" t="n">
        <x:v>14</x:v>
      </x:c>
      <x:c r="B65" s="154" t="n">
        <x:v>7</x:v>
      </x:c>
      <x:c r="C65" s="170" t="n">
        <x:f>SUMIFS('Tareas y sprints'!$N$2:$N$200,'Tareas y sprints'!$E$2:$E$200,$A65,'Tareas y sprints'!$B$2:$B$200,"Parche descartable")</x:f>
        <x:v>51</x:v>
      </x:c>
      <x:c r="D65" s="170" t="n">
        <x:f>SUMIFS('Tareas y sprints'!$N$2:$N$200,'Tareas y sprints'!$E$2:$E$200,$A65,'Tareas y sprints'!$B$2:$B$200,"Lector reutilizable")</x:f>
        <x:v>41</x:v>
      </x:c>
      <x:c r="E65" s="170" t="n">
        <x:f>SUMIFS('Tareas y sprints'!$N$2:$N$200,'Tareas y sprints'!$E$2:$E$200,$A65,'Tareas y sprints'!$B$2:$B$200,"Pulsera")</x:f>
        <x:v>39</x:v>
      </x:c>
      <x:c r="F65" s="170" t="n">
        <x:f>SUMIFS('Tareas y sprints'!$N$2:$N$200,'Tareas y sprints'!$E$2:$E$200,$A65,'Tareas y sprints'!$B$2:$B$200,"Aplicación")</x:f>
        <x:v>50</x:v>
      </x:c>
      <x:c r="G65" s="170" t="n">
        <x:f>SUMIFS('Tareas y sprints'!$N$2:$N$200,'Tareas y sprints'!$E$2:$E$200,$A65,'Tareas y sprints'!$B$2:$B$200,"Transversal")</x:f>
        <x:v>64</x:v>
      </x:c>
      <x:c r="H65" s="170" t="n">
        <x:f>SUM(C65:G65)</x:f>
        <x:v>245</x:v>
      </x:c>
      <x:c r="I65" s="154"/>
      <x:c r="J65" s="169" t="n">
        <x:f>SUMIF('Tareas y sprints'!$E$2:$E$200,A65,'Tareas y sprints'!$H$2:$H$200)</x:f>
        <x:v>67</x:v>
      </x:c>
      <x:c r="K65" s="169" t="n">
        <x:f>SUMIF('Tareas y sprints'!$E$2:$E$200,A65,'Tareas y sprints'!$I$2:$I$200)</x:f>
        <x:v>69</x:v>
      </x:c>
      <x:c r="L65" s="169" t="n">
        <x:f>SUMIF('Tareas y sprints'!$E$2:$E$200,A65,'Tareas y sprints'!$J$2:$J$200)</x:f>
        <x:v>49</x:v>
      </x:c>
      <x:c r="M65" s="169" t="n">
        <x:f>SUMIF('Tareas y sprints'!$E$2:$E$200,A65,'Tareas y sprints'!$K$2:$K$200)</x:f>
        <x:v>60</x:v>
      </x:c>
      <x:c r="N65" s="169" t="n">
        <x:f>'Supuestos'!$B$54/2</x:f>
        <x:v>80</x:v>
      </x:c>
      <x:c r="O65" s="169" t="n">
        <x:f>N65-MAX(J65:M65)</x:f>
        <x:v>11</x:v>
      </x:c>
      <x:c r="P65" s="154"/>
      <x:c r="Q65" s="154"/>
      <x:c r="R65" s="154"/>
      <x:c r="S65" s="154"/>
      <x:c r="T65" s="154"/>
      <x:c r="U65" s="154"/>
    </x:row>
    <x:row r="66" ht="28" customHeight="1">
      <x:c r="A66" s="154" t="n">
        <x:v>15</x:v>
      </x:c>
      <x:c r="B66" s="154" t="n">
        <x:v>7</x:v>
      </x:c>
      <x:c r="C66" s="170" t="n">
        <x:f>SUMIFS('Tareas y sprints'!$N$2:$N$200,'Tareas y sprints'!$E$2:$E$200,$A66,'Tareas y sprints'!$B$2:$B$200,"Parche descartable")</x:f>
        <x:v>56.099999999999994</x:v>
      </x:c>
      <x:c r="D66" s="170" t="n">
        <x:f>SUMIFS('Tareas y sprints'!$N$2:$N$200,'Tareas y sprints'!$E$2:$E$200,$A66,'Tareas y sprints'!$B$2:$B$200,"Lector reutilizable")</x:f>
        <x:v>45.1</x:v>
      </x:c>
      <x:c r="E66" s="170" t="n">
        <x:f>SUMIFS('Tareas y sprints'!$N$2:$N$200,'Tareas y sprints'!$E$2:$E$200,$A66,'Tareas y sprints'!$B$2:$B$200,"Pulsera")</x:f>
        <x:v>42.900000000000006</x:v>
      </x:c>
      <x:c r="F66" s="170" t="n">
        <x:f>SUMIFS('Tareas y sprints'!$N$2:$N$200,'Tareas y sprints'!$E$2:$E$200,$A66,'Tareas y sprints'!$B$2:$B$200,"Aplicación")</x:f>
        <x:v>54.99999999999999</x:v>
      </x:c>
      <x:c r="G66" s="170" t="n">
        <x:f>SUMIFS('Tareas y sprints'!$N$2:$N$200,'Tareas y sprints'!$E$2:$E$200,$A66,'Tareas y sprints'!$B$2:$B$200,"Transversal")</x:f>
        <x:v>64</x:v>
      </x:c>
      <x:c r="H66" s="170" t="n">
        <x:f>SUM(C66:G66)</x:f>
        <x:v>263.1</x:v>
      </x:c>
      <x:c r="I66" s="154"/>
      <x:c r="J66" s="169" t="n">
        <x:f>SUMIF('Tareas y sprints'!$E$2:$E$200,A66,'Tareas y sprints'!$H$2:$H$200)</x:f>
        <x:v>72.1</x:v>
      </x:c>
      <x:c r="K66" s="169" t="n">
        <x:f>SUMIF('Tareas y sprints'!$E$2:$E$200,A66,'Tareas y sprints'!$I$2:$I$200)</x:f>
        <x:v>74.3</x:v>
      </x:c>
      <x:c r="L66" s="169" t="n">
        <x:f>SUMIF('Tareas y sprints'!$E$2:$E$200,A66,'Tareas y sprints'!$J$2:$J$200)</x:f>
        <x:v>52.3</x:v>
      </x:c>
      <x:c r="M66" s="169" t="n">
        <x:f>SUMIF('Tareas y sprints'!$E$2:$E$200,A66,'Tareas y sprints'!$K$2:$K$200)</x:f>
        <x:v>64.4</x:v>
      </x:c>
      <x:c r="N66" s="169" t="n">
        <x:f>'Supuestos'!$B$54/2</x:f>
        <x:v>80</x:v>
      </x:c>
      <x:c r="O66" s="169" t="n">
        <x:f>N66-MAX(J66:M66)</x:f>
        <x:v>5.700000000000003</x:v>
      </x:c>
      <x:c r="P66" s="154"/>
      <x:c r="Q66" s="154"/>
      <x:c r="R66" s="154"/>
      <x:c r="S66" s="154"/>
      <x:c r="T66" s="154"/>
      <x:c r="U66" s="154"/>
    </x:row>
    <x:row r="67" ht="28" customHeight="1">
      <x:c r="A67" s="154" t="n">
        <x:v>16</x:v>
      </x:c>
      <x:c r="B67" s="154" t="n">
        <x:v>8</x:v>
      </x:c>
      <x:c r="C67" s="170" t="n">
        <x:f>SUMIFS('Tareas y sprints'!$N$2:$N$200,'Tareas y sprints'!$E$2:$E$200,$A67,'Tareas y sprints'!$B$2:$B$200,"Parche descartable")</x:f>
        <x:v>43.349999999999994</x:v>
      </x:c>
      <x:c r="D67" s="170" t="n">
        <x:f>SUMIFS('Tareas y sprints'!$N$2:$N$200,'Tareas y sprints'!$E$2:$E$200,$A67,'Tareas y sprints'!$B$2:$B$200,"Lector reutilizable")</x:f>
        <x:v>34.85</x:v>
      </x:c>
      <x:c r="E67" s="170" t="n">
        <x:f>SUMIFS('Tareas y sprints'!$N$2:$N$200,'Tareas y sprints'!$E$2:$E$200,$A67,'Tareas y sprints'!$B$2:$B$200,"Pulsera")</x:f>
        <x:v>33.15</x:v>
      </x:c>
      <x:c r="F67" s="170" t="n">
        <x:f>SUMIFS('Tareas y sprints'!$N$2:$N$200,'Tareas y sprints'!$E$2:$E$200,$A67,'Tareas y sprints'!$B$2:$B$200,"Aplicación")</x:f>
        <x:v>42.49999999999999</x:v>
      </x:c>
      <x:c r="G67" s="170" t="n">
        <x:f>SUMIFS('Tareas y sprints'!$N$2:$N$200,'Tareas y sprints'!$E$2:$E$200,$A67,'Tareas y sprints'!$B$2:$B$200,"Transversal")</x:f>
        <x:v>64</x:v>
      </x:c>
      <x:c r="H67" s="170" t="n">
        <x:f>SUM(C67:G67)</x:f>
        <x:v>217.85</x:v>
      </x:c>
      <x:c r="I67" s="154"/>
      <x:c r="J67" s="169" t="n">
        <x:f>SUMIF('Tareas y sprints'!$E$2:$E$200,A67,'Tareas y sprints'!$H$2:$H$200)</x:f>
        <x:v>59.349999999999994</x:v>
      </x:c>
      <x:c r="K67" s="169" t="n">
        <x:f>SUMIF('Tareas y sprints'!$E$2:$E$200,A67,'Tareas y sprints'!$I$2:$I$200)</x:f>
        <x:v>61.05</x:v>
      </x:c>
      <x:c r="L67" s="169" t="n">
        <x:f>SUMIF('Tareas y sprints'!$E$2:$E$200,A67,'Tareas y sprints'!$J$2:$J$200)</x:f>
        <x:v>44.05</x:v>
      </x:c>
      <x:c r="M67" s="169" t="n">
        <x:f>SUMIF('Tareas y sprints'!$E$2:$E$200,A67,'Tareas y sprints'!$K$2:$K$200)</x:f>
        <x:v>53.4</x:v>
      </x:c>
      <x:c r="N67" s="169" t="n">
        <x:f>'Supuestos'!$B$54/2</x:f>
        <x:v>80</x:v>
      </x:c>
      <x:c r="O67" s="169" t="n">
        <x:f>N67-MAX(J67:M67)</x:f>
        <x:v>18.950000000000003</x:v>
      </x:c>
      <x:c r="P67" s="154"/>
      <x:c r="Q67" s="154"/>
      <x:c r="R67" s="154"/>
      <x:c r="S67" s="154"/>
      <x:c r="T67" s="154"/>
      <x:c r="U67" s="154"/>
    </x:row>
    <x:row r="68" ht="28" customHeight="1">
      <x:c r="A68" s="154" t="n">
        <x:v>17</x:v>
      </x:c>
      <x:c r="B68" s="154" t="n">
        <x:v>8</x:v>
      </x:c>
      <x:c r="C68" s="170" t="n">
        <x:f>SUMIFS('Tareas y sprints'!$N$2:$N$200,'Tareas y sprints'!$E$2:$E$200,$A68,'Tareas y sprints'!$B$2:$B$200,"Parche descartable")</x:f>
        <x:v>51</x:v>
      </x:c>
      <x:c r="D68" s="170" t="n">
        <x:f>SUMIFS('Tareas y sprints'!$N$2:$N$200,'Tareas y sprints'!$E$2:$E$200,$A68,'Tareas y sprints'!$B$2:$B$200,"Lector reutilizable")</x:f>
        <x:v>41</x:v>
      </x:c>
      <x:c r="E68" s="170" t="n">
        <x:f>SUMIFS('Tareas y sprints'!$N$2:$N$200,'Tareas y sprints'!$E$2:$E$200,$A68,'Tareas y sprints'!$B$2:$B$200,"Pulsera")</x:f>
        <x:v>39</x:v>
      </x:c>
      <x:c r="F68" s="170" t="n">
        <x:f>SUMIFS('Tareas y sprints'!$N$2:$N$200,'Tareas y sprints'!$E$2:$E$200,$A68,'Tareas y sprints'!$B$2:$B$200,"Aplicación")</x:f>
        <x:v>68</x:v>
      </x:c>
      <x:c r="G68" s="170" t="n">
        <x:f>SUMIFS('Tareas y sprints'!$N$2:$N$200,'Tareas y sprints'!$E$2:$E$200,$A68,'Tareas y sprints'!$B$2:$B$200,"Transversal")</x:f>
        <x:v>64</x:v>
      </x:c>
      <x:c r="H68" s="170" t="n">
        <x:f>SUM(C68:G68)</x:f>
        <x:v>263</x:v>
      </x:c>
      <x:c r="I68" s="154"/>
      <x:c r="J68" s="169" t="n">
        <x:f>SUMIF('Tareas y sprints'!$E$2:$E$200,A68,'Tareas y sprints'!$H$2:$H$200)</x:f>
        <x:v>79</x:v>
      </x:c>
      <x:c r="K68" s="169" t="n">
        <x:f>SUMIF('Tareas y sprints'!$E$2:$E$200,A68,'Tareas y sprints'!$I$2:$I$200)</x:f>
        <x:v>69</x:v>
      </x:c>
      <x:c r="L68" s="169" t="n">
        <x:f>SUMIF('Tareas y sprints'!$E$2:$E$200,A68,'Tareas y sprints'!$J$2:$J$200)</x:f>
        <x:v>55</x:v>
      </x:c>
      <x:c r="M68" s="169" t="n">
        <x:f>SUMIF('Tareas y sprints'!$E$2:$E$200,A68,'Tareas y sprints'!$K$2:$K$200)</x:f>
        <x:v>60</x:v>
      </x:c>
      <x:c r="N68" s="169" t="n">
        <x:f>'Supuestos'!$B$54/2</x:f>
        <x:v>80</x:v>
      </x:c>
      <x:c r="O68" s="169" t="n">
        <x:f>N68-MAX(J68:M68)</x:f>
        <x:v>1</x:v>
      </x:c>
      <x:c r="P68" s="154"/>
      <x:c r="Q68" s="154"/>
      <x:c r="R68" s="154"/>
      <x:c r="S68" s="154"/>
      <x:c r="T68" s="154"/>
      <x:c r="U68" s="154"/>
    </x:row>
    <x:row r="69" ht="28" customHeight="1">
      <x:c r="A69" s="154" t="n">
        <x:v>18</x:v>
      </x:c>
      <x:c r="B69" s="154" t="n">
        <x:v>9</x:v>
      </x:c>
      <x:c r="C69" s="170" t="n">
        <x:f>SUMIFS('Tareas y sprints'!$N$2:$N$200,'Tareas y sprints'!$E$2:$E$200,$A69,'Tareas y sprints'!$B$2:$B$200,"Parche descartable")</x:f>
        <x:v>37.41</x:v>
      </x:c>
      <x:c r="D69" s="170" t="n">
        <x:f>SUMIFS('Tareas y sprints'!$N$2:$N$200,'Tareas y sprints'!$E$2:$E$200,$A69,'Tareas y sprints'!$B$2:$B$200,"Lector reutilizable")</x:f>
        <x:v>30.059999999999995</x:v>
      </x:c>
      <x:c r="E69" s="170" t="n">
        <x:f>SUMIFS('Tareas y sprints'!$N$2:$N$200,'Tareas y sprints'!$E$2:$E$200,$A69,'Tareas y sprints'!$B$2:$B$200,"Pulsera")</x:f>
        <x:v>28.599999999999994</x:v>
      </x:c>
      <x:c r="F69" s="170" t="n">
        <x:f>SUMIFS('Tareas y sprints'!$N$2:$N$200,'Tareas y sprints'!$E$2:$E$200,$A69,'Tareas y sprints'!$B$2:$B$200,"Aplicación")</x:f>
        <x:v>36.669999999999995</x:v>
      </x:c>
      <x:c r="G69" s="170" t="n">
        <x:f>SUMIFS('Tareas y sprints'!$N$2:$N$200,'Tareas y sprints'!$E$2:$E$200,$A69,'Tareas y sprints'!$B$2:$B$200,"Transversal")</x:f>
        <x:v>42.68</x:v>
      </x:c>
      <x:c r="H69" s="170" t="n">
        <x:f>SUM(C69:G69)</x:f>
        <x:v>175.42</x:v>
      </x:c>
      <x:c r="I69" s="154"/>
      <x:c r="J69" s="169" t="n">
        <x:f>SUMIF('Tareas y sprints'!$E$2:$E$200,A69,'Tareas y sprints'!$H$2:$H$200)</x:f>
        <x:v>48.08</x:v>
      </x:c>
      <x:c r="K69" s="169" t="n">
        <x:f>SUMIF('Tareas y sprints'!$E$2:$E$200,A69,'Tareas y sprints'!$I$2:$I$200)</x:f>
        <x:v>49.53</x:v>
      </x:c>
      <x:c r="L69" s="169" t="n">
        <x:f>SUMIF('Tareas y sprints'!$E$2:$E$200,A69,'Tareas y sprints'!$J$2:$J$200)</x:f>
        <x:v>34.87</x:v>
      </x:c>
      <x:c r="M69" s="169" t="n">
        <x:f>SUMIF('Tareas y sprints'!$E$2:$E$200,A69,'Tareas y sprints'!$K$2:$K$200)</x:f>
        <x:v>42.94</x:v>
      </x:c>
      <x:c r="N69" s="169" t="n">
        <x:f>'Supuestos'!$B$54/2</x:f>
        <x:v>80</x:v>
      </x:c>
      <x:c r="O69" s="169" t="n">
        <x:f>N69-MAX(J69:M69)</x:f>
        <x:v>30.47</x:v>
      </x:c>
      <x:c r="P69" s="154"/>
      <x:c r="Q69" s="154"/>
      <x:c r="R69" s="154"/>
      <x:c r="S69" s="154"/>
      <x:c r="T69" s="154"/>
      <x:c r="U69" s="154"/>
    </x:row>
    <x:row r="70" ht="28" customHeight="1">
      <x:c r="A70" s="154" t="n">
        <x:v>19</x:v>
      </x:c>
      <x:c r="B70" s="154" t="n">
        <x:v>9</x:v>
      </x:c>
      <x:c r="C70" s="170" t="n">
        <x:f>SUMIFS('Tareas y sprints'!$N$2:$N$200,'Tareas y sprints'!$E$2:$E$200,$A70,'Tareas y sprints'!$B$2:$B$200,"Parche descartable")</x:f>
        <x:v>28.89</x:v>
      </x:c>
      <x:c r="D70" s="170" t="n">
        <x:f>SUMIFS('Tareas y sprints'!$N$2:$N$200,'Tareas y sprints'!$E$2:$E$200,$A70,'Tareas y sprints'!$B$2:$B$200,"Lector reutilizable")</x:f>
        <x:v>23.24</x:v>
      </x:c>
      <x:c r="E70" s="170" t="n">
        <x:f>SUMIFS('Tareas y sprints'!$N$2:$N$200,'Tareas y sprints'!$E$2:$E$200,$A70,'Tareas y sprints'!$B$2:$B$200,"Pulsera")</x:f>
        <x:v>22.099999999999998</x:v>
      </x:c>
      <x:c r="F70" s="170" t="n">
        <x:f>SUMIFS('Tareas y sprints'!$N$2:$N$200,'Tareas y sprints'!$E$2:$E$200,$A70,'Tareas y sprints'!$B$2:$B$200,"Aplicación")</x:f>
        <x:v>28.330000000000002</x:v>
      </x:c>
      <x:c r="G70" s="170" t="n">
        <x:f>SUMIFS('Tareas y sprints'!$N$2:$N$200,'Tareas y sprints'!$E$2:$E$200,$A70,'Tareas y sprints'!$B$2:$B$200,"Transversal")</x:f>
        <x:v>42.68</x:v>
      </x:c>
      <x:c r="H70" s="170" t="n">
        <x:f>SUM(C70:G70)</x:f>
        <x:v>145.23999999999998</x:v>
      </x:c>
      <x:c r="I70" s="154"/>
      <x:c r="J70" s="169" t="n">
        <x:f>SUMIF('Tareas y sprints'!$E$2:$E$200,A70,'Tareas y sprints'!$H$2:$H$200)</x:f>
        <x:v>39.56</x:v>
      </x:c>
      <x:c r="K70" s="169" t="n">
        <x:f>SUMIF('Tareas y sprints'!$E$2:$E$200,A70,'Tareas y sprints'!$I$2:$I$200)</x:f>
        <x:v>40.71</x:v>
      </x:c>
      <x:c r="L70" s="169" t="n">
        <x:f>SUMIF('Tareas y sprints'!$E$2:$E$200,A70,'Tareas y sprints'!$J$2:$J$200)</x:f>
        <x:v>29.369999999999997</x:v>
      </x:c>
      <x:c r="M70" s="169" t="n">
        <x:f>SUMIF('Tareas y sprints'!$E$2:$E$200,A70,'Tareas y sprints'!$K$2:$K$200)</x:f>
        <x:v>35.6</x:v>
      </x:c>
      <x:c r="N70" s="169" t="n">
        <x:f>'Supuestos'!$B$54/2</x:f>
        <x:v>80</x:v>
      </x:c>
      <x:c r="O70" s="169" t="n">
        <x:f>N70-MAX(J70:M70)</x:f>
        <x:v>39.29</x:v>
      </x:c>
      <x:c r="P70" s="154"/>
      <x:c r="Q70" s="154"/>
      <x:c r="R70" s="154"/>
      <x:c r="S70" s="154"/>
      <x:c r="T70" s="154"/>
      <x:c r="U70" s="154"/>
    </x:row>
    <x:row r="71" ht="28" customHeight="1">
      <x:c r="A71" s="154" t="n">
        <x:v>20</x:v>
      </x:c>
      <x:c r="B71" s="154" t="n">
        <x:v>9</x:v>
      </x:c>
      <x:c r="C71" s="170" t="n">
        <x:f>SUMIFS('Tareas y sprints'!$N$2:$N$200,'Tareas y sprints'!$E$2:$E$200,$A71,'Tareas y sprints'!$B$2:$B$200,"Parche descartable")</x:f>
        <x:v>33.989999999999995</x:v>
      </x:c>
      <x:c r="D71" s="170" t="n">
        <x:f>SUMIFS('Tareas y sprints'!$N$2:$N$200,'Tareas y sprints'!$E$2:$E$200,$A71,'Tareas y sprints'!$B$2:$B$200,"Lector reutilizable")</x:f>
        <x:v>27.340000000000003</x:v>
      </x:c>
      <x:c r="E71" s="170" t="n">
        <x:f>SUMIFS('Tareas y sprints'!$N$2:$N$200,'Tareas y sprints'!$E$2:$E$200,$A71,'Tareas y sprints'!$B$2:$B$200,"Pulsera")</x:f>
        <x:v>26</x:v>
      </x:c>
      <x:c r="F71" s="170" t="n">
        <x:f>SUMIFS('Tareas y sprints'!$N$2:$N$200,'Tareas y sprints'!$E$2:$E$200,$A71,'Tareas y sprints'!$B$2:$B$200,"Aplicación")</x:f>
        <x:v>33.33</x:v>
      </x:c>
      <x:c r="G71" s="170" t="n">
        <x:f>SUMIFS('Tareas y sprints'!$N$2:$N$200,'Tareas y sprints'!$E$2:$E$200,$A71,'Tareas y sprints'!$B$2:$B$200,"Transversal")</x:f>
        <x:v>42.68</x:v>
      </x:c>
      <x:c r="H71" s="170" t="n">
        <x:f>SUM(C71:G71)</x:f>
        <x:v>163.34</x:v>
      </x:c>
      <x:c r="I71" s="154"/>
      <x:c r="J71" s="169" t="n">
        <x:f>SUMIF('Tareas y sprints'!$E$2:$E$200,A71,'Tareas y sprints'!$H$2:$H$200)</x:f>
        <x:v>44.66</x:v>
      </x:c>
      <x:c r="K71" s="169" t="n">
        <x:f>SUMIF('Tareas y sprints'!$E$2:$E$200,A71,'Tareas y sprints'!$I$2:$I$200)</x:f>
        <x:v>46.010000000000005</x:v>
      </x:c>
      <x:c r="L71" s="169" t="n">
        <x:f>SUMIF('Tareas y sprints'!$E$2:$E$200,A71,'Tareas y sprints'!$J$2:$J$200)</x:f>
        <x:v>32.67</x:v>
      </x:c>
      <x:c r="M71" s="169" t="n">
        <x:f>SUMIF('Tareas y sprints'!$E$2:$E$200,A71,'Tareas y sprints'!$K$2:$K$200)</x:f>
        <x:v>40</x:v>
      </x:c>
      <x:c r="N71" s="169" t="n">
        <x:f>'Supuestos'!$B$54/2</x:f>
        <x:v>80</x:v>
      </x:c>
      <x:c r="O71" s="169" t="n">
        <x:f>N71-MAX(J71:M71)</x:f>
        <x:v>33.989999999999995</x:v>
      </x:c>
      <x:c r="P71" s="154"/>
      <x:c r="Q71" s="154"/>
      <x:c r="R71" s="154"/>
      <x:c r="S71" s="154"/>
      <x:c r="T71" s="154"/>
      <x:c r="U71" s="154"/>
    </x:row>
    <x:row r="72" ht="28" customHeight="1">
      <x:c r="A72" s="154" t="n">
        <x:v>21</x:v>
      </x:c>
      <x:c r="B72" s="154" t="n">
        <x:v>10</x:v>
      </x:c>
      <x:c r="C72" s="170" t="n">
        <x:f>SUMIFS('Tareas y sprints'!$N$2:$N$200,'Tareas y sprints'!$E$2:$E$200,$A72,'Tareas y sprints'!$B$2:$B$200,"Parche descartable")</x:f>
        <x:v>56.099999999999994</x:v>
      </x:c>
      <x:c r="D72" s="170" t="n">
        <x:f>SUMIFS('Tareas y sprints'!$N$2:$N$200,'Tareas y sprints'!$E$2:$E$200,$A72,'Tareas y sprints'!$B$2:$B$200,"Lector reutilizable")</x:f>
        <x:v>45.1</x:v>
      </x:c>
      <x:c r="E72" s="170" t="n">
        <x:f>SUMIFS('Tareas y sprints'!$N$2:$N$200,'Tareas y sprints'!$E$2:$E$200,$A72,'Tareas y sprints'!$B$2:$B$200,"Pulsera")</x:f>
        <x:v>42.900000000000006</x:v>
      </x:c>
      <x:c r="F72" s="170" t="n">
        <x:f>SUMIFS('Tareas y sprints'!$N$2:$N$200,'Tareas y sprints'!$E$2:$E$200,$A72,'Tareas y sprints'!$B$2:$B$200,"Aplicación")</x:f>
        <x:v>54.99999999999999</x:v>
      </x:c>
      <x:c r="G72" s="170" t="n">
        <x:f>SUMIFS('Tareas y sprints'!$N$2:$N$200,'Tareas y sprints'!$E$2:$E$200,$A72,'Tareas y sprints'!$B$2:$B$200,"Transversal")</x:f>
        <x:v>64</x:v>
      </x:c>
      <x:c r="H72" s="170" t="n">
        <x:f>SUM(C72:G72)</x:f>
        <x:v>263.1</x:v>
      </x:c>
      <x:c r="I72" s="154"/>
      <x:c r="J72" s="169" t="n">
        <x:f>SUMIF('Tareas y sprints'!$E$2:$E$200,A72,'Tareas y sprints'!$H$2:$H$200)</x:f>
        <x:v>72.1</x:v>
      </x:c>
      <x:c r="K72" s="169" t="n">
        <x:f>SUMIF('Tareas y sprints'!$E$2:$E$200,A72,'Tareas y sprints'!$I$2:$I$200)</x:f>
        <x:v>74.3</x:v>
      </x:c>
      <x:c r="L72" s="169" t="n">
        <x:f>SUMIF('Tareas y sprints'!$E$2:$E$200,A72,'Tareas y sprints'!$J$2:$J$200)</x:f>
        <x:v>52.3</x:v>
      </x:c>
      <x:c r="M72" s="169" t="n">
        <x:f>SUMIF('Tareas y sprints'!$E$2:$E$200,A72,'Tareas y sprints'!$K$2:$K$200)</x:f>
        <x:v>64.4</x:v>
      </x:c>
      <x:c r="N72" s="169" t="n">
        <x:f>'Supuestos'!$B$54/2</x:f>
        <x:v>80</x:v>
      </x:c>
      <x:c r="O72" s="169" t="n">
        <x:f>N72-MAX(J72:M72)</x:f>
        <x:v>5.700000000000003</x:v>
      </x:c>
      <x:c r="P72" s="154"/>
      <x:c r="Q72" s="154"/>
      <x:c r="R72" s="154"/>
      <x:c r="S72" s="154"/>
      <x:c r="T72" s="154"/>
      <x:c r="U72" s="154"/>
    </x:row>
    <x:row r="73" ht="28" customHeight="1">
      <x:c r="A73" s="154" t="n">
        <x:v>22</x:v>
      </x:c>
      <x:c r="B73" s="154" t="n">
        <x:v>10</x:v>
      </x:c>
      <x:c r="C73" s="170" t="n">
        <x:f>SUMIFS('Tareas y sprints'!$N$2:$N$200,'Tareas y sprints'!$E$2:$E$200,$A73,'Tareas y sprints'!$B$2:$B$200,"Parche descartable")</x:f>
        <x:v>43.349999999999994</x:v>
      </x:c>
      <x:c r="D73" s="170" t="n">
        <x:f>SUMIFS('Tareas y sprints'!$N$2:$N$200,'Tareas y sprints'!$E$2:$E$200,$A73,'Tareas y sprints'!$B$2:$B$200,"Lector reutilizable")</x:f>
        <x:v>34.85</x:v>
      </x:c>
      <x:c r="E73" s="170" t="n">
        <x:f>SUMIFS('Tareas y sprints'!$N$2:$N$200,'Tareas y sprints'!$E$2:$E$200,$A73,'Tareas y sprints'!$B$2:$B$200,"Pulsera")</x:f>
        <x:v>33.15</x:v>
      </x:c>
      <x:c r="F73" s="170" t="n">
        <x:f>SUMIFS('Tareas y sprints'!$N$2:$N$200,'Tareas y sprints'!$E$2:$E$200,$A73,'Tareas y sprints'!$B$2:$B$200,"Aplicación")</x:f>
        <x:v>42.49999999999999</x:v>
      </x:c>
      <x:c r="G73" s="170" t="n">
        <x:f>SUMIFS('Tareas y sprints'!$N$2:$N$200,'Tareas y sprints'!$E$2:$E$200,$A73,'Tareas y sprints'!$B$2:$B$200,"Transversal")</x:f>
        <x:v>64</x:v>
      </x:c>
      <x:c r="H73" s="170" t="n">
        <x:f>SUM(C73:G73)</x:f>
        <x:v>217.85</x:v>
      </x:c>
      <x:c r="I73" s="154"/>
      <x:c r="J73" s="169" t="n">
        <x:f>SUMIF('Tareas y sprints'!$E$2:$E$200,A73,'Tareas y sprints'!$H$2:$H$200)</x:f>
        <x:v>59.349999999999994</x:v>
      </x:c>
      <x:c r="K73" s="169" t="n">
        <x:f>SUMIF('Tareas y sprints'!$E$2:$E$200,A73,'Tareas y sprints'!$I$2:$I$200)</x:f>
        <x:v>61.05</x:v>
      </x:c>
      <x:c r="L73" s="169" t="n">
        <x:f>SUMIF('Tareas y sprints'!$E$2:$E$200,A73,'Tareas y sprints'!$J$2:$J$200)</x:f>
        <x:v>44.05</x:v>
      </x:c>
      <x:c r="M73" s="169" t="n">
        <x:f>SUMIF('Tareas y sprints'!$E$2:$E$200,A73,'Tareas y sprints'!$K$2:$K$200)</x:f>
        <x:v>53.4</x:v>
      </x:c>
      <x:c r="N73" s="169" t="n">
        <x:f>'Supuestos'!$B$54/2</x:f>
        <x:v>80</x:v>
      </x:c>
      <x:c r="O73" s="169" t="n">
        <x:f>N73-MAX(J73:M73)</x:f>
        <x:v>18.950000000000003</x:v>
      </x:c>
      <x:c r="P73" s="154"/>
      <x:c r="Q73" s="154"/>
      <x:c r="R73" s="154"/>
      <x:c r="S73" s="154"/>
      <x:c r="T73" s="154"/>
      <x:c r="U73" s="154"/>
    </x:row>
    <x:row r="74" ht="28" customHeight="1">
      <x:c r="A74" s="154" t="n">
        <x:v>23</x:v>
      </x:c>
      <x:c r="B74" s="154" t="n">
        <x:v>11</x:v>
      </x:c>
      <x:c r="C74" s="170" t="n">
        <x:f>SUMIFS('Tareas y sprints'!$N$2:$N$200,'Tareas y sprints'!$E$2:$E$200,$A74,'Tareas y sprints'!$B$2:$B$200,"Parche descartable")</x:f>
        <x:v>51</x:v>
      </x:c>
      <x:c r="D74" s="170" t="n">
        <x:f>SUMIFS('Tareas y sprints'!$N$2:$N$200,'Tareas y sprints'!$E$2:$E$200,$A74,'Tareas y sprints'!$B$2:$B$200,"Lector reutilizable")</x:f>
        <x:v>41</x:v>
      </x:c>
      <x:c r="E74" s="170" t="n">
        <x:f>SUMIFS('Tareas y sprints'!$N$2:$N$200,'Tareas y sprints'!$E$2:$E$200,$A74,'Tareas y sprints'!$B$2:$B$200,"Pulsera")</x:f>
        <x:v>39</x:v>
      </x:c>
      <x:c r="F74" s="170" t="n">
        <x:f>SUMIFS('Tareas y sprints'!$N$2:$N$200,'Tareas y sprints'!$E$2:$E$200,$A74,'Tareas y sprints'!$B$2:$B$200,"Aplicación")</x:f>
        <x:v>50</x:v>
      </x:c>
      <x:c r="G74" s="170" t="n">
        <x:f>SUMIFS('Tareas y sprints'!$N$2:$N$200,'Tareas y sprints'!$E$2:$E$200,$A74,'Tareas y sprints'!$B$2:$B$200,"Transversal")</x:f>
        <x:v>64</x:v>
      </x:c>
      <x:c r="H74" s="170" t="n">
        <x:f>SUM(C74:G74)</x:f>
        <x:v>245</x:v>
      </x:c>
      <x:c r="I74" s="154"/>
      <x:c r="J74" s="169" t="n">
        <x:f>SUMIF('Tareas y sprints'!$E$2:$E$200,A74,'Tareas y sprints'!$H$2:$H$200)</x:f>
        <x:v>67</x:v>
      </x:c>
      <x:c r="K74" s="169" t="n">
        <x:f>SUMIF('Tareas y sprints'!$E$2:$E$200,A74,'Tareas y sprints'!$I$2:$I$200)</x:f>
        <x:v>69</x:v>
      </x:c>
      <x:c r="L74" s="169" t="n">
        <x:f>SUMIF('Tareas y sprints'!$E$2:$E$200,A74,'Tareas y sprints'!$J$2:$J$200)</x:f>
        <x:v>49</x:v>
      </x:c>
      <x:c r="M74" s="169" t="n">
        <x:f>SUMIF('Tareas y sprints'!$E$2:$E$200,A74,'Tareas y sprints'!$K$2:$K$200)</x:f>
        <x:v>60</x:v>
      </x:c>
      <x:c r="N74" s="169" t="n">
        <x:f>'Supuestos'!$B$54/2</x:f>
        <x:v>80</x:v>
      </x:c>
      <x:c r="O74" s="169" t="n">
        <x:f>N74-MAX(J74:M74)</x:f>
        <x:v>11</x:v>
      </x:c>
      <x:c r="P74" s="154"/>
      <x:c r="Q74" s="154"/>
      <x:c r="R74" s="154"/>
      <x:c r="S74" s="154"/>
      <x:c r="T74" s="154"/>
      <x:c r="U74" s="154"/>
    </x:row>
    <x:row r="75" ht="28" customHeight="1">
      <x:c r="A75" s="154" t="n">
        <x:v>24</x:v>
      </x:c>
      <x:c r="B75" s="154" t="n">
        <x:v>11</x:v>
      </x:c>
      <x:c r="C75" s="170" t="n">
        <x:f>SUMIFS('Tareas y sprints'!$N$2:$N$200,'Tareas y sprints'!$E$2:$E$200,$A75,'Tareas y sprints'!$B$2:$B$200,"Parche descartable")</x:f>
        <x:v>56.099999999999994</x:v>
      </x:c>
      <x:c r="D75" s="170" t="n">
        <x:f>SUMIFS('Tareas y sprints'!$N$2:$N$200,'Tareas y sprints'!$E$2:$E$200,$A75,'Tareas y sprints'!$B$2:$B$200,"Lector reutilizable")</x:f>
        <x:v>45.1</x:v>
      </x:c>
      <x:c r="E75" s="170" t="n">
        <x:f>SUMIFS('Tareas y sprints'!$N$2:$N$200,'Tareas y sprints'!$E$2:$E$200,$A75,'Tareas y sprints'!$B$2:$B$200,"Pulsera")</x:f>
        <x:v>42.900000000000006</x:v>
      </x:c>
      <x:c r="F75" s="170" t="n">
        <x:f>SUMIFS('Tareas y sprints'!$N$2:$N$200,'Tareas y sprints'!$E$2:$E$200,$A75,'Tareas y sprints'!$B$2:$B$200,"Aplicación")</x:f>
        <x:v>54.99999999999999</x:v>
      </x:c>
      <x:c r="G75" s="170" t="n">
        <x:f>SUMIFS('Tareas y sprints'!$N$2:$N$200,'Tareas y sprints'!$E$2:$E$200,$A75,'Tareas y sprints'!$B$2:$B$200,"Transversal")</x:f>
        <x:v>64</x:v>
      </x:c>
      <x:c r="H75" s="170" t="n">
        <x:f>SUM(C75:G75)</x:f>
        <x:v>263.1</x:v>
      </x:c>
      <x:c r="I75" s="154"/>
      <x:c r="J75" s="169" t="n">
        <x:f>SUMIF('Tareas y sprints'!$E$2:$E$200,A75,'Tareas y sprints'!$H$2:$H$200)</x:f>
        <x:v>72.1</x:v>
      </x:c>
      <x:c r="K75" s="169" t="n">
        <x:f>SUMIF('Tareas y sprints'!$E$2:$E$200,A75,'Tareas y sprints'!$I$2:$I$200)</x:f>
        <x:v>74.3</x:v>
      </x:c>
      <x:c r="L75" s="169" t="n">
        <x:f>SUMIF('Tareas y sprints'!$E$2:$E$200,A75,'Tareas y sprints'!$J$2:$J$200)</x:f>
        <x:v>52.3</x:v>
      </x:c>
      <x:c r="M75" s="169" t="n">
        <x:f>SUMIF('Tareas y sprints'!$E$2:$E$200,A75,'Tareas y sprints'!$K$2:$K$200)</x:f>
        <x:v>64.4</x:v>
      </x:c>
      <x:c r="N75" s="169" t="n">
        <x:f>'Supuestos'!$B$54/2</x:f>
        <x:v>80</x:v>
      </x:c>
      <x:c r="O75" s="169" t="n">
        <x:f>N75-MAX(J75:M75)</x:f>
        <x:v>5.700000000000003</x:v>
      </x:c>
      <x:c r="P75" s="154"/>
      <x:c r="Q75" s="154"/>
      <x:c r="R75" s="154"/>
      <x:c r="S75" s="154"/>
      <x:c r="T75" s="154"/>
      <x:c r="U75" s="154"/>
    </x:row>
    <x:row r="76" ht="28" customHeight="1">
      <x:c r="A76" s="154" t="n">
        <x:v>25</x:v>
      </x:c>
      <x:c r="B76" s="154" t="n">
        <x:v>12</x:v>
      </x:c>
      <x:c r="C76" s="170" t="n">
        <x:f>SUMIFS('Tareas y sprints'!$N$2:$N$200,'Tareas y sprints'!$E$2:$E$200,$A76,'Tareas y sprints'!$B$2:$B$200,"Parche descartable")</x:f>
        <x:v>43.349999999999994</x:v>
      </x:c>
      <x:c r="D76" s="170" t="n">
        <x:f>SUMIFS('Tareas y sprints'!$N$2:$N$200,'Tareas y sprints'!$E$2:$E$200,$A76,'Tareas y sprints'!$B$2:$B$200,"Lector reutilizable")</x:f>
        <x:v>34.85</x:v>
      </x:c>
      <x:c r="E76" s="170" t="n">
        <x:f>SUMIFS('Tareas y sprints'!$N$2:$N$200,'Tareas y sprints'!$E$2:$E$200,$A76,'Tareas y sprints'!$B$2:$B$200,"Pulsera")</x:f>
        <x:v>33.15</x:v>
      </x:c>
      <x:c r="F76" s="170" t="n">
        <x:f>SUMIFS('Tareas y sprints'!$N$2:$N$200,'Tareas y sprints'!$E$2:$E$200,$A76,'Tareas y sprints'!$B$2:$B$200,"Aplicación")</x:f>
        <x:v>42.49999999999999</x:v>
      </x:c>
      <x:c r="G76" s="170" t="n">
        <x:f>SUMIFS('Tareas y sprints'!$N$2:$N$200,'Tareas y sprints'!$E$2:$E$200,$A76,'Tareas y sprints'!$B$2:$B$200,"Transversal")</x:f>
        <x:v>64</x:v>
      </x:c>
      <x:c r="H76" s="170" t="n">
        <x:f>SUM(C76:G76)</x:f>
        <x:v>217.85</x:v>
      </x:c>
      <x:c r="I76" s="154"/>
      <x:c r="J76" s="169" t="n">
        <x:f>SUMIF('Tareas y sprints'!$E$2:$E$200,A76,'Tareas y sprints'!$H$2:$H$200)</x:f>
        <x:v>59.349999999999994</x:v>
      </x:c>
      <x:c r="K76" s="169" t="n">
        <x:f>SUMIF('Tareas y sprints'!$E$2:$E$200,A76,'Tareas y sprints'!$I$2:$I$200)</x:f>
        <x:v>61.05</x:v>
      </x:c>
      <x:c r="L76" s="169" t="n">
        <x:f>SUMIF('Tareas y sprints'!$E$2:$E$200,A76,'Tareas y sprints'!$J$2:$J$200)</x:f>
        <x:v>44.05</x:v>
      </x:c>
      <x:c r="M76" s="169" t="n">
        <x:f>SUMIF('Tareas y sprints'!$E$2:$E$200,A76,'Tareas y sprints'!$K$2:$K$200)</x:f>
        <x:v>53.4</x:v>
      </x:c>
      <x:c r="N76" s="169" t="n">
        <x:f>'Supuestos'!$B$54/2</x:f>
        <x:v>80</x:v>
      </x:c>
      <x:c r="O76" s="169" t="n">
        <x:f>N76-MAX(J76:M76)</x:f>
        <x:v>18.950000000000003</x:v>
      </x:c>
      <x:c r="P76" s="154"/>
      <x:c r="Q76" s="154"/>
      <x:c r="R76" s="154"/>
      <x:c r="S76" s="154"/>
      <x:c r="T76" s="154"/>
      <x:c r="U76" s="154"/>
    </x:row>
    <x:row r="77" ht="28" customHeight="1">
      <x:c r="A77" s="154" t="n">
        <x:v>26</x:v>
      </x:c>
      <x:c r="B77" s="154" t="n">
        <x:v>12</x:v>
      </x:c>
      <x:c r="C77" s="170" t="n">
        <x:f>SUMIFS('Tareas y sprints'!$N$2:$N$200,'Tareas y sprints'!$E$2:$E$200,$A77,'Tareas y sprints'!$B$2:$B$200,"Parche descartable")</x:f>
        <x:v>51</x:v>
      </x:c>
      <x:c r="D77" s="170" t="n">
        <x:f>SUMIFS('Tareas y sprints'!$N$2:$N$200,'Tareas y sprints'!$E$2:$E$200,$A77,'Tareas y sprints'!$B$2:$B$200,"Lector reutilizable")</x:f>
        <x:v>41</x:v>
      </x:c>
      <x:c r="E77" s="170" t="n">
        <x:f>SUMIFS('Tareas y sprints'!$N$2:$N$200,'Tareas y sprints'!$E$2:$E$200,$A77,'Tareas y sprints'!$B$2:$B$200,"Pulsera")</x:f>
        <x:v>39</x:v>
      </x:c>
      <x:c r="F77" s="170" t="n">
        <x:f>SUMIFS('Tareas y sprints'!$N$2:$N$200,'Tareas y sprints'!$E$2:$E$200,$A77,'Tareas y sprints'!$B$2:$B$200,"Aplicación")</x:f>
        <x:v>50</x:v>
      </x:c>
      <x:c r="G77" s="170" t="n">
        <x:f>SUMIFS('Tareas y sprints'!$N$2:$N$200,'Tareas y sprints'!$E$2:$E$200,$A77,'Tareas y sprints'!$B$2:$B$200,"Transversal")</x:f>
        <x:v>64</x:v>
      </x:c>
      <x:c r="H77" s="170" t="n">
        <x:f>SUM(C77:G77)</x:f>
        <x:v>245</x:v>
      </x:c>
      <x:c r="I77" s="154"/>
      <x:c r="J77" s="169" t="n">
        <x:f>SUMIF('Tareas y sprints'!$E$2:$E$200,A77,'Tareas y sprints'!$H$2:$H$200)</x:f>
        <x:v>67</x:v>
      </x:c>
      <x:c r="K77" s="169" t="n">
        <x:f>SUMIF('Tareas y sprints'!$E$2:$E$200,A77,'Tareas y sprints'!$I$2:$I$200)</x:f>
        <x:v>69</x:v>
      </x:c>
      <x:c r="L77" s="169" t="n">
        <x:f>SUMIF('Tareas y sprints'!$E$2:$E$200,A77,'Tareas y sprints'!$J$2:$J$200)</x:f>
        <x:v>49</x:v>
      </x:c>
      <x:c r="M77" s="169" t="n">
        <x:f>SUMIF('Tareas y sprints'!$E$2:$E$200,A77,'Tareas y sprints'!$K$2:$K$200)</x:f>
        <x:v>60</x:v>
      </x:c>
      <x:c r="N77" s="169" t="n">
        <x:f>'Supuestos'!$B$54/2</x:f>
        <x:v>80</x:v>
      </x:c>
      <x:c r="O77" s="169" t="n">
        <x:f>N77-MAX(J77:M77)</x:f>
        <x:v>11</x:v>
      </x:c>
      <x:c r="P77" s="154"/>
      <x:c r="Q77" s="154"/>
      <x:c r="R77" s="154"/>
      <x:c r="S77" s="154"/>
      <x:c r="T77" s="154"/>
      <x:c r="U77" s="154"/>
    </x:row>
    <x:row r="78" ht="28" customHeight="1">
      <x:c r="A78" s="154" t="n">
        <x:v>27</x:v>
      </x:c>
      <x:c r="B78" s="154" t="n">
        <x:v>13</x:v>
      </x:c>
      <x:c r="C78" s="170" t="n">
        <x:f>SUMIFS('Tareas y sprints'!$N$2:$N$200,'Tareas y sprints'!$E$2:$E$200,$A78,'Tareas y sprints'!$B$2:$B$200,"Parche descartable")</x:f>
        <x:v>56.099999999999994</x:v>
      </x:c>
      <x:c r="D78" s="170" t="n">
        <x:f>SUMIFS('Tareas y sprints'!$N$2:$N$200,'Tareas y sprints'!$E$2:$E$200,$A78,'Tareas y sprints'!$B$2:$B$200,"Lector reutilizable")</x:f>
        <x:v>45.1</x:v>
      </x:c>
      <x:c r="E78" s="170" t="n">
        <x:f>SUMIFS('Tareas y sprints'!$N$2:$N$200,'Tareas y sprints'!$E$2:$E$200,$A78,'Tareas y sprints'!$B$2:$B$200,"Pulsera")</x:f>
        <x:v>42.900000000000006</x:v>
      </x:c>
      <x:c r="F78" s="170" t="n">
        <x:f>SUMIFS('Tareas y sprints'!$N$2:$N$200,'Tareas y sprints'!$E$2:$E$200,$A78,'Tareas y sprints'!$B$2:$B$200,"Aplicación")</x:f>
        <x:v>54.99999999999999</x:v>
      </x:c>
      <x:c r="G78" s="170" t="n">
        <x:f>SUMIFS('Tareas y sprints'!$N$2:$N$200,'Tareas y sprints'!$E$2:$E$200,$A78,'Tareas y sprints'!$B$2:$B$200,"Transversal")</x:f>
        <x:v>64</x:v>
      </x:c>
      <x:c r="H78" s="170" t="n">
        <x:f>SUM(C78:G78)</x:f>
        <x:v>263.1</x:v>
      </x:c>
      <x:c r="I78" s="154"/>
      <x:c r="J78" s="169" t="n">
        <x:f>SUMIF('Tareas y sprints'!$E$2:$E$200,A78,'Tareas y sprints'!$H$2:$H$200)</x:f>
        <x:v>72.1</x:v>
      </x:c>
      <x:c r="K78" s="169" t="n">
        <x:f>SUMIF('Tareas y sprints'!$E$2:$E$200,A78,'Tareas y sprints'!$I$2:$I$200)</x:f>
        <x:v>74.3</x:v>
      </x:c>
      <x:c r="L78" s="169" t="n">
        <x:f>SUMIF('Tareas y sprints'!$E$2:$E$200,A78,'Tareas y sprints'!$J$2:$J$200)</x:f>
        <x:v>52.3</x:v>
      </x:c>
      <x:c r="M78" s="169" t="n">
        <x:f>SUMIF('Tareas y sprints'!$E$2:$E$200,A78,'Tareas y sprints'!$K$2:$K$200)</x:f>
        <x:v>64.4</x:v>
      </x:c>
      <x:c r="N78" s="169" t="n">
        <x:f>'Supuestos'!$B$54/2</x:f>
        <x:v>80</x:v>
      </x:c>
      <x:c r="O78" s="169" t="n">
        <x:f>N78-MAX(J78:M78)</x:f>
        <x:v>5.700000000000003</x:v>
      </x:c>
      <x:c r="P78" s="154"/>
      <x:c r="Q78" s="154"/>
      <x:c r="R78" s="154"/>
      <x:c r="S78" s="154"/>
      <x:c r="T78" s="154"/>
      <x:c r="U78" s="154"/>
    </x:row>
    <x:row r="79" ht="28" customHeight="1">
      <x:c r="A79" s="154" t="n">
        <x:v>28</x:v>
      </x:c>
      <x:c r="B79" s="154" t="n">
        <x:v>13</x:v>
      </x:c>
      <x:c r="C79" s="170" t="n">
        <x:f>SUMIFS('Tareas y sprints'!$N$2:$N$200,'Tareas y sprints'!$E$2:$E$200,$A79,'Tareas y sprints'!$B$2:$B$200,"Parche descartable")</x:f>
        <x:v>43.349999999999994</x:v>
      </x:c>
      <x:c r="D79" s="170" t="n">
        <x:f>SUMIFS('Tareas y sprints'!$N$2:$N$200,'Tareas y sprints'!$E$2:$E$200,$A79,'Tareas y sprints'!$B$2:$B$200,"Lector reutilizable")</x:f>
        <x:v>34.85</x:v>
      </x:c>
      <x:c r="E79" s="170" t="n">
        <x:f>SUMIFS('Tareas y sprints'!$N$2:$N$200,'Tareas y sprints'!$E$2:$E$200,$A79,'Tareas y sprints'!$B$2:$B$200,"Pulsera")</x:f>
        <x:v>33.15</x:v>
      </x:c>
      <x:c r="F79" s="170" t="n">
        <x:f>SUMIFS('Tareas y sprints'!$N$2:$N$200,'Tareas y sprints'!$E$2:$E$200,$A79,'Tareas y sprints'!$B$2:$B$200,"Aplicación")</x:f>
        <x:v>42.49999999999999</x:v>
      </x:c>
      <x:c r="G79" s="170" t="n">
        <x:f>SUMIFS('Tareas y sprints'!$N$2:$N$200,'Tareas y sprints'!$E$2:$E$200,$A79,'Tareas y sprints'!$B$2:$B$200,"Transversal")</x:f>
        <x:v>64</x:v>
      </x:c>
      <x:c r="H79" s="170" t="n">
        <x:f>SUM(C79:G79)</x:f>
        <x:v>217.85</x:v>
      </x:c>
      <x:c r="I79" s="154"/>
      <x:c r="J79" s="169" t="n">
        <x:f>SUMIF('Tareas y sprints'!$E$2:$E$200,A79,'Tareas y sprints'!$H$2:$H$200)</x:f>
        <x:v>59.349999999999994</x:v>
      </x:c>
      <x:c r="K79" s="169" t="n">
        <x:f>SUMIF('Tareas y sprints'!$E$2:$E$200,A79,'Tareas y sprints'!$I$2:$I$200)</x:f>
        <x:v>61.05</x:v>
      </x:c>
      <x:c r="L79" s="169" t="n">
        <x:f>SUMIF('Tareas y sprints'!$E$2:$E$200,A79,'Tareas y sprints'!$J$2:$J$200)</x:f>
        <x:v>44.05</x:v>
      </x:c>
      <x:c r="M79" s="169" t="n">
        <x:f>SUMIF('Tareas y sprints'!$E$2:$E$200,A79,'Tareas y sprints'!$K$2:$K$200)</x:f>
        <x:v>53.4</x:v>
      </x:c>
      <x:c r="N79" s="169" t="n">
        <x:f>'Supuestos'!$B$54/2</x:f>
        <x:v>80</x:v>
      </x:c>
      <x:c r="O79" s="169" t="n">
        <x:f>N79-MAX(J79:M79)</x:f>
        <x:v>18.950000000000003</x:v>
      </x:c>
      <x:c r="P79" s="154"/>
      <x:c r="Q79" s="154"/>
      <x:c r="R79" s="154"/>
      <x:c r="S79" s="154"/>
      <x:c r="T79" s="154"/>
      <x:c r="U79" s="154"/>
    </x:row>
    <x:row r="80" ht="28" customHeight="1">
      <x:c r="A80" s="154" t="n">
        <x:v>29</x:v>
      </x:c>
      <x:c r="B80" s="154" t="n">
        <x:v>14</x:v>
      </x:c>
      <x:c r="C80" s="170" t="n">
        <x:f>SUMIFS('Tareas y sprints'!$N$2:$N$200,'Tareas y sprints'!$E$2:$E$200,$A80,'Tareas y sprints'!$B$2:$B$200,"Parche descartable")</x:f>
        <x:v>51</x:v>
      </x:c>
      <x:c r="D80" s="170" t="n">
        <x:f>SUMIFS('Tareas y sprints'!$N$2:$N$200,'Tareas y sprints'!$E$2:$E$200,$A80,'Tareas y sprints'!$B$2:$B$200,"Lector reutilizable")</x:f>
        <x:v>41</x:v>
      </x:c>
      <x:c r="E80" s="170" t="n">
        <x:f>SUMIFS('Tareas y sprints'!$N$2:$N$200,'Tareas y sprints'!$E$2:$E$200,$A80,'Tareas y sprints'!$B$2:$B$200,"Pulsera")</x:f>
        <x:v>39</x:v>
      </x:c>
      <x:c r="F80" s="170" t="n">
        <x:f>SUMIFS('Tareas y sprints'!$N$2:$N$200,'Tareas y sprints'!$E$2:$E$200,$A80,'Tareas y sprints'!$B$2:$B$200,"Aplicación")</x:f>
        <x:v>50</x:v>
      </x:c>
      <x:c r="G80" s="170" t="n">
        <x:f>SUMIFS('Tareas y sprints'!$N$2:$N$200,'Tareas y sprints'!$E$2:$E$200,$A80,'Tareas y sprints'!$B$2:$B$200,"Transversal")</x:f>
        <x:v>64</x:v>
      </x:c>
      <x:c r="H80" s="170" t="n">
        <x:f>SUM(C80:G80)</x:f>
        <x:v>245</x:v>
      </x:c>
      <x:c r="I80" s="154"/>
      <x:c r="J80" s="169" t="n">
        <x:f>SUMIF('Tareas y sprints'!$E$2:$E$200,A80,'Tareas y sprints'!$H$2:$H$200)</x:f>
        <x:v>67</x:v>
      </x:c>
      <x:c r="K80" s="169" t="n">
        <x:f>SUMIF('Tareas y sprints'!$E$2:$E$200,A80,'Tareas y sprints'!$I$2:$I$200)</x:f>
        <x:v>69</x:v>
      </x:c>
      <x:c r="L80" s="169" t="n">
        <x:f>SUMIF('Tareas y sprints'!$E$2:$E$200,A80,'Tareas y sprints'!$J$2:$J$200)</x:f>
        <x:v>49</x:v>
      </x:c>
      <x:c r="M80" s="169" t="n">
        <x:f>SUMIF('Tareas y sprints'!$E$2:$E$200,A80,'Tareas y sprints'!$K$2:$K$200)</x:f>
        <x:v>60</x:v>
      </x:c>
      <x:c r="N80" s="169" t="n">
        <x:f>'Supuestos'!$B$54/2</x:f>
        <x:v>80</x:v>
      </x:c>
      <x:c r="O80" s="169" t="n">
        <x:f>N80-MAX(J80:M80)</x:f>
        <x:v>11</x:v>
      </x:c>
      <x:c r="P80" s="154"/>
      <x:c r="Q80" s="154"/>
      <x:c r="R80" s="154"/>
      <x:c r="S80" s="154"/>
      <x:c r="T80" s="154"/>
      <x:c r="U80" s="154"/>
    </x:row>
    <x:row r="81" ht="28" customHeight="1">
      <x:c r="A81" s="154" t="n">
        <x:v>30</x:v>
      </x:c>
      <x:c r="B81" s="154" t="n">
        <x:v>14</x:v>
      </x:c>
      <x:c r="C81" s="170" t="n">
        <x:f>SUMIFS('Tareas y sprints'!$N$2:$N$200,'Tareas y sprints'!$E$2:$E$200,$A81,'Tareas y sprints'!$B$2:$B$200,"Parche descartable")</x:f>
        <x:v>56.099999999999994</x:v>
      </x:c>
      <x:c r="D81" s="170" t="n">
        <x:f>SUMIFS('Tareas y sprints'!$N$2:$N$200,'Tareas y sprints'!$E$2:$E$200,$A81,'Tareas y sprints'!$B$2:$B$200,"Lector reutilizable")</x:f>
        <x:v>45.1</x:v>
      </x:c>
      <x:c r="E81" s="170" t="n">
        <x:f>SUMIFS('Tareas y sprints'!$N$2:$N$200,'Tareas y sprints'!$E$2:$E$200,$A81,'Tareas y sprints'!$B$2:$B$200,"Pulsera")</x:f>
        <x:v>42.900000000000006</x:v>
      </x:c>
      <x:c r="F81" s="170" t="n">
        <x:f>SUMIFS('Tareas y sprints'!$N$2:$N$200,'Tareas y sprints'!$E$2:$E$200,$A81,'Tareas y sprints'!$B$2:$B$200,"Aplicación")</x:f>
        <x:v>54.99999999999999</x:v>
      </x:c>
      <x:c r="G81" s="170" t="n">
        <x:f>SUMIFS('Tareas y sprints'!$N$2:$N$200,'Tareas y sprints'!$E$2:$E$200,$A81,'Tareas y sprints'!$B$2:$B$200,"Transversal")</x:f>
        <x:v>64</x:v>
      </x:c>
      <x:c r="H81" s="170" t="n">
        <x:f>SUM(C81:G81)</x:f>
        <x:v>263.1</x:v>
      </x:c>
      <x:c r="I81" s="154"/>
      <x:c r="J81" s="169" t="n">
        <x:f>SUMIF('Tareas y sprints'!$E$2:$E$200,A81,'Tareas y sprints'!$H$2:$H$200)</x:f>
        <x:v>72.1</x:v>
      </x:c>
      <x:c r="K81" s="169" t="n">
        <x:f>SUMIF('Tareas y sprints'!$E$2:$E$200,A81,'Tareas y sprints'!$I$2:$I$200)</x:f>
        <x:v>74.3</x:v>
      </x:c>
      <x:c r="L81" s="169" t="n">
        <x:f>SUMIF('Tareas y sprints'!$E$2:$E$200,A81,'Tareas y sprints'!$J$2:$J$200)</x:f>
        <x:v>52.3</x:v>
      </x:c>
      <x:c r="M81" s="169" t="n">
        <x:f>SUMIF('Tareas y sprints'!$E$2:$E$200,A81,'Tareas y sprints'!$K$2:$K$200)</x:f>
        <x:v>64.4</x:v>
      </x:c>
      <x:c r="N81" s="169" t="n">
        <x:f>'Supuestos'!$B$54/2</x:f>
        <x:v>80</x:v>
      </x:c>
      <x:c r="O81" s="169" t="n">
        <x:f>N81-MAX(J81:M81)</x:f>
        <x:v>5.700000000000003</x:v>
      </x:c>
      <x:c r="P81" s="154"/>
      <x:c r="Q81" s="154"/>
      <x:c r="R81" s="154"/>
      <x:c r="S81" s="154"/>
      <x:c r="T81" s="154"/>
      <x:c r="U81" s="154"/>
    </x:row>
    <x:row r="82" ht="28" customHeight="1">
      <x:c r="A82" s="154" t="n">
        <x:v>31</x:v>
      </x:c>
      <x:c r="B82" s="154" t="n">
        <x:v>15</x:v>
      </x:c>
      <x:c r="C82" s="170" t="n">
        <x:f>SUMIFS('Tareas y sprints'!$N$2:$N$200,'Tareas y sprints'!$E$2:$E$200,$A82,'Tareas y sprints'!$B$2:$B$200,"Parche descartable")</x:f>
        <x:v>43.349999999999994</x:v>
      </x:c>
      <x:c r="D82" s="170" t="n">
        <x:f>SUMIFS('Tareas y sprints'!$N$2:$N$200,'Tareas y sprints'!$E$2:$E$200,$A82,'Tareas y sprints'!$B$2:$B$200,"Lector reutilizable")</x:f>
        <x:v>34.85</x:v>
      </x:c>
      <x:c r="E82" s="170" t="n">
        <x:f>SUMIFS('Tareas y sprints'!$N$2:$N$200,'Tareas y sprints'!$E$2:$E$200,$A82,'Tareas y sprints'!$B$2:$B$200,"Pulsera")</x:f>
        <x:v>33.15</x:v>
      </x:c>
      <x:c r="F82" s="170" t="n">
        <x:f>SUMIFS('Tareas y sprints'!$N$2:$N$200,'Tareas y sprints'!$E$2:$E$200,$A82,'Tareas y sprints'!$B$2:$B$200,"Aplicación")</x:f>
        <x:v>42.49999999999999</x:v>
      </x:c>
      <x:c r="G82" s="170" t="n">
        <x:f>SUMIFS('Tareas y sprints'!$N$2:$N$200,'Tareas y sprints'!$E$2:$E$200,$A82,'Tareas y sprints'!$B$2:$B$200,"Transversal")</x:f>
        <x:v>64</x:v>
      </x:c>
      <x:c r="H82" s="170" t="n">
        <x:f>SUM(C82:G82)</x:f>
        <x:v>217.85</x:v>
      </x:c>
      <x:c r="I82" s="154"/>
      <x:c r="J82" s="169" t="n">
        <x:f>SUMIF('Tareas y sprints'!$E$2:$E$200,A82,'Tareas y sprints'!$H$2:$H$200)</x:f>
        <x:v>59.349999999999994</x:v>
      </x:c>
      <x:c r="K82" s="169" t="n">
        <x:f>SUMIF('Tareas y sprints'!$E$2:$E$200,A82,'Tareas y sprints'!$I$2:$I$200)</x:f>
        <x:v>61.05</x:v>
      </x:c>
      <x:c r="L82" s="169" t="n">
        <x:f>SUMIF('Tareas y sprints'!$E$2:$E$200,A82,'Tareas y sprints'!$J$2:$J$200)</x:f>
        <x:v>44.05</x:v>
      </x:c>
      <x:c r="M82" s="169" t="n">
        <x:f>SUMIF('Tareas y sprints'!$E$2:$E$200,A82,'Tareas y sprints'!$K$2:$K$200)</x:f>
        <x:v>53.4</x:v>
      </x:c>
      <x:c r="N82" s="169" t="n">
        <x:f>'Supuestos'!$B$54/2</x:f>
        <x:v>80</x:v>
      </x:c>
      <x:c r="O82" s="169" t="n">
        <x:f>N82-MAX(J82:M82)</x:f>
        <x:v>18.950000000000003</x:v>
      </x:c>
      <x:c r="P82" s="154"/>
      <x:c r="Q82" s="154"/>
      <x:c r="R82" s="154"/>
      <x:c r="S82" s="154"/>
      <x:c r="T82" s="154"/>
      <x:c r="U82" s="154"/>
    </x:row>
    <x:row r="83" ht="28" customHeight="1">
      <x:c r="A83" s="154" t="n">
        <x:v>32</x:v>
      </x:c>
      <x:c r="B83" s="154" t="n">
        <x:v>15</x:v>
      </x:c>
      <x:c r="C83" s="170" t="n">
        <x:f>SUMIFS('Tareas y sprints'!$N$2:$N$200,'Tareas y sprints'!$E$2:$E$200,$A83,'Tareas y sprints'!$B$2:$B$200,"Parche descartable")</x:f>
        <x:v>51</x:v>
      </x:c>
      <x:c r="D83" s="170" t="n">
        <x:f>SUMIFS('Tareas y sprints'!$N$2:$N$200,'Tareas y sprints'!$E$2:$E$200,$A83,'Tareas y sprints'!$B$2:$B$200,"Lector reutilizable")</x:f>
        <x:v>41</x:v>
      </x:c>
      <x:c r="E83" s="170" t="n">
        <x:f>SUMIFS('Tareas y sprints'!$N$2:$N$200,'Tareas y sprints'!$E$2:$E$200,$A83,'Tareas y sprints'!$B$2:$B$200,"Pulsera")</x:f>
        <x:v>39</x:v>
      </x:c>
      <x:c r="F83" s="170" t="n">
        <x:f>SUMIFS('Tareas y sprints'!$N$2:$N$200,'Tareas y sprints'!$E$2:$E$200,$A83,'Tareas y sprints'!$B$2:$B$200,"Aplicación")</x:f>
        <x:v>50</x:v>
      </x:c>
      <x:c r="G83" s="170" t="n">
        <x:f>SUMIFS('Tareas y sprints'!$N$2:$N$200,'Tareas y sprints'!$E$2:$E$200,$A83,'Tareas y sprints'!$B$2:$B$200,"Transversal")</x:f>
        <x:v>64</x:v>
      </x:c>
      <x:c r="H83" s="170" t="n">
        <x:f>SUM(C83:G83)</x:f>
        <x:v>245</x:v>
      </x:c>
      <x:c r="I83" s="154"/>
      <x:c r="J83" s="169" t="n">
        <x:f>SUMIF('Tareas y sprints'!$E$2:$E$200,A83,'Tareas y sprints'!$H$2:$H$200)</x:f>
        <x:v>67</x:v>
      </x:c>
      <x:c r="K83" s="169" t="n">
        <x:f>SUMIF('Tareas y sprints'!$E$2:$E$200,A83,'Tareas y sprints'!$I$2:$I$200)</x:f>
        <x:v>69</x:v>
      </x:c>
      <x:c r="L83" s="169" t="n">
        <x:f>SUMIF('Tareas y sprints'!$E$2:$E$200,A83,'Tareas y sprints'!$J$2:$J$200)</x:f>
        <x:v>49</x:v>
      </x:c>
      <x:c r="M83" s="169" t="n">
        <x:f>SUMIF('Tareas y sprints'!$E$2:$E$200,A83,'Tareas y sprints'!$K$2:$K$200)</x:f>
        <x:v>60</x:v>
      </x:c>
      <x:c r="N83" s="169" t="n">
        <x:f>'Supuestos'!$B$54/2</x:f>
        <x:v>80</x:v>
      </x:c>
      <x:c r="O83" s="169" t="n">
        <x:f>N83-MAX(J83:M83)</x:f>
        <x:v>11</x:v>
      </x:c>
      <x:c r="P83" s="154"/>
      <x:c r="Q83" s="154"/>
      <x:c r="R83" s="154"/>
      <x:c r="S83" s="154"/>
      <x:c r="T83" s="154"/>
      <x:c r="U83" s="154"/>
    </x:row>
    <x:row r="84" ht="28" customHeight="1">
      <x:c r="A84" s="154" t="n">
        <x:v>33</x:v>
      </x:c>
      <x:c r="B84" s="154" t="n">
        <x:v>16</x:v>
      </x:c>
      <x:c r="C84" s="170" t="n">
        <x:f>SUMIFS('Tareas y sprints'!$N$2:$N$200,'Tareas y sprints'!$E$2:$E$200,$A84,'Tareas y sprints'!$B$2:$B$200,"Parche descartable")</x:f>
        <x:v>56.099999999999994</x:v>
      </x:c>
      <x:c r="D84" s="170" t="n">
        <x:f>SUMIFS('Tareas y sprints'!$N$2:$N$200,'Tareas y sprints'!$E$2:$E$200,$A84,'Tareas y sprints'!$B$2:$B$200,"Lector reutilizable")</x:f>
        <x:v>45.1</x:v>
      </x:c>
      <x:c r="E84" s="170" t="n">
        <x:f>SUMIFS('Tareas y sprints'!$N$2:$N$200,'Tareas y sprints'!$E$2:$E$200,$A84,'Tareas y sprints'!$B$2:$B$200,"Pulsera")</x:f>
        <x:v>42.900000000000006</x:v>
      </x:c>
      <x:c r="F84" s="170" t="n">
        <x:f>SUMIFS('Tareas y sprints'!$N$2:$N$200,'Tareas y sprints'!$E$2:$E$200,$A84,'Tareas y sprints'!$B$2:$B$200,"Aplicación")</x:f>
        <x:v>54.99999999999999</x:v>
      </x:c>
      <x:c r="G84" s="170" t="n">
        <x:f>SUMIFS('Tareas y sprints'!$N$2:$N$200,'Tareas y sprints'!$E$2:$E$200,$A84,'Tareas y sprints'!$B$2:$B$200,"Transversal")</x:f>
        <x:v>64</x:v>
      </x:c>
      <x:c r="H84" s="170" t="n">
        <x:f>SUM(C84:G84)</x:f>
        <x:v>263.1</x:v>
      </x:c>
      <x:c r="I84" s="154"/>
      <x:c r="J84" s="169" t="n">
        <x:f>SUMIF('Tareas y sprints'!$E$2:$E$200,A84,'Tareas y sprints'!$H$2:$H$200)</x:f>
        <x:v>72.1</x:v>
      </x:c>
      <x:c r="K84" s="169" t="n">
        <x:f>SUMIF('Tareas y sprints'!$E$2:$E$200,A84,'Tareas y sprints'!$I$2:$I$200)</x:f>
        <x:v>74.3</x:v>
      </x:c>
      <x:c r="L84" s="169" t="n">
        <x:f>SUMIF('Tareas y sprints'!$E$2:$E$200,A84,'Tareas y sprints'!$J$2:$J$200)</x:f>
        <x:v>52.3</x:v>
      </x:c>
      <x:c r="M84" s="169" t="n">
        <x:f>SUMIF('Tareas y sprints'!$E$2:$E$200,A84,'Tareas y sprints'!$K$2:$K$200)</x:f>
        <x:v>64.4</x:v>
      </x:c>
      <x:c r="N84" s="169" t="n">
        <x:f>'Supuestos'!$B$54/2</x:f>
        <x:v>80</x:v>
      </x:c>
      <x:c r="O84" s="169" t="n">
        <x:f>N84-MAX(J84:M84)</x:f>
        <x:v>5.700000000000003</x:v>
      </x:c>
      <x:c r="P84" s="154"/>
      <x:c r="Q84" s="154"/>
      <x:c r="R84" s="154"/>
      <x:c r="S84" s="154"/>
      <x:c r="T84" s="154"/>
      <x:c r="U84" s="154"/>
    </x:row>
    <x:row r="85" ht="28" customHeight="1">
      <x:c r="A85" s="154" t="n">
        <x:v>34</x:v>
      </x:c>
      <x:c r="B85" s="154" t="n">
        <x:v>16</x:v>
      </x:c>
      <x:c r="C85" s="170" t="n">
        <x:f>SUMIFS('Tareas y sprints'!$N$2:$N$200,'Tareas y sprints'!$E$2:$E$200,$A85,'Tareas y sprints'!$B$2:$B$200,"Parche descartable")</x:f>
        <x:v>43.349999999999994</x:v>
      </x:c>
      <x:c r="D85" s="170" t="n">
        <x:f>SUMIFS('Tareas y sprints'!$N$2:$N$200,'Tareas y sprints'!$E$2:$E$200,$A85,'Tareas y sprints'!$B$2:$B$200,"Lector reutilizable")</x:f>
        <x:v>34.85</x:v>
      </x:c>
      <x:c r="E85" s="170" t="n">
        <x:f>SUMIFS('Tareas y sprints'!$N$2:$N$200,'Tareas y sprints'!$E$2:$E$200,$A85,'Tareas y sprints'!$B$2:$B$200,"Pulsera")</x:f>
        <x:v>33.15</x:v>
      </x:c>
      <x:c r="F85" s="170" t="n">
        <x:f>SUMIFS('Tareas y sprints'!$N$2:$N$200,'Tareas y sprints'!$E$2:$E$200,$A85,'Tareas y sprints'!$B$2:$B$200,"Aplicación")</x:f>
        <x:v>42.49999999999999</x:v>
      </x:c>
      <x:c r="G85" s="170" t="n">
        <x:f>SUMIFS('Tareas y sprints'!$N$2:$N$200,'Tareas y sprints'!$E$2:$E$200,$A85,'Tareas y sprints'!$B$2:$B$200,"Transversal")</x:f>
        <x:v>64</x:v>
      </x:c>
      <x:c r="H85" s="170" t="n">
        <x:f>SUM(C85:G85)</x:f>
        <x:v>217.85</x:v>
      </x:c>
      <x:c r="I85" s="154"/>
      <x:c r="J85" s="169" t="n">
        <x:f>SUMIF('Tareas y sprints'!$E$2:$E$200,A85,'Tareas y sprints'!$H$2:$H$200)</x:f>
        <x:v>59.349999999999994</x:v>
      </x:c>
      <x:c r="K85" s="169" t="n">
        <x:f>SUMIF('Tareas y sprints'!$E$2:$E$200,A85,'Tareas y sprints'!$I$2:$I$200)</x:f>
        <x:v>61.05</x:v>
      </x:c>
      <x:c r="L85" s="169" t="n">
        <x:f>SUMIF('Tareas y sprints'!$E$2:$E$200,A85,'Tareas y sprints'!$J$2:$J$200)</x:f>
        <x:v>44.05</x:v>
      </x:c>
      <x:c r="M85" s="169" t="n">
        <x:f>SUMIF('Tareas y sprints'!$E$2:$E$200,A85,'Tareas y sprints'!$K$2:$K$200)</x:f>
        <x:v>53.4</x:v>
      </x:c>
      <x:c r="N85" s="169" t="n">
        <x:f>'Supuestos'!$B$54/2</x:f>
        <x:v>80</x:v>
      </x:c>
      <x:c r="O85" s="169" t="n">
        <x:f>N85-MAX(J85:M85)</x:f>
        <x:v>18.950000000000003</x:v>
      </x:c>
      <x:c r="P85" s="154"/>
      <x:c r="Q85" s="154"/>
      <x:c r="R85" s="154"/>
      <x:c r="S85" s="154"/>
      <x:c r="T85" s="154"/>
      <x:c r="U85" s="154"/>
    </x:row>
    <x:row r="86" ht="28" customHeight="1">
      <x:c r="A86" s="154" t="n">
        <x:v>35</x:v>
      </x:c>
      <x:c r="B86" s="154" t="n">
        <x:v>17</x:v>
      </x:c>
      <x:c r="C86" s="170" t="n">
        <x:f>SUMIFS('Tareas y sprints'!$N$2:$N$200,'Tareas y sprints'!$E$2:$E$200,$A86,'Tareas y sprints'!$B$2:$B$200,"Parche descartable")</x:f>
        <x:v>51</x:v>
      </x:c>
      <x:c r="D86" s="170" t="n">
        <x:f>SUMIFS('Tareas y sprints'!$N$2:$N$200,'Tareas y sprints'!$E$2:$E$200,$A86,'Tareas y sprints'!$B$2:$B$200,"Lector reutilizable")</x:f>
        <x:v>68</x:v>
      </x:c>
      <x:c r="E86" s="170" t="n">
        <x:f>SUMIFS('Tareas y sprints'!$N$2:$N$200,'Tareas y sprints'!$E$2:$E$200,$A86,'Tareas y sprints'!$B$2:$B$200,"Pulsera")</x:f>
        <x:v>39</x:v>
      </x:c>
      <x:c r="F86" s="170" t="n">
        <x:f>SUMIFS('Tareas y sprints'!$N$2:$N$200,'Tareas y sprints'!$E$2:$E$200,$A86,'Tareas y sprints'!$B$2:$B$200,"Aplicación")</x:f>
        <x:v>50</x:v>
      </x:c>
      <x:c r="G86" s="170" t="n">
        <x:f>SUMIFS('Tareas y sprints'!$N$2:$N$200,'Tareas y sprints'!$E$2:$E$200,$A86,'Tareas y sprints'!$B$2:$B$200,"Transversal")</x:f>
        <x:v>64</x:v>
      </x:c>
      <x:c r="H86" s="170" t="n">
        <x:f>SUM(C86:G86)</x:f>
        <x:v>272</x:v>
      </x:c>
      <x:c r="I86" s="154"/>
      <x:c r="J86" s="169" t="n">
        <x:f>SUMIF('Tareas y sprints'!$E$2:$E$200,A86,'Tareas y sprints'!$H$2:$H$200)</x:f>
        <x:v>64</x:v>
      </x:c>
      <x:c r="K86" s="169" t="n">
        <x:f>SUMIF('Tareas y sprints'!$E$2:$E$200,A86,'Tareas y sprints'!$I$2:$I$200)</x:f>
        <x:v>69</x:v>
      </x:c>
      <x:c r="L86" s="169" t="n">
        <x:f>SUMIF('Tareas y sprints'!$E$2:$E$200,A86,'Tareas y sprints'!$J$2:$J$200)</x:f>
        <x:v>79</x:v>
      </x:c>
      <x:c r="M86" s="169" t="n">
        <x:f>SUMIF('Tareas y sprints'!$E$2:$E$200,A86,'Tareas y sprints'!$K$2:$K$200)</x:f>
        <x:v>60</x:v>
      </x:c>
      <x:c r="N86" s="169" t="n">
        <x:f>'Supuestos'!$B$54/2</x:f>
        <x:v>80</x:v>
      </x:c>
      <x:c r="O86" s="169" t="n">
        <x:f>N86-MAX(J86:M86)</x:f>
        <x:v>1</x:v>
      </x:c>
      <x:c r="P86" s="154"/>
      <x:c r="Q86" s="154"/>
      <x:c r="R86" s="154"/>
      <x:c r="S86" s="154"/>
      <x:c r="T86" s="154"/>
      <x:c r="U86" s="154"/>
    </x:row>
    <x:row r="87" ht="28" customHeight="1">
      <x:c r="A87" s="154" t="n">
        <x:v>36</x:v>
      </x:c>
      <x:c r="B87" s="154" t="n">
        <x:v>17</x:v>
      </x:c>
      <x:c r="C87" s="170" t="n">
        <x:f>SUMIFS('Tareas y sprints'!$N$2:$N$200,'Tareas y sprints'!$E$2:$E$200,$A87,'Tareas y sprints'!$B$2:$B$200,"Parche descartable")</x:f>
        <x:v>63</x:v>
      </x:c>
      <x:c r="D87" s="170" t="n">
        <x:f>SUMIFS('Tareas y sprints'!$N$2:$N$200,'Tareas y sprints'!$E$2:$E$200,$A87,'Tareas y sprints'!$B$2:$B$200,"Lector reutilizable")</x:f>
        <x:v>54</x:v>
      </x:c>
      <x:c r="E87" s="170" t="n">
        <x:f>SUMIFS('Tareas y sprints'!$N$2:$N$200,'Tareas y sprints'!$E$2:$E$200,$A87,'Tareas y sprints'!$B$2:$B$200,"Pulsera")</x:f>
        <x:v>40</x:v>
      </x:c>
      <x:c r="F87" s="170" t="n">
        <x:f>SUMIFS('Tareas y sprints'!$N$2:$N$200,'Tareas y sprints'!$E$2:$E$200,$A87,'Tareas y sprints'!$B$2:$B$200,"Aplicación")</x:f>
        <x:v>54.99999999999999</x:v>
      </x:c>
      <x:c r="G87" s="170" t="n">
        <x:f>SUMIFS('Tareas y sprints'!$N$2:$N$200,'Tareas y sprints'!$E$2:$E$200,$A87,'Tareas y sprints'!$B$2:$B$200,"Transversal")</x:f>
        <x:v>64</x:v>
      </x:c>
      <x:c r="H87" s="170" t="n">
        <x:f>SUM(C87:G87)</x:f>
        <x:v>276</x:v>
      </x:c>
      <x:c r="I87" s="154"/>
      <x:c r="J87" s="169" t="n">
        <x:f>SUMIF('Tareas y sprints'!$E$2:$E$200,A87,'Tareas y sprints'!$H$2:$H$200)</x:f>
        <x:v>61.8</x:v>
      </x:c>
      <x:c r="K87" s="169" t="n">
        <x:f>SUMIF('Tareas y sprints'!$E$2:$E$200,A87,'Tareas y sprints'!$I$2:$I$200)</x:f>
        <x:v>56.3</x:v>
      </x:c>
      <x:c r="L87" s="169" t="n">
        <x:f>SUMIF('Tareas y sprints'!$E$2:$E$200,A87,'Tareas y sprints'!$J$2:$J$200)</x:f>
        <x:v>79.8</x:v>
      </x:c>
      <x:c r="M87" s="169" t="n">
        <x:f>SUMIF('Tareas y sprints'!$E$2:$E$200,A87,'Tareas y sprints'!$K$2:$K$200)</x:f>
        <x:v>78.1</x:v>
      </x:c>
      <x:c r="N87" s="169" t="n">
        <x:f>'Supuestos'!$B$54/2</x:f>
        <x:v>80</x:v>
      </x:c>
      <x:c r="O87" s="169" t="n">
        <x:f>N87-MAX(J87:M87)</x:f>
        <x:v>0.20000000000000284</x:v>
      </x:c>
      <x:c r="P87" s="154"/>
      <x:c r="Q87" s="154"/>
      <x:c r="R87" s="154"/>
      <x:c r="S87" s="154"/>
      <x:c r="T87" s="154"/>
      <x:c r="U87" s="154"/>
    </x:row>
    <x:row r="88" ht="28" customHeight="1">
      <x:c r="A88" s="154" t="n">
        <x:v>37</x:v>
      </x:c>
      <x:c r="B88" s="154" t="n">
        <x:v>18</x:v>
      </x:c>
      <x:c r="C88" s="170" t="n">
        <x:f>SUMIFS('Tareas y sprints'!$N$2:$N$200,'Tareas y sprints'!$E$2:$E$200,$A88,'Tareas y sprints'!$B$2:$B$200,"Parche descartable")</x:f>
        <x:v>28.89</x:v>
      </x:c>
      <x:c r="D88" s="170" t="n">
        <x:f>SUMIFS('Tareas y sprints'!$N$2:$N$200,'Tareas y sprints'!$E$2:$E$200,$A88,'Tareas y sprints'!$B$2:$B$200,"Lector reutilizable")</x:f>
        <x:v>23.24</x:v>
      </x:c>
      <x:c r="E88" s="170" t="n">
        <x:f>SUMIFS('Tareas y sprints'!$N$2:$N$200,'Tareas y sprints'!$E$2:$E$200,$A88,'Tareas y sprints'!$B$2:$B$200,"Pulsera")</x:f>
        <x:v>22.099999999999998</x:v>
      </x:c>
      <x:c r="F88" s="170" t="n">
        <x:f>SUMIFS('Tareas y sprints'!$N$2:$N$200,'Tareas y sprints'!$E$2:$E$200,$A88,'Tareas y sprints'!$B$2:$B$200,"Aplicación")</x:f>
        <x:v>28.330000000000002</x:v>
      </x:c>
      <x:c r="G88" s="170" t="n">
        <x:f>SUMIFS('Tareas y sprints'!$N$2:$N$200,'Tareas y sprints'!$E$2:$E$200,$A88,'Tareas y sprints'!$B$2:$B$200,"Transversal")</x:f>
        <x:v>42.68</x:v>
      </x:c>
      <x:c r="H88" s="170" t="n">
        <x:f>SUM(C88:G88)</x:f>
        <x:v>145.23999999999998</x:v>
      </x:c>
      <x:c r="I88" s="154"/>
      <x:c r="J88" s="169" t="n">
        <x:f>SUMIF('Tareas y sprints'!$E$2:$E$200,A88,'Tareas y sprints'!$H$2:$H$200)</x:f>
        <x:v>39.56</x:v>
      </x:c>
      <x:c r="K88" s="169" t="n">
        <x:f>SUMIF('Tareas y sprints'!$E$2:$E$200,A88,'Tareas y sprints'!$I$2:$I$200)</x:f>
        <x:v>40.71</x:v>
      </x:c>
      <x:c r="L88" s="169" t="n">
        <x:f>SUMIF('Tareas y sprints'!$E$2:$E$200,A88,'Tareas y sprints'!$J$2:$J$200)</x:f>
        <x:v>29.369999999999997</x:v>
      </x:c>
      <x:c r="M88" s="169" t="n">
        <x:f>SUMIF('Tareas y sprints'!$E$2:$E$200,A88,'Tareas y sprints'!$K$2:$K$200)</x:f>
        <x:v>35.6</x:v>
      </x:c>
      <x:c r="N88" s="169" t="n">
        <x:f>'Supuestos'!$B$54/2</x:f>
        <x:v>80</x:v>
      </x:c>
      <x:c r="O88" s="169" t="n">
        <x:f>N88-MAX(J88:M88)</x:f>
        <x:v>39.29</x:v>
      </x:c>
      <x:c r="P88" s="154"/>
      <x:c r="Q88" s="154"/>
      <x:c r="R88" s="154"/>
      <x:c r="S88" s="154"/>
      <x:c r="T88" s="154"/>
      <x:c r="U88" s="154"/>
    </x:row>
    <x:row r="89" ht="28" customHeight="1">
      <x:c r="A89" s="154" t="n">
        <x:v>38</x:v>
      </x:c>
      <x:c r="B89" s="154" t="n">
        <x:v>18</x:v>
      </x:c>
      <x:c r="C89" s="170" t="n">
        <x:f>SUMIFS('Tareas y sprints'!$N$2:$N$200,'Tareas y sprints'!$E$2:$E$200,$A89,'Tareas y sprints'!$B$2:$B$200,"Parche descartable")</x:f>
        <x:v>33.989999999999995</x:v>
      </x:c>
      <x:c r="D89" s="170" t="n">
        <x:f>SUMIFS('Tareas y sprints'!$N$2:$N$200,'Tareas y sprints'!$E$2:$E$200,$A89,'Tareas y sprints'!$B$2:$B$200,"Lector reutilizable")</x:f>
        <x:v>27.340000000000003</x:v>
      </x:c>
      <x:c r="E89" s="170" t="n">
        <x:f>SUMIFS('Tareas y sprints'!$N$2:$N$200,'Tareas y sprints'!$E$2:$E$200,$A89,'Tareas y sprints'!$B$2:$B$200,"Pulsera")</x:f>
        <x:v>26</x:v>
      </x:c>
      <x:c r="F89" s="170" t="n">
        <x:f>SUMIFS('Tareas y sprints'!$N$2:$N$200,'Tareas y sprints'!$E$2:$E$200,$A89,'Tareas y sprints'!$B$2:$B$200,"Aplicación")</x:f>
        <x:v>33.33</x:v>
      </x:c>
      <x:c r="G89" s="170" t="n">
        <x:f>SUMIFS('Tareas y sprints'!$N$2:$N$200,'Tareas y sprints'!$E$2:$E$200,$A89,'Tareas y sprints'!$B$2:$B$200,"Transversal")</x:f>
        <x:v>42.68</x:v>
      </x:c>
      <x:c r="H89" s="170" t="n">
        <x:f>SUM(C89:G89)</x:f>
        <x:v>163.34</x:v>
      </x:c>
      <x:c r="I89" s="154"/>
      <x:c r="J89" s="169" t="n">
        <x:f>SUMIF('Tareas y sprints'!$E$2:$E$200,A89,'Tareas y sprints'!$H$2:$H$200)</x:f>
        <x:v>44.66</x:v>
      </x:c>
      <x:c r="K89" s="169" t="n">
        <x:f>SUMIF('Tareas y sprints'!$E$2:$E$200,A89,'Tareas y sprints'!$I$2:$I$200)</x:f>
        <x:v>46.010000000000005</x:v>
      </x:c>
      <x:c r="L89" s="169" t="n">
        <x:f>SUMIF('Tareas y sprints'!$E$2:$E$200,A89,'Tareas y sprints'!$J$2:$J$200)</x:f>
        <x:v>32.67</x:v>
      </x:c>
      <x:c r="M89" s="169" t="n">
        <x:f>SUMIF('Tareas y sprints'!$E$2:$E$200,A89,'Tareas y sprints'!$K$2:$K$200)</x:f>
        <x:v>40</x:v>
      </x:c>
      <x:c r="N89" s="169" t="n">
        <x:f>'Supuestos'!$B$54/2</x:f>
        <x:v>80</x:v>
      </x:c>
      <x:c r="O89" s="169" t="n">
        <x:f>N89-MAX(J89:M89)</x:f>
        <x:v>33.989999999999995</x:v>
      </x:c>
      <x:c r="P89" s="154"/>
      <x:c r="Q89" s="154"/>
      <x:c r="R89" s="154"/>
      <x:c r="S89" s="154"/>
      <x:c r="T89" s="154"/>
      <x:c r="U89" s="154"/>
    </x:row>
    <x:row r="90" ht="28" customHeight="1">
      <x:c r="A90" s="154" t="n">
        <x:v>39</x:v>
      </x:c>
      <x:c r="B90" s="154" t="n">
        <x:v>18</x:v>
      </x:c>
      <x:c r="C90" s="170" t="n">
        <x:f>SUMIFS('Tareas y sprints'!$N$2:$N$200,'Tareas y sprints'!$E$2:$E$200,$A90,'Tareas y sprints'!$B$2:$B$200,"Parche descartable")</x:f>
        <x:v>37.41</x:v>
      </x:c>
      <x:c r="D90" s="170" t="n">
        <x:f>SUMIFS('Tareas y sprints'!$N$2:$N$200,'Tareas y sprints'!$E$2:$E$200,$A90,'Tareas y sprints'!$B$2:$B$200,"Lector reutilizable")</x:f>
        <x:v>30.059999999999995</x:v>
      </x:c>
      <x:c r="E90" s="170" t="n">
        <x:f>SUMIFS('Tareas y sprints'!$N$2:$N$200,'Tareas y sprints'!$E$2:$E$200,$A90,'Tareas y sprints'!$B$2:$B$200,"Pulsera")</x:f>
        <x:v>28.599999999999994</x:v>
      </x:c>
      <x:c r="F90" s="170" t="n">
        <x:f>SUMIFS('Tareas y sprints'!$N$2:$N$200,'Tareas y sprints'!$E$2:$E$200,$A90,'Tareas y sprints'!$B$2:$B$200,"Aplicación")</x:f>
        <x:v>36.669999999999995</x:v>
      </x:c>
      <x:c r="G90" s="170" t="n">
        <x:f>SUMIFS('Tareas y sprints'!$N$2:$N$200,'Tareas y sprints'!$E$2:$E$200,$A90,'Tareas y sprints'!$B$2:$B$200,"Transversal")</x:f>
        <x:v>42.68</x:v>
      </x:c>
      <x:c r="H90" s="170" t="n">
        <x:f>SUM(C90:G90)</x:f>
        <x:v>175.42</x:v>
      </x:c>
      <x:c r="I90" s="154"/>
      <x:c r="J90" s="169" t="n">
        <x:f>SUMIF('Tareas y sprints'!$E$2:$E$200,A90,'Tareas y sprints'!$H$2:$H$200)</x:f>
        <x:v>48.08</x:v>
      </x:c>
      <x:c r="K90" s="169" t="n">
        <x:f>SUMIF('Tareas y sprints'!$E$2:$E$200,A90,'Tareas y sprints'!$I$2:$I$200)</x:f>
        <x:v>49.53</x:v>
      </x:c>
      <x:c r="L90" s="169" t="n">
        <x:f>SUMIF('Tareas y sprints'!$E$2:$E$200,A90,'Tareas y sprints'!$J$2:$J$200)</x:f>
        <x:v>34.87</x:v>
      </x:c>
      <x:c r="M90" s="169" t="n">
        <x:f>SUMIF('Tareas y sprints'!$E$2:$E$200,A90,'Tareas y sprints'!$K$2:$K$200)</x:f>
        <x:v>42.94</x:v>
      </x:c>
      <x:c r="N90" s="169" t="n">
        <x:f>'Supuestos'!$B$54/2</x:f>
        <x:v>80</x:v>
      </x:c>
      <x:c r="O90" s="169" t="n">
        <x:f>N90-MAX(J90:M90)</x:f>
        <x:v>30.47</x:v>
      </x:c>
      <x:c r="P90" s="154"/>
      <x:c r="Q90" s="154"/>
      <x:c r="R90" s="154"/>
      <x:c r="S90" s="154"/>
      <x:c r="T90" s="154"/>
      <x:c r="U90" s="154"/>
    </x:row>
  </x:sheetData>
  <x:mergeCells>
    <x:mergeCell ref="B24:F24"/>
    <x:mergeCell ref="B25:F25"/>
    <x:mergeCell ref="B26:F26"/>
    <x:mergeCell ref="B27:F27"/>
  </x:mergeCells>
  <x:conditionalFormatting sqref="D13:U22">
    <x:cfRule type="expression" dxfId="1" priority="1">
      <x:formula>D13="●"</x:formula>
    </x:cfRule>
    <x:cfRule type="expression" dxfId="3" priority="3">
      <x:formula>D13="●"</x:formula>
    </x:cfRule>
    <x:cfRule type="expression" dxfId="5" priority="5">
      <x:formula>D13="●"</x:formula>
    </x:cfRule>
  </x:conditionalFormatting>
  <x:conditionalFormatting sqref="G31:J48">
    <x:cfRule type="cellIs" dxfId="2" priority="2" operator="lessThan">
      <x:formula>0</x:formula>
    </x:cfRule>
    <x:cfRule type="cellIs" dxfId="4" priority="4" operator="lessThan">
      <x:formula>0</x:formula>
    </x:cfRule>
    <x:cfRule type="cellIs" dxfId="6" priority="6" operator="lessThan">
      <x:formula>0</x:formula>
    </x:cfRule>
    <x:cfRule type="cellIs" dxfId="7" priority="7" operator="lessThan">
      <x:formula>0</x:formula>
    </x:cfRule>
    <x:cfRule type="cellIs" dxfId="8" priority="8" operator="lessThan">
      <x:formula>0</x:formula>
    </x:cfRule>
    <x:cfRule type="cellIs" dxfId="9" priority="9" operator="lessThan">
      <x:formula>0</x:formula>
    </x:cfRule>
    <x:cfRule type="cellIs" dxfId="10" priority="10" operator="lessThan">
      <x:formula>0</x:formula>
    </x:cfRule>
    <x:cfRule type="cellIs" dxfId="12" priority="12" operator="lessThan">
      <x:formula>0</x:formula>
    </x:cfRule>
  </x:conditionalFormatting>
  <x:conditionalFormatting sqref="O52:O90">
    <x:cfRule type="cellIs" dxfId="11" priority="11" operator="lessThan">
      <x:formula>0</x:formula>
    </x:cfRule>
    <x:cfRule type="cellIs" dxfId="13" priority="13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6" hidden="0" customWidth="1"/>
    <x:col min="4" max="4" width="8" hidden="0" customWidth="1"/>
    <x:col min="5" max="5" width="8" hidden="0" customWidth="1"/>
    <x:col min="6" max="6" width="28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4" hidden="0" customWidth="1"/>
    <x:col min="13" max="13" width="58" hidden="0" customWidth="1"/>
    <x:col min="14" max="14" width="15" hidden="0" customWidth="1"/>
    <x:col min="15" max="15" width="60" hidden="0" customWidth="1"/>
    <x:col min="16" max="16" width="44" hidden="0" customWidth="1"/>
  </x:cols>
  <x:sheetData>
    <x:row r="1" ht="44" customHeight="1">
      <x:c r="A1" s="243" t="str">
        <x:v>ID</x:v>
      </x:c>
      <x:c r="B1" s="243" t="str">
        <x:v>Producto</x:v>
      </x:c>
      <x:c r="C1" s="243" t="str">
        <x:v>Tarea</x:v>
      </x:c>
      <x:c r="D1" s="243" t="str">
        <x:v>Mes</x:v>
      </x:c>
      <x:c r="E1" s="243" t="str">
        <x:v>Sprint</x:v>
      </x:c>
      <x:c r="F1" s="243" t="str">
        <x:v>Responsable</x:v>
      </x:c>
      <x:c r="G1" s="243" t="str">
        <x:v>Dependencias</x:v>
      </x:c>
      <x:c r="H1" s="243" t="str">
        <x:v>Ing. software h</x:v>
      </x:c>
      <x:c r="I1" s="243" t="str">
        <x:v>Ing. embebidos h</x:v>
      </x:c>
      <x:c r="J1" s="243" t="str">
        <x:v>Técnico QA h</x:v>
      </x:c>
      <x:c r="K1" s="243" t="str">
        <x:v>Técnico laboratorio h</x:v>
      </x:c>
      <x:c r="L1" s="243" t="str">
        <x:v>Entregable</x:v>
      </x:c>
      <x:c r="M1" s="243" t="str">
        <x:v>Aceptación</x:v>
      </x:c>
      <x:c r="N1" s="243" t="str">
        <x:v>Esfuerzo total h</x:v>
      </x:c>
      <x:c r="O1" s="243" t="str">
        <x:v>Condición / espera externa</x:v>
      </x:c>
      <x:c r="P1" s="243" t="str">
        <x:v>Historia asociada</x:v>
      </x:c>
      <x:c r="Q1"/>
      <x:c r="R1"/>
      <x:c r="S1"/>
      <x:c r="T1"/>
      <x:c r="U1"/>
      <x:c r="V1"/>
    </x:row>
    <x:row r="2" ht="62" customHeight="1">
      <x:c r="A2" s="155" t="str">
        <x:v>T011</x:v>
      </x:c>
      <x:c r="B2" s="155" t="str">
        <x:v>Parche descartable</x:v>
      </x:c>
      <x:c r="C2" s="155" t="str">
        <x:v>Definir analitos y uso del parche</x:v>
      </x:c>
      <x:c r="D2" s="155" t="n">
        <x:v>1</x:v>
      </x:c>
      <x:c r="E2" s="155" t="n">
        <x:v>1</x:v>
      </x:c>
      <x:c r="F2" s="155" t="str">
        <x:v>Técnico laboratorio</x:v>
      </x:c>
      <x:c r="G2" s="155" t="str">
        <x:v>Inicio</x:v>
      </x:c>
      <x:c r="H2" s="158" t="n">
        <x:v>1.7</x:v>
      </x:c>
      <x:c r="I2" s="158" t="n">
        <x:v>2.55</x:v>
      </x:c>
      <x:c r="J2" s="158" t="n">
        <x:v>6.8</x:v>
      </x:c>
      <x:c r="K2" s="158" t="n">
        <x:v>32.3</x:v>
      </x:c>
      <x:c r="L2" s="155" t="str">
        <x:v>Matriz de glucosa, lactato, cortisol y pH</x:v>
      </x:c>
      <x:c r="M2" s="155" t="str">
        <x:v>Cada salida tiene unidad, referencia y responsable de fijar tolerancias</x:v>
      </x:c>
      <x:c r="N2" s="158" t="n">
        <x:f>SUM(H2:K2)</x:f>
        <x:v>43.349999999999994</x:v>
      </x:c>
      <x:c r="O2" s="155" t="str"/>
      <x:c r="P2" s="155" t="str">
        <x:v>Colocar un parche sensor</x:v>
      </x:c>
    </x:row>
    <x:row r="3" ht="62" customHeight="1">
      <x:c r="A3" s="155" t="str">
        <x:v>T012</x:v>
      </x:c>
      <x:c r="B3" s="155" t="str">
        <x:v>Lector reutilizable</x:v>
      </x:c>
      <x:c r="C3" s="155" t="str">
        <x:v>Definir interfaz con el parche</x:v>
      </x:c>
      <x:c r="D3" s="155" t="n">
        <x:v>1</x:v>
      </x:c>
      <x:c r="E3" s="155" t="n">
        <x:v>1</x:v>
      </x:c>
      <x:c r="F3" s="155" t="str">
        <x:v>Ing. embebidos</x:v>
      </x:c>
      <x:c r="G3" s="155" t="str">
        <x:v>Inicio</x:v>
      </x:c>
      <x:c r="H3" s="158" t="n">
        <x:v>5.1</x:v>
      </x:c>
      <x:c r="I3" s="158" t="n">
        <x:v>21.25</x:v>
      </x:c>
      <x:c r="J3" s="158" t="n">
        <x:v>5.95</x:v>
      </x:c>
      <x:c r="K3" s="158" t="n">
        <x:v>2.55</x:v>
      </x:c>
      <x:c r="L3" s="155" t="str">
        <x:v>Especificación óptica y eléctrica</x:v>
      </x:c>
      <x:c r="M3" s="155" t="str">
        <x:v>Analitos, geometría y señales acordados con laboratorio</x:v>
      </x:c>
      <x:c r="N3" s="158" t="n">
        <x:f>SUM(H3:K3)</x:f>
        <x:v>34.85</x:v>
      </x:c>
      <x:c r="O3" s="155" t="str"/>
      <x:c r="P3" s="155" t="str">
        <x:v>Medir biomarcadores con el lector</x:v>
      </x:c>
    </x:row>
    <x:row r="4" ht="62" customHeight="1">
      <x:c r="A4" s="155" t="str">
        <x:v>T013</x:v>
      </x:c>
      <x:c r="B4" s="155" t="str">
        <x:v>Pulsera</x:v>
      </x:c>
      <x:c r="C4" s="155" t="str">
        <x:v>Definir señales y uso del LED</x:v>
      </x:c>
      <x:c r="D4" s="155" t="n">
        <x:v>1</x:v>
      </x:c>
      <x:c r="E4" s="155" t="n">
        <x:v>1</x:v>
      </x:c>
      <x:c r="F4" s="155" t="str">
        <x:v>Ing. embebidos</x:v>
      </x:c>
      <x:c r="G4" s="155" t="str">
        <x:v>Inicio</x:v>
      </x:c>
      <x:c r="H4" s="158" t="n">
        <x:v>4.25</x:v>
      </x:c>
      <x:c r="I4" s="158" t="n">
        <x:v>18.7</x:v>
      </x:c>
      <x:c r="J4" s="158" t="n">
        <x:v>8.5</x:v>
      </x:c>
      <x:c r="K4" s="158" t="n">
        <x:v>1.7</x:v>
      </x:c>
      <x:c r="L4" s="155" t="str">
        <x:v>Requisitos de pulsera</x:v>
      </x:c>
      <x:c r="M4" s="155" t="str">
        <x:v>PPG, temperatura, IMU y cuatro estados visuales definidos</x:v>
      </x:c>
      <x:c r="N4" s="158" t="n">
        <x:f>SUM(H4:K4)</x:f>
        <x:v>33.15</x:v>
      </x:c>
      <x:c r="O4" s="155" t="str"/>
      <x:c r="P4" s="155" t="str">
        <x:v>Registrar señales de la muñeca</x:v>
      </x:c>
    </x:row>
    <x:row r="5" ht="62" customHeight="1">
      <x:c r="A5" s="155" t="str">
        <x:v>T014</x:v>
      </x:c>
      <x:c r="B5" s="155" t="str">
        <x:v>Aplicación</x:v>
      </x:c>
      <x:c r="C5" s="155" t="str">
        <x:v>Definir uso previsto y salidas</x:v>
      </x:c>
      <x:c r="D5" s="155" t="n">
        <x:v>1</x:v>
      </x:c>
      <x:c r="E5" s="155" t="n">
        <x:v>1</x:v>
      </x:c>
      <x:c r="F5" s="155" t="str">
        <x:v>Ing. software</x:v>
      </x:c>
      <x:c r="G5" s="155" t="str">
        <x:v>Inicio</x:v>
      </x:c>
      <x:c r="H5" s="158" t="n">
        <x:v>32.3</x:v>
      </x:c>
      <x:c r="I5" s="158" t="n">
        <x:v>2.55</x:v>
      </x:c>
      <x:c r="J5" s="158" t="n">
        <x:v>6.8</x:v>
      </x:c>
      <x:c r="K5" s="158" t="n">
        <x:v>0.85</x:v>
      </x:c>
      <x:c r="L5" s="155" t="str">
        <x:v>Historias de usuario y matriz clínica</x:v>
      </x:c>
      <x:c r="M5" s="155" t="str">
        <x:v>Medición en sudor, estimación y asociación diferenciadas</x:v>
      </x:c>
      <x:c r="N5" s="158" t="n">
        <x:f>SUM(H5:K5)</x:f>
        <x:v>42.49999999999999</x:v>
      </x:c>
      <x:c r="O5" s="155" t="str"/>
      <x:c r="P5" s="155" t="str">
        <x:v>Consultar información en la aplicación</x:v>
      </x:c>
    </x:row>
    <x:row r="6" ht="62" customHeight="1">
      <x:c r="A6" s="155" t="str">
        <x:v>X01</x:v>
      </x:c>
      <x:c r="B6" s="155" t="str">
        <x:v>Transversal</x:v>
      </x:c>
      <x:c r="C6" s="155" t="str">
        <x:v>Asignar responsables y registrar riesgos</x:v>
      </x:c>
      <x:c r="D6" s="155" t="n">
        <x:v>1</x:v>
      </x:c>
      <x:c r="E6" s="155" t="n">
        <x:v>1</x:v>
      </x:c>
      <x:c r="F6" s="155" t="str">
        <x:v>Ing. embebidos; coordinación QA</x:v>
      </x:c>
      <x:c r="G6" s="155" t="str">
        <x:v>Inicio</x:v>
      </x:c>
      <x:c r="H6" s="158" t="n">
        <x:v>16</x:v>
      </x:c>
      <x:c r="I6" s="158" t="n">
        <x:v>16</x:v>
      </x:c>
      <x:c r="J6" s="158" t="n">
        <x:v>16</x:v>
      </x:c>
      <x:c r="K6" s="158" t="n">
        <x:v>16</x:v>
      </x:c>
      <x:c r="L6" s="155" t="str">
        <x:v>Matriz de responsabilidad</x:v>
      </x:c>
      <x:c r="M6" s="155" t="str">
        <x:v>Cada frente tiene dueño y ruta de revisión</x:v>
      </x:c>
      <x:c r="N6" s="158" t="n">
        <x:f>SUM(H6:K6)</x:f>
        <x:v>64</x:v>
      </x:c>
      <x:c r="O6" s="155" t="str"/>
      <x:c r="P6" s="155" t="str">
        <x:v>Coordinar recursos y suministros</x:v>
      </x:c>
    </x:row>
    <x:row r="7" ht="62" customHeight="1">
      <x:c r="A7" s="155" t="str">
        <x:v>T021</x:v>
      </x:c>
      <x:c r="B7" s="155" t="str">
        <x:v>Parche descartable</x:v>
      </x:c>
      <x:c r="C7" s="155" t="str">
        <x:v>Definir muestras y criterios de ensayo</x:v>
      </x:c>
      <x:c r="D7" s="155" t="n">
        <x:v>1</x:v>
      </x:c>
      <x:c r="E7" s="155" t="n">
        <x:v>2</x:v>
      </x:c>
      <x:c r="F7" s="155" t="str">
        <x:v>Técnico laboratorio</x:v>
      </x:c>
      <x:c r="G7" s="155" t="str">
        <x:v>T011</x:v>
      </x:c>
      <x:c r="H7" s="158" t="n">
        <x:v>2</x:v>
      </x:c>
      <x:c r="I7" s="158" t="n">
        <x:v>3</x:v>
      </x:c>
      <x:c r="J7" s="158" t="n">
        <x:v>8</x:v>
      </x:c>
      <x:c r="K7" s="158" t="n">
        <x:v>38</x:v>
      </x:c>
      <x:c r="L7" s="155" t="str">
        <x:v>Plan de muestras y pruebas</x:v>
      </x:c>
      <x:c r="M7" s="155" t="str">
        <x:v>Quedan identificadas interferencias, controles y condiciones de sudor</x:v>
      </x:c>
      <x:c r="N7" s="158" t="n">
        <x:f>SUM(H7:K7)</x:f>
        <x:v>51</x:v>
      </x:c>
      <x:c r="O7" s="155" t="str"/>
      <x:c r="P7" s="155" t="str">
        <x:v>Colocar un parche sensor</x:v>
      </x:c>
    </x:row>
    <x:row r="8" ht="62" customHeight="1">
      <x:c r="A8" s="155" t="str">
        <x:v>T022</x:v>
      </x:c>
      <x:c r="B8" s="155" t="str">
        <x:v>Lector reutilizable</x:v>
      </x:c>
      <x:c r="C8" s="155" t="str">
        <x:v>Definir registros y enlace directo</x:v>
      </x:c>
      <x:c r="D8" s="155" t="n">
        <x:v>1</x:v>
      </x:c>
      <x:c r="E8" s="155" t="n">
        <x:v>2</x:v>
      </x:c>
      <x:c r="F8" s="155" t="str">
        <x:v>Ing. embebidos</x:v>
      </x:c>
      <x:c r="G8" s="155" t="str">
        <x:v>T012</x:v>
      </x:c>
      <x:c r="H8" s="158" t="n">
        <x:v>6</x:v>
      </x:c>
      <x:c r="I8" s="158" t="n">
        <x:v>25</x:v>
      </x:c>
      <x:c r="J8" s="158" t="n">
        <x:v>7</x:v>
      </x:c>
      <x:c r="K8" s="158" t="n">
        <x:v>3</x:v>
      </x:c>
      <x:c r="L8" s="155" t="str">
        <x:v>Contrato de datos del lector</x:v>
      </x:c>
      <x:c r="M8" s="155" t="str">
        <x:v>Identificador, calidad, secuencia, fecha y unidades definidos</x:v>
      </x:c>
      <x:c r="N8" s="158" t="n">
        <x:f>SUM(H8:K8)</x:f>
        <x:v>41</x:v>
      </x:c>
      <x:c r="O8" s="155" t="str"/>
      <x:c r="P8" s="155" t="str">
        <x:v>Medir biomarcadores con el lector</x:v>
      </x:c>
    </x:row>
    <x:row r="9" ht="62" customHeight="1">
      <x:c r="A9" s="155" t="str">
        <x:v>T023</x:v>
      </x:c>
      <x:c r="B9" s="155" t="str">
        <x:v>Pulsera</x:v>
      </x:c>
      <x:c r="C9" s="155" t="str">
        <x:v>Definir intercambio con el lector</x:v>
      </x:c>
      <x:c r="D9" s="155" t="n">
        <x:v>1</x:v>
      </x:c>
      <x:c r="E9" s="155" t="n">
        <x:v>2</x:v>
      </x:c>
      <x:c r="F9" s="155" t="str">
        <x:v>Ing. embebidos</x:v>
      </x:c>
      <x:c r="G9" s="155" t="str">
        <x:v>T013</x:v>
      </x:c>
      <x:c r="H9" s="158" t="n">
        <x:v>5</x:v>
      </x:c>
      <x:c r="I9" s="158" t="n">
        <x:v>22</x:v>
      </x:c>
      <x:c r="J9" s="158" t="n">
        <x:v>10</x:v>
      </x:c>
      <x:c r="K9" s="158" t="n">
        <x:v>2</x:v>
      </x:c>
      <x:c r="L9" s="155" t="str">
        <x:v>Contrato de estado portátil</x:v>
      </x:c>
      <x:c r="M9" s="155" t="str">
        <x:v>Calidad y antigüedad determinan el indicador; lector activo identificado</x:v>
      </x:c>
      <x:c r="N9" s="158" t="n">
        <x:f>SUM(H9:K9)</x:f>
        <x:v>39</x:v>
      </x:c>
      <x:c r="O9" s="155" t="str"/>
      <x:c r="P9" s="155" t="str">
        <x:v>Registrar señales de la muñeca</x:v>
      </x:c>
    </x:row>
    <x:row r="10" ht="62" customHeight="1">
      <x:c r="A10" s="155" t="str">
        <x:v>T024</x:v>
      </x:c>
      <x:c r="B10" s="155" t="str">
        <x:v>Aplicación</x:v>
      </x:c>
      <x:c r="C10" s="155" t="str">
        <x:v>Definir referencias y datos para modelos</x:v>
      </x:c>
      <x:c r="D10" s="155" t="n">
        <x:v>1</x:v>
      </x:c>
      <x:c r="E10" s="155" t="n">
        <x:v>2</x:v>
      </x:c>
      <x:c r="F10" s="155" t="str">
        <x:v>Ing. software</x:v>
      </x:c>
      <x:c r="G10" s="155" t="str">
        <x:v>T014</x:v>
      </x:c>
      <x:c r="H10" s="158" t="n">
        <x:v>38</x:v>
      </x:c>
      <x:c r="I10" s="158" t="n">
        <x:v>3</x:v>
      </x:c>
      <x:c r="J10" s="158" t="n">
        <x:v>8</x:v>
      </x:c>
      <x:c r="K10" s="158" t="n">
        <x:v>1</x:v>
      </x:c>
      <x:c r="L10" s="155" t="str">
        <x:v>Plan de evaluación y acceso a datos</x:v>
      </x:c>
      <x:c r="M10" s="155" t="str">
        <x:v>Horizontes, métricas y necesidad de CGM quedan identificados</x:v>
      </x:c>
      <x:c r="N10" s="158" t="n">
        <x:f>SUM(H10:K10)</x:f>
        <x:v>50</x:v>
      </x:c>
      <x:c r="O10" s="155" t="str"/>
      <x:c r="P10" s="155" t="str">
        <x:v>Consultar información en la aplicación</x:v>
      </x:c>
    </x:row>
    <x:row r="11" ht="62" customHeight="1">
      <x:c r="A11" s="155" t="str">
        <x:v>X02</x:v>
      </x:c>
      <x:c r="B11" s="155" t="str">
        <x:v>Transversal</x:v>
      </x:c>
      <x:c r="C11" s="155" t="str">
        <x:v>Consultar encuadre sanitario y radioeléctrico</x:v>
      </x:c>
      <x:c r="D11" s="155" t="n">
        <x:v>1</x:v>
      </x:c>
      <x:c r="E11" s="155" t="n">
        <x:v>2</x:v>
      </x:c>
      <x:c r="F11" s="155" t="str">
        <x:v>Ing. embebidos; coordinación QA</x:v>
      </x:c>
      <x:c r="G11" s="155" t="str">
        <x:v>X01</x:v>
      </x:c>
      <x:c r="H11" s="158" t="n">
        <x:v>16</x:v>
      </x:c>
      <x:c r="I11" s="158" t="n">
        <x:v>16</x:v>
      </x:c>
      <x:c r="J11" s="158" t="n">
        <x:v>16</x:v>
      </x:c>
      <x:c r="K11" s="158" t="n">
        <x:v>16</x:v>
      </x:c>
      <x:c r="L11" s="155" t="str">
        <x:v>Minuta con asesor</x:v>
      </x:c>
      <x:c r="M11" s="155" t="str">
        <x:v>Preguntas sobre ANMAT, software y ENACOM con próximos pasos</x:v>
      </x:c>
      <x:c r="N11" s="158" t="n">
        <x:f>SUM(H11:K11)</x:f>
        <x:v>64</x:v>
      </x:c>
      <x:c r="O11" s="155" t="str"/>
      <x:c r="P11" s="155" t="str">
        <x:v>Gestionar evaluaciones y autorizaciones</x:v>
      </x:c>
    </x:row>
    <x:row r="12" ht="62" customHeight="1">
      <x:c r="A12" s="155" t="str">
        <x:v>T031</x:v>
      </x:c>
      <x:c r="B12" s="155" t="str">
        <x:v>Parche descartable</x:v>
      </x:c>
      <x:c r="C12" s="155" t="str">
        <x:v>Seleccionar papel, reactivos y electrodos</x:v>
      </x:c>
      <x:c r="D12" s="155" t="n">
        <x:v>2</x:v>
      </x:c>
      <x:c r="E12" s="155" t="n">
        <x:v>3</x:v>
      </x:c>
      <x:c r="F12" s="155" t="str">
        <x:v>Técnico laboratorio</x:v>
      </x:c>
      <x:c r="G12" s="155" t="str">
        <x:v>T021</x:v>
      </x:c>
      <x:c r="H12" s="158" t="n">
        <x:v>2.2</x:v>
      </x:c>
      <x:c r="I12" s="158" t="n">
        <x:v>3.3</x:v>
      </x:c>
      <x:c r="J12" s="158" t="n">
        <x:v>8.8</x:v>
      </x:c>
      <x:c r="K12" s="158" t="n">
        <x:v>41.8</x:v>
      </x:c>
      <x:c r="L12" s="155" t="str">
        <x:v>Lista de materiales y alternativas</x:v>
      </x:c>
      <x:c r="M12" s="155" t="str">
        <x:v>Cada componente crítico tiene ficha y proveedor consultado</x:v>
      </x:c>
      <x:c r="N12" s="158" t="n">
        <x:f>SUM(H12:K12)</x:f>
        <x:v>56.099999999999994</x:v>
      </x:c>
      <x:c r="O12" s="155" t="str"/>
      <x:c r="P12" s="155" t="str">
        <x:v>Colocar un parche sensor</x:v>
      </x:c>
    </x:row>
    <x:row r="13" ht="62" customHeight="1">
      <x:c r="A13" s="155" t="str">
        <x:v>T032</x:v>
      </x:c>
      <x:c r="B13" s="155" t="str">
        <x:v>Lector reutilizable</x:v>
      </x:c>
      <x:c r="C13" s="155" t="str">
        <x:v>Seleccionar componentes y batería</x:v>
      </x:c>
      <x:c r="D13" s="155" t="n">
        <x:v>2</x:v>
      </x:c>
      <x:c r="E13" s="155" t="n">
        <x:v>3</x:v>
      </x:c>
      <x:c r="F13" s="155" t="str">
        <x:v>Ing. embebidos</x:v>
      </x:c>
      <x:c r="G13" s="155" t="str">
        <x:v>T022</x:v>
      </x:c>
      <x:c r="H13" s="158" t="n">
        <x:v>6.6</x:v>
      </x:c>
      <x:c r="I13" s="158" t="n">
        <x:v>27.5</x:v>
      </x:c>
      <x:c r="J13" s="158" t="n">
        <x:v>7.7</x:v>
      </x:c>
      <x:c r="K13" s="158" t="n">
        <x:v>3.3</x:v>
      </x:c>
      <x:c r="L13" s="155" t="str">
        <x:v>Lista de materiales del lector</x:v>
      </x:c>
      <x:c r="M13" s="155" t="str">
        <x:v>Compatibilidad eléctrica, consumo y disponibilidad revisados</x:v>
      </x:c>
      <x:c r="N13" s="158" t="n">
        <x:f>SUM(H13:K13)</x:f>
        <x:v>45.1</x:v>
      </x:c>
      <x:c r="O13" s="155" t="str"/>
      <x:c r="P13" s="155" t="str">
        <x:v>Medir biomarcadores con el lector</x:v>
      </x:c>
    </x:row>
    <x:row r="14" ht="62" customHeight="1">
      <x:c r="A14" s="155" t="str">
        <x:v>T033</x:v>
      </x:c>
      <x:c r="B14" s="155" t="str">
        <x:v>Pulsera</x:v>
      </x:c>
      <x:c r="C14" s="155" t="str">
        <x:v>Seleccionar sensores y electrónica</x:v>
      </x:c>
      <x:c r="D14" s="155" t="n">
        <x:v>2</x:v>
      </x:c>
      <x:c r="E14" s="155" t="n">
        <x:v>3</x:v>
      </x:c>
      <x:c r="F14" s="155" t="str">
        <x:v>Ing. embebidos</x:v>
      </x:c>
      <x:c r="G14" s="155" t="str">
        <x:v>T023</x:v>
      </x:c>
      <x:c r="H14" s="158" t="n">
        <x:v>5.5</x:v>
      </x:c>
      <x:c r="I14" s="158" t="n">
        <x:v>24.2</x:v>
      </x:c>
      <x:c r="J14" s="158" t="n">
        <x:v>11</x:v>
      </x:c>
      <x:c r="K14" s="158" t="n">
        <x:v>2.2</x:v>
      </x:c>
      <x:c r="L14" s="155" t="str">
        <x:v>Lista de componentes</x:v>
      </x:c>
      <x:c r="M14" s="155" t="str">
        <x:v>Compatibilidad de PPG, IMU, temperatura y BLE revisada</x:v>
      </x:c>
      <x:c r="N14" s="158" t="n">
        <x:f>SUM(H14:K14)</x:f>
        <x:v>42.900000000000006</x:v>
      </x:c>
      <x:c r="O14" s="155" t="str"/>
      <x:c r="P14" s="155" t="str">
        <x:v>Registrar señales de la muñeca</x:v>
      </x:c>
    </x:row>
    <x:row r="15" ht="62" customHeight="1">
      <x:c r="A15" s="155" t="str">
        <x:v>T034</x:v>
      </x:c>
      <x:c r="B15" s="155" t="str">
        <x:v>Aplicación</x:v>
      </x:c>
      <x:c r="C15" s="155" t="str">
        <x:v>Diseñar navegación e historial</x:v>
      </x:c>
      <x:c r="D15" s="155" t="n">
        <x:v>2</x:v>
      </x:c>
      <x:c r="E15" s="155" t="n">
        <x:v>3</x:v>
      </x:c>
      <x:c r="F15" s="155" t="str">
        <x:v>Ing. software</x:v>
      </x:c>
      <x:c r="G15" s="155" t="str">
        <x:v>T024</x:v>
      </x:c>
      <x:c r="H15" s="158" t="n">
        <x:v>41.8</x:v>
      </x:c>
      <x:c r="I15" s="158" t="n">
        <x:v>3.3</x:v>
      </x:c>
      <x:c r="J15" s="158" t="n">
        <x:v>8.8</x:v>
      </x:c>
      <x:c r="K15" s="158" t="n">
        <x:v>1.1</x:v>
      </x:c>
      <x:c r="L15" s="155" t="str">
        <x:v>Prototipo de pantallas</x:v>
      </x:c>
      <x:c r="M15" s="155" t="str">
        <x:v>Usuario puede distinguir lectura actual, historia y ausencia de datos</x:v>
      </x:c>
      <x:c r="N15" s="158" t="n">
        <x:f>SUM(H15:K15)</x:f>
        <x:v>54.99999999999999</x:v>
      </x:c>
      <x:c r="O15" s="155" t="str"/>
      <x:c r="P15" s="155" t="str">
        <x:v>Consultar información en la aplicación</x:v>
      </x:c>
    </x:row>
    <x:row r="16" ht="62" customHeight="1">
      <x:c r="A16" s="155" t="str">
        <x:v>X03</x:v>
      </x:c>
      <x:c r="B16" s="155" t="str">
        <x:v>Transversal</x:v>
      </x:c>
      <x:c r="C16" s="155" t="str">
        <x:v>Relevar proveedores y plazos</x:v>
      </x:c>
      <x:c r="D16" s="155" t="n">
        <x:v>2</x:v>
      </x:c>
      <x:c r="E16" s="155" t="n">
        <x:v>3</x:v>
      </x:c>
      <x:c r="F16" s="155" t="str">
        <x:v>Ing. embebidos; coordinación QA</x:v>
      </x:c>
      <x:c r="G16" s="155" t="str">
        <x:v>X02</x:v>
      </x:c>
      <x:c r="H16" s="158" t="n">
        <x:v>16</x:v>
      </x:c>
      <x:c r="I16" s="158" t="n">
        <x:v>16</x:v>
      </x:c>
      <x:c r="J16" s="158" t="n">
        <x:v>16</x:v>
      </x:c>
      <x:c r="K16" s="158" t="n">
        <x:v>16</x:v>
      </x:c>
      <x:c r="L16" s="155" t="str">
        <x:v>Comparativa y cotizaciones solicitadas</x:v>
      </x:c>
      <x:c r="M16" s="155" t="str">
        <x:v>Plazos externos separados de horas del equipo</x:v>
      </x:c>
      <x:c r="N16" s="158" t="n">
        <x:f>SUM(H16:K16)</x:f>
        <x:v>64</x:v>
      </x:c>
      <x:c r="O16" s="155" t="str"/>
      <x:c r="P16" s="155" t="str">
        <x:v>Coordinar recursos y suministros</x:v>
      </x:c>
    </x:row>
    <x:row r="17" ht="62" customHeight="1">
      <x:c r="A17" s="155" t="str">
        <x:v>A04</x:v>
      </x:c>
      <x:c r="B17" s="155" t="str">
        <x:v>Aplicación</x:v>
      </x:c>
      <x:c r="C17" s="155" t="str">
        <x:v>Diseñar cuenta, activación y registro de series</x:v>
      </x:c>
      <x:c r="D17" s="155" t="n">
        <x:v>2</x:v>
      </x:c>
      <x:c r="E17" s="155" t="n">
        <x:v>4</x:v>
      </x:c>
      <x:c r="F17" s="155" t="str">
        <x:v>Ingeniería de software</x:v>
      </x:c>
      <x:c r="G17" s="155" t="str">
        <x:v>T034</x:v>
      </x:c>
      <x:c r="H17" s="158" t="n">
        <x:v>20</x:v>
      </x:c>
      <x:c r="I17" s="158" t="n">
        <x:v>0</x:v>
      </x:c>
      <x:c r="J17" s="158" t="n">
        <x:v>4</x:v>
      </x:c>
      <x:c r="K17" s="158" t="n">
        <x:v>0</x:v>
      </x:c>
      <x:c r="L17" s="155" t="str">
        <x:v>Contrato de cuenta y activación</x:v>
      </x:c>
      <x:c r="M17" s="155" t="str">
        <x:v>Correo verificado, posesión del kit, recuperación y transferencia definidos</x:v>
      </x:c>
      <x:c r="N17" s="158" t="n">
        <x:f>SUM(H17:K17)</x:f>
        <x:v>24</x:v>
      </x:c>
      <x:c r="O17" s="155" t="str">
        <x:v>Servicio de autenticación a seleccionar en S6</x:v>
      </x:c>
      <x:c r="P17" s="155" t="str">
        <x:v>Crear y recuperar mi cuenta</x:v>
      </x:c>
    </x:row>
    <x:row r="18" ht="62" customHeight="1">
      <x:c r="A18" s="155" t="str">
        <x:v>T041</x:v>
      </x:c>
      <x:c r="B18" s="155" t="str">
        <x:v>Parche descartable</x:v>
      </x:c>
      <x:c r="C18" s="155" t="str">
        <x:v>Ensayar compatibilidad de materiales</x:v>
      </x:c>
      <x:c r="D18" s="155" t="n">
        <x:v>2</x:v>
      </x:c>
      <x:c r="E18" s="155" t="n">
        <x:v>4</x:v>
      </x:c>
      <x:c r="F18" s="155" t="str">
        <x:v>Técnico laboratorio</x:v>
      </x:c>
      <x:c r="G18" s="155" t="str">
        <x:v>T031</x:v>
      </x:c>
      <x:c r="H18" s="158" t="n">
        <x:v>1.7</x:v>
      </x:c>
      <x:c r="I18" s="158" t="n">
        <x:v>2.55</x:v>
      </x:c>
      <x:c r="J18" s="158" t="n">
        <x:v>6.8</x:v>
      </x:c>
      <x:c r="K18" s="158" t="n">
        <x:v>32.3</x:v>
      </x:c>
      <x:c r="L18" s="155" t="str">
        <x:v>Registro de compatibilidad</x:v>
      </x:c>
      <x:c r="M18" s="155" t="str">
        <x:v>No se observan mezclas entre zonas bajo el ensayo definido</x:v>
      </x:c>
      <x:c r="N18" s="158" t="n">
        <x:f>SUM(H18:K18)</x:f>
        <x:v>43.349999999999994</x:v>
      </x:c>
      <x:c r="O18" s="155" t="str"/>
      <x:c r="P18" s="155" t="str">
        <x:v>Colocar un parche sensor</x:v>
      </x:c>
    </x:row>
    <x:row r="19" ht="62" customHeight="1">
      <x:c r="A19" s="155" t="str">
        <x:v>T042</x:v>
      </x:c>
      <x:c r="B19" s="155" t="str">
        <x:v>Lector reutilizable</x:v>
      </x:c>
      <x:c r="C19" s="155" t="str">
        <x:v>Dimensionar carga USB-C y memoria</x:v>
      </x:c>
      <x:c r="D19" s="155" t="n">
        <x:v>2</x:v>
      </x:c>
      <x:c r="E19" s="155" t="n">
        <x:v>4</x:v>
      </x:c>
      <x:c r="F19" s="155" t="str">
        <x:v>Ing. embebidos</x:v>
      </x:c>
      <x:c r="G19" s="155" t="str">
        <x:v>T032</x:v>
      </x:c>
      <x:c r="H19" s="158" t="n">
        <x:v>5.1</x:v>
      </x:c>
      <x:c r="I19" s="158" t="n">
        <x:v>21.25</x:v>
      </x:c>
      <x:c r="J19" s="158" t="n">
        <x:v>5.95</x:v>
      </x:c>
      <x:c r="K19" s="158" t="n">
        <x:v>2.55</x:v>
      </x:c>
      <x:c r="L19" s="155" t="str">
        <x:v>Esquema de alimentación y memoria</x:v>
      </x:c>
      <x:c r="M19" s="155" t="str">
        <x:v>750 mAh, carga inicial a 250 mA y 128 KiB utilizables contemplados; fuente de un puerto comprada terminada, compatible con ambos equipos</x:v>
      </x:c>
      <x:c r="N19" s="158" t="n">
        <x:f>SUM(H19:K19)</x:f>
        <x:v>34.85</x:v>
      </x:c>
      <x:c r="O19" s="155" t="str"/>
      <x:c r="P19" s="155" t="str">
        <x:v>Medir biomarcadores con el lector</x:v>
      </x:c>
    </x:row>
    <x:row r="20" ht="62" customHeight="1">
      <x:c r="A20" s="155" t="str">
        <x:v>T043</x:v>
      </x:c>
      <x:c r="B20" s="155" t="str">
        <x:v>Pulsera</x:v>
      </x:c>
      <x:c r="C20" s="155" t="str">
        <x:v>Dimensionar batería y USB-C</x:v>
      </x:c>
      <x:c r="D20" s="155" t="n">
        <x:v>2</x:v>
      </x:c>
      <x:c r="E20" s="155" t="n">
        <x:v>4</x:v>
      </x:c>
      <x:c r="F20" s="155" t="str">
        <x:v>Ing. embebidos</x:v>
      </x:c>
      <x:c r="G20" s="155" t="str">
        <x:v>T033</x:v>
      </x:c>
      <x:c r="H20" s="158" t="n">
        <x:v>4.25</x:v>
      </x:c>
      <x:c r="I20" s="158" t="n">
        <x:v>18.7</x:v>
      </x:c>
      <x:c r="J20" s="158" t="n">
        <x:v>8.5</x:v>
      </x:c>
      <x:c r="K20" s="158" t="n">
        <x:v>1.7</x:v>
      </x:c>
      <x:c r="L20" s="155" t="str">
        <x:v>Esquema energético; evaluación de detección de humedad</x:v>
      </x:c>
      <x:c r="M20" s="155" t="str">
        <x:v>850 mAh y control de carga y temperatura incluidos; fuente de un puerto comprada terminada, compatible con ambos equipos; documentar viabilidad, costo y consumo de detectar puerto mojado y avisar a la app, sin asumir la función implementada</x:v>
      </x:c>
      <x:c r="N20" s="158" t="n">
        <x:f>SUM(H20:K20)</x:f>
        <x:v>33.15</x:v>
      </x:c>
      <x:c r="O20" s="155" t="str"/>
      <x:c r="P20" s="155" t="str">
        <x:v>Registrar señales de la muñeca</x:v>
      </x:c>
    </x:row>
    <x:row r="21" ht="62" customHeight="1">
      <x:c r="A21" s="155" t="str">
        <x:v>T044</x:v>
      </x:c>
      <x:c r="B21" s="155" t="str">
        <x:v>Aplicación</x:v>
      </x:c>
      <x:c r="C21" s="155" t="str">
        <x:v>Especificar contrato BLE y seguridad</x:v>
      </x:c>
      <x:c r="D21" s="155" t="n">
        <x:v>2</x:v>
      </x:c>
      <x:c r="E21" s="155" t="n">
        <x:v>4</x:v>
      </x:c>
      <x:c r="F21" s="155" t="str">
        <x:v>Ing. software</x:v>
      </x:c>
      <x:c r="G21" s="155" t="str">
        <x:v>T034</x:v>
      </x:c>
      <x:c r="H21" s="158" t="n">
        <x:v>32.3</x:v>
      </x:c>
      <x:c r="I21" s="158" t="n">
        <x:v>2.55</x:v>
      </x:c>
      <x:c r="J21" s="158" t="n">
        <x:v>6.8</x:v>
      </x:c>
      <x:c r="K21" s="158" t="n">
        <x:v>0.85</x:v>
      </x:c>
      <x:c r="L21" s="155" t="str">
        <x:v>Esquema de datos y vinculación</x:v>
      </x:c>
      <x:c r="M21" s="155" t="str">
        <x:v>Identificadores, calidad, fechas y permisos definidos</x:v>
      </x:c>
      <x:c r="N21" s="158" t="n">
        <x:f>SUM(H21:K21)</x:f>
        <x:v>42.49999999999999</x:v>
      </x:c>
      <x:c r="O21" s="155" t="str"/>
      <x:c r="P21" s="155" t="str">
        <x:v>Consultar información en la aplicación</x:v>
      </x:c>
    </x:row>
    <x:row r="22" ht="62" customHeight="1">
      <x:c r="A22" s="155" t="str">
        <x:v>X04</x:v>
      </x:c>
      <x:c r="B22" s="155" t="str">
        <x:v>Transversal</x:v>
      </x:c>
      <x:c r="C22" s="155" t="str">
        <x:v>Definir contratación de laboratorio y asesores</x:v>
      </x:c>
      <x:c r="D22" s="155" t="n">
        <x:v>2</x:v>
      </x:c>
      <x:c r="E22" s="155" t="n">
        <x:v>4</x:v>
      </x:c>
      <x:c r="F22" s="155" t="str">
        <x:v>Ing. embebidos; coordinación QA</x:v>
      </x:c>
      <x:c r="G22" s="155" t="str">
        <x:v>X03</x:v>
      </x:c>
      <x:c r="H22" s="158" t="n">
        <x:v>16</x:v>
      </x:c>
      <x:c r="I22" s="158" t="n">
        <x:v>16</x:v>
      </x:c>
      <x:c r="J22" s="158" t="n">
        <x:v>16</x:v>
      </x:c>
      <x:c r="K22" s="158" t="n">
        <x:v>16</x:v>
      </x:c>
      <x:c r="L22" s="155" t="str">
        <x:v>Alcances de servicios</x:v>
      </x:c>
      <x:c r="M22" s="155" t="str">
        <x:v>Trabajo externo no duplicado como salario interno</x:v>
      </x:c>
      <x:c r="N22" s="158" t="n">
        <x:f>SUM(H22:K22)</x:f>
        <x:v>64</x:v>
      </x:c>
      <x:c r="O22" s="155" t="str"/>
      <x:c r="P22" s="155" t="str">
        <x:v>Coordinar recursos y suministros</x:v>
      </x:c>
    </x:row>
    <x:row r="23" ht="62" customHeight="1">
      <x:c r="A23" s="155" t="str">
        <x:v>T051</x:v>
      </x:c>
      <x:c r="B23" s="155" t="str">
        <x:v>Parche descartable</x:v>
      </x:c>
      <x:c r="C23" s="155" t="str">
        <x:v>Diseñar canales y soporte adhesivo</x:v>
      </x:c>
      <x:c r="D23" s="155" t="n">
        <x:v>3</x:v>
      </x:c>
      <x:c r="E23" s="155" t="n">
        <x:v>5</x:v>
      </x:c>
      <x:c r="F23" s="155" t="str">
        <x:v>Técnico laboratorio</x:v>
      </x:c>
      <x:c r="G23" s="155" t="str">
        <x:v>T041</x:v>
      </x:c>
      <x:c r="H23" s="158" t="n">
        <x:v>2</x:v>
      </x:c>
      <x:c r="I23" s="158" t="n">
        <x:v>3</x:v>
      </x:c>
      <x:c r="J23" s="158" t="n">
        <x:v>8</x:v>
      </x:c>
      <x:c r="K23" s="158" t="n">
        <x:v>38</x:v>
      </x:c>
      <x:c r="L23" s="155" t="str">
        <x:v>Plano de captación, zonas y acople</x:v>
      </x:c>
      <x:c r="M23" s="155" t="str">
        <x:v>Geometría compatible con la interfaz del lector</x:v>
      </x:c>
      <x:c r="N23" s="158" t="n">
        <x:f>SUM(H23:K23)</x:f>
        <x:v>51</x:v>
      </x:c>
      <x:c r="O23" s="155" t="str"/>
      <x:c r="P23" s="155" t="str">
        <x:v>Colocar un parche sensor</x:v>
      </x:c>
    </x:row>
    <x:row r="24" ht="62" customHeight="1">
      <x:c r="A24" s="155" t="str">
        <x:v>T052</x:v>
      </x:c>
      <x:c r="B24" s="155" t="str">
        <x:v>Lector reutilizable</x:v>
      </x:c>
      <x:c r="C24" s="155" t="str">
        <x:v>Diseñar esquema y PCB</x:v>
      </x:c>
      <x:c r="D24" s="155" t="n">
        <x:v>3</x:v>
      </x:c>
      <x:c r="E24" s="155" t="n">
        <x:v>5</x:v>
      </x:c>
      <x:c r="F24" s="155" t="str">
        <x:v>Ing. embebidos</x:v>
      </x:c>
      <x:c r="G24" s="155" t="str">
        <x:v>T042</x:v>
      </x:c>
      <x:c r="H24" s="158" t="n">
        <x:v>6</x:v>
      </x:c>
      <x:c r="I24" s="158" t="n">
        <x:v>25</x:v>
      </x:c>
      <x:c r="J24" s="158" t="n">
        <x:v>7</x:v>
      </x:c>
      <x:c r="K24" s="158" t="n">
        <x:v>3</x:v>
      </x:c>
      <x:c r="L24" s="155" t="str">
        <x:v>Archivos de fabricación revisados</x:v>
      </x:c>
      <x:c r="M24" s="155" t="str">
        <x:v>Interfaces y protecciones verificadas antes de ordenar</x:v>
      </x:c>
      <x:c r="N24" s="158" t="n">
        <x:f>SUM(H24:K24)</x:f>
        <x:v>41</x:v>
      </x:c>
      <x:c r="O24" s="155" t="str"/>
      <x:c r="P24" s="155" t="str">
        <x:v>Medir biomarcadores con el lector</x:v>
      </x:c>
    </x:row>
    <x:row r="25" ht="62" customHeight="1">
      <x:c r="A25" s="155" t="str">
        <x:v>T053</x:v>
      </x:c>
      <x:c r="B25" s="155" t="str">
        <x:v>Pulsera</x:v>
      </x:c>
      <x:c r="C25" s="155" t="str">
        <x:v>Diseñar PCB y carcasa</x:v>
      </x:c>
      <x:c r="D25" s="155" t="n">
        <x:v>3</x:v>
      </x:c>
      <x:c r="E25" s="155" t="n">
        <x:v>5</x:v>
      </x:c>
      <x:c r="F25" s="155" t="str">
        <x:v>Ing. embebidos</x:v>
      </x:c>
      <x:c r="G25" s="155" t="str">
        <x:v>T043</x:v>
      </x:c>
      <x:c r="H25" s="158" t="n">
        <x:v>5</x:v>
      </x:c>
      <x:c r="I25" s="158" t="n">
        <x:v>22</x:v>
      </x:c>
      <x:c r="J25" s="158" t="n">
        <x:v>10</x:v>
      </x:c>
      <x:c r="K25" s="158" t="n">
        <x:v>2</x:v>
      </x:c>
      <x:c r="L25" s="155" t="str">
        <x:v>Planos y esquema revisados</x:v>
      </x:c>
      <x:c r="M25" s="155" t="str">
        <x:v>Contacto de sensores y acceso al puerto compatibles</x:v>
      </x:c>
      <x:c r="N25" s="158" t="n">
        <x:f>SUM(H25:K25)</x:f>
        <x:v>39</x:v>
      </x:c>
      <x:c r="O25" s="155" t="str"/>
      <x:c r="P25" s="155" t="str">
        <x:v>Registrar señales de la muñeca</x:v>
      </x:c>
    </x:row>
    <x:row r="26" ht="62" customHeight="1">
      <x:c r="A26" s="155" t="str">
        <x:v>T054</x:v>
      </x:c>
      <x:c r="B26" s="155" t="str">
        <x:v>Aplicación</x:v>
      </x:c>
      <x:c r="C26" s="155" t="str">
        <x:v>Implementar datos simulados e historial</x:v>
      </x:c>
      <x:c r="D26" s="155" t="n">
        <x:v>3</x:v>
      </x:c>
      <x:c r="E26" s="155" t="n">
        <x:v>5</x:v>
      </x:c>
      <x:c r="F26" s="155" t="str">
        <x:v>Ing. software</x:v>
      </x:c>
      <x:c r="G26" s="155" t="str">
        <x:v>T044</x:v>
      </x:c>
      <x:c r="H26" s="158" t="n">
        <x:v>38</x:v>
      </x:c>
      <x:c r="I26" s="158" t="n">
        <x:v>3</x:v>
      </x:c>
      <x:c r="J26" s="158" t="n">
        <x:v>8</x:v>
      </x:c>
      <x:c r="K26" s="158" t="n">
        <x:v>1</x:v>
      </x:c>
      <x:c r="L26" s="155" t="str">
        <x:v>Aplicación con almacenamiento local</x:v>
      </x:c>
      <x:c r="M26" s="155" t="str">
        <x:v>Guarda, consulta y exporta registros de prueba</x:v>
      </x:c>
      <x:c r="N26" s="158" t="n">
        <x:f>SUM(H26:K26)</x:f>
        <x:v>50</x:v>
      </x:c>
      <x:c r="O26" s="155" t="str"/>
      <x:c r="P26" s="155" t="str">
        <x:v>Consultar información en la aplicación</x:v>
      </x:c>
    </x:row>
    <x:row r="27" ht="62" customHeight="1">
      <x:c r="A27" s="155" t="str">
        <x:v>X05</x:v>
      </x:c>
      <x:c r="B27" s="155" t="str">
        <x:v>Transversal</x:v>
      </x:c>
      <x:c r="C27" s="155" t="str">
        <x:v>Cerrar referencias y presupuesto de ensayos</x:v>
      </x:c>
      <x:c r="D27" s="155" t="n">
        <x:v>3</x:v>
      </x:c>
      <x:c r="E27" s="155" t="n">
        <x:v>5</x:v>
      </x:c>
      <x:c r="F27" s="155" t="str">
        <x:v>Ing. embebidos; coordinación QA</x:v>
      </x:c>
      <x:c r="G27" s="155" t="str">
        <x:v>X04</x:v>
      </x:c>
      <x:c r="H27" s="158" t="n">
        <x:v>16</x:v>
      </x:c>
      <x:c r="I27" s="158" t="n">
        <x:v>16</x:v>
      </x:c>
      <x:c r="J27" s="158" t="n">
        <x:v>16</x:v>
      </x:c>
      <x:c r="K27" s="158" t="n">
        <x:v>16</x:v>
      </x:c>
      <x:c r="L27" s="155" t="str">
        <x:v>Plan y partidas</x:v>
      </x:c>
      <x:c r="M27" s="155" t="str">
        <x:v>Ensayos y criterios trazables a requisitos</x:v>
      </x:c>
      <x:c r="N27" s="158" t="n">
        <x:f>SUM(H27:K27)</x:f>
        <x:v>64</x:v>
      </x:c>
      <x:c r="O27" s="155" t="str"/>
      <x:c r="P27" s="155" t="str">
        <x:v>Gestionar evaluaciones y autorizaciones</x:v>
      </x:c>
    </x:row>
    <x:row r="28" ht="62" customHeight="1">
      <x:c r="A28" s="155" t="str">
        <x:v>T061</x:v>
      </x:c>
      <x:c r="B28" s="155" t="str">
        <x:v>Parche descartable</x:v>
      </x:c>
      <x:c r="C28" s="155" t="str">
        <x:v>Cerrar diseño de muestras</x:v>
      </x:c>
      <x:c r="D28" s="155" t="n">
        <x:v>3</x:v>
      </x:c>
      <x:c r="E28" s="155" t="n">
        <x:v>6</x:v>
      </x:c>
      <x:c r="F28" s="155" t="str">
        <x:v>Técnico laboratorio</x:v>
      </x:c>
      <x:c r="G28" s="155" t="str">
        <x:v>T051</x:v>
      </x:c>
      <x:c r="H28" s="158" t="n">
        <x:v>2.2</x:v>
      </x:c>
      <x:c r="I28" s="158" t="n">
        <x:v>3.3</x:v>
      </x:c>
      <x:c r="J28" s="158" t="n">
        <x:v>8.8</x:v>
      </x:c>
      <x:c r="K28" s="158" t="n">
        <x:v>41.8</x:v>
      </x:c>
      <x:c r="L28" s="155" t="str">
        <x:v>Especificación del parche experimental</x:v>
      </x:c>
      <x:c r="M28" s="155" t="str">
        <x:v>Planos y tolerancias de acople revisados con electrónica</x:v>
      </x:c>
      <x:c r="N28" s="158" t="n">
        <x:f>SUM(H28:K28)</x:f>
        <x:v>56.099999999999994</x:v>
      </x:c>
      <x:c r="O28" s="155" t="str"/>
      <x:c r="P28" s="155" t="str">
        <x:v>Colocar un parche sensor</x:v>
      </x:c>
    </x:row>
    <x:row r="29" ht="62" customHeight="1">
      <x:c r="A29" s="155" t="str">
        <x:v>T062</x:v>
      </x:c>
      <x:c r="B29" s="155" t="str">
        <x:v>Lector reutilizable</x:v>
      </x:c>
      <x:c r="C29" s="155" t="str">
        <x:v>Revisar PCB y ordenar prototipos</x:v>
      </x:c>
      <x:c r="D29" s="155" t="n">
        <x:v>3</x:v>
      </x:c>
      <x:c r="E29" s="155" t="n">
        <x:v>6</x:v>
      </x:c>
      <x:c r="F29" s="155" t="str">
        <x:v>Ing. embebidos</x:v>
      </x:c>
      <x:c r="G29" s="155" t="str">
        <x:v>T052</x:v>
      </x:c>
      <x:c r="H29" s="158" t="n">
        <x:v>6.6</x:v>
      </x:c>
      <x:c r="I29" s="158" t="n">
        <x:v>27.5</x:v>
      </x:c>
      <x:c r="J29" s="158" t="n">
        <x:v>7.7</x:v>
      </x:c>
      <x:c r="K29" s="158" t="n">
        <x:v>3.3</x:v>
      </x:c>
      <x:c r="L29" s="155" t="str">
        <x:v>Orden de compra y plano liberado</x:v>
      </x:c>
      <x:c r="M29" s="155" t="str">
        <x:v>Revisión cruzada completada; entrega externa registrada</x:v>
      </x:c>
      <x:c r="N29" s="158" t="n">
        <x:f>SUM(H29:K29)</x:f>
        <x:v>45.1</x:v>
      </x:c>
      <x:c r="O29" s="155" t="str"/>
      <x:c r="P29" s="155" t="str">
        <x:v>Medir biomarcadores con el lector</x:v>
      </x:c>
    </x:row>
    <x:row r="30" ht="62" customHeight="1">
      <x:c r="A30" s="155" t="str">
        <x:v>T063</x:v>
      </x:c>
      <x:c r="B30" s="155" t="str">
        <x:v>Pulsera</x:v>
      </x:c>
      <x:c r="C30" s="155" t="str">
        <x:v>Revisar diseño y ordenar placas</x:v>
      </x:c>
      <x:c r="D30" s="155" t="n">
        <x:v>3</x:v>
      </x:c>
      <x:c r="E30" s="155" t="n">
        <x:v>6</x:v>
      </x:c>
      <x:c r="F30" s="155" t="str">
        <x:v>Ing. embebidos</x:v>
      </x:c>
      <x:c r="G30" s="155" t="str">
        <x:v>T053</x:v>
      </x:c>
      <x:c r="H30" s="158" t="n">
        <x:v>5.5</x:v>
      </x:c>
      <x:c r="I30" s="158" t="n">
        <x:v>24.2</x:v>
      </x:c>
      <x:c r="J30" s="158" t="n">
        <x:v>11</x:v>
      </x:c>
      <x:c r="K30" s="158" t="n">
        <x:v>2.2</x:v>
      </x:c>
      <x:c r="L30" s="155" t="str">
        <x:v>Orden de compra de pulsera</x:v>
      </x:c>
      <x:c r="M30" s="155" t="str">
        <x:v>Revisión de montaje y sellado cerrada</x:v>
      </x:c>
      <x:c r="N30" s="158" t="n">
        <x:f>SUM(H30:K30)</x:f>
        <x:v>42.900000000000006</x:v>
      </x:c>
      <x:c r="O30" s="155" t="str"/>
      <x:c r="P30" s="155" t="str">
        <x:v>Registrar señales de la muñeca</x:v>
      </x:c>
    </x:row>
    <x:row r="31" ht="62" customHeight="1">
      <x:c r="A31" s="155" t="str">
        <x:v>T064</x:v>
      </x:c>
      <x:c r="B31" s="155" t="str">
        <x:v>Aplicación</x:v>
      </x:c>
      <x:c r="C31" s="155" t="str">
        <x:v>Cerrar plataforma, IA local o nube y criterios</x:v>
      </x:c>
      <x:c r="D31" s="155" t="n">
        <x:v>3</x:v>
      </x:c>
      <x:c r="E31" s="155" t="n">
        <x:v>6</x:v>
      </x:c>
      <x:c r="F31" s="155" t="str">
        <x:v>Ing. software</x:v>
      </x:c>
      <x:c r="G31" s="155" t="str">
        <x:v>T054</x:v>
      </x:c>
      <x:c r="H31" s="158" t="n">
        <x:v>41.8</x:v>
      </x:c>
      <x:c r="I31" s="158" t="n">
        <x:v>3.3</x:v>
      </x:c>
      <x:c r="J31" s="158" t="n">
        <x:v>8.8</x:v>
      </x:c>
      <x:c r="K31" s="158" t="n">
        <x:v>1.1</x:v>
      </x:c>
      <x:c r="L31" s="155" t="str">
        <x:v>Decisión de arquitectura y matriz de aceptación</x:v>
      </x:c>
      <x:c r="M31" s="155" t="str">
        <x:v>Plataforma, dependencia de CGM y umbrales acordados antes de evaluar</x:v>
      </x:c>
      <x:c r="N31" s="158" t="n">
        <x:f>SUM(H31:K31)</x:f>
        <x:v>54.99999999999999</x:v>
      </x:c>
      <x:c r="O31" s="155" t="str"/>
      <x:c r="P31" s="155" t="str">
        <x:v>Consultar información en la aplicación</x:v>
      </x:c>
    </x:row>
    <x:row r="32" ht="62" customHeight="1">
      <x:c r="A32" s="155" t="str">
        <x:v>X06</x:v>
      </x:c>
      <x:c r="B32" s="155" t="str">
        <x:v>Transversal</x:v>
      </x:c>
      <x:c r="C32" s="155" t="str">
        <x:v>Aprobar arquitectura y plan clínico preliminar</x:v>
      </x:c>
      <x:c r="D32" s="155" t="n">
        <x:v>3</x:v>
      </x:c>
      <x:c r="E32" s="155" t="n">
        <x:v>6</x:v>
      </x:c>
      <x:c r="F32" s="155" t="str">
        <x:v>Ing. embebidos; coordinación QA</x:v>
      </x:c>
      <x:c r="G32" s="155" t="str">
        <x:v>X05, T051, T052, T053, T054</x:v>
      </x:c>
      <x:c r="H32" s="158" t="n">
        <x:v>16</x:v>
      </x:c>
      <x:c r="I32" s="158" t="n">
        <x:v>16</x:v>
      </x:c>
      <x:c r="J32" s="158" t="n">
        <x:v>16</x:v>
      </x:c>
      <x:c r="K32" s="158" t="n">
        <x:v>16</x:v>
      </x:c>
      <x:c r="L32" s="155" t="str">
        <x:v>Acta del hito mes 3</x:v>
      </x:c>
      <x:c r="M32" s="155" t="str">
        <x:v>Uso, plataforma y referencias definidos o hito bloqueado</x:v>
      </x:c>
      <x:c r="N32" s="158" t="n">
        <x:f>SUM(H32:K32)</x:f>
        <x:v>64</x:v>
      </x:c>
      <x:c r="O32" s="155" t="str"/>
      <x:c r="P32" s="155" t="str">
        <x:v>Gestionar evaluaciones y autorizaciones</x:v>
      </x:c>
    </x:row>
    <x:row r="33" ht="62" customHeight="1">
      <x:c r="A33" s="155" t="str">
        <x:v>A07</x:v>
      </x:c>
      <x:c r="B33" s="155" t="str">
        <x:v>Aplicación</x:v>
      </x:c>
      <x:c r="C33" s="155" t="str">
        <x:v>Implementar cuenta y verificación de correo</x:v>
      </x:c>
      <x:c r="D33" s="155" t="n">
        <x:v>4</x:v>
      </x:c>
      <x:c r="E33" s="155" t="n">
        <x:v>7</x:v>
      </x:c>
      <x:c r="F33" s="155" t="str">
        <x:v>Ingeniería de software</x:v>
      </x:c>
      <x:c r="G33" s="155" t="str">
        <x:v>A04, T064</x:v>
      </x:c>
      <x:c r="H33" s="158" t="n">
        <x:v>24</x:v>
      </x:c>
      <x:c r="I33" s="158" t="n">
        <x:v>0</x:v>
      </x:c>
      <x:c r="J33" s="158" t="n">
        <x:v>6</x:v>
      </x:c>
      <x:c r="K33" s="158" t="n">
        <x:v>0</x:v>
      </x:c>
      <x:c r="L33" s="155" t="str">
        <x:v>Servicio de cuentas y acceso</x:v>
      </x:c>
      <x:c r="M33" s="155" t="str">
        <x:v>Alta, verificación, acceso y recuperación probados; sesión local válida sin Internet</x:v>
      </x:c>
      <x:c r="N33" s="158" t="n">
        <x:f>SUM(H33:K33)</x:f>
        <x:v>30</x:v>
      </x:c>
      <x:c r="O33" s="155" t="str">
        <x:v>Servicio externo dentro de herramientas/nube</x:v>
      </x:c>
      <x:c r="P33" s="155" t="str">
        <x:v>Crear y recuperar mi cuenta</x:v>
      </x:c>
    </x:row>
    <x:row r="34" ht="62" customHeight="1">
      <x:c r="A34" s="155" t="str">
        <x:v>T071</x:v>
      </x:c>
      <x:c r="B34" s="155" t="str">
        <x:v>Parche descartable</x:v>
      </x:c>
      <x:c r="C34" s="155" t="str">
        <x:v>Fabricar primera serie de muestras</x:v>
      </x:c>
      <x:c r="D34" s="155" t="n">
        <x:v>4</x:v>
      </x:c>
      <x:c r="E34" s="155" t="n">
        <x:v>7</x:v>
      </x:c>
      <x:c r="F34" s="155" t="str">
        <x:v>Técnico laboratorio</x:v>
      </x:c>
      <x:c r="G34" s="155" t="str">
        <x:v>T061, T062, T063, T064, X06</x:v>
      </x:c>
      <x:c r="H34" s="158" t="n">
        <x:v>1.7</x:v>
      </x:c>
      <x:c r="I34" s="158" t="n">
        <x:v>2.55</x:v>
      </x:c>
      <x:c r="J34" s="158" t="n">
        <x:v>6.8</x:v>
      </x:c>
      <x:c r="K34" s="158" t="n">
        <x:v>32.3</x:v>
      </x:c>
      <x:c r="L34" s="155" t="str">
        <x:v>Muestras identificadas por lote</x:v>
      </x:c>
      <x:c r="M34" s="155" t="str">
        <x:v>Cantidades y preparación registradas; muestras de control disponibles</x:v>
      </x:c>
      <x:c r="N34" s="158" t="n">
        <x:f>SUM(H34:K34)</x:f>
        <x:v>43.349999999999994</x:v>
      </x:c>
      <x:c r="O34" s="155" t="str">
        <x:v>Materiales recibidos para fabricar muestras; plazo del proveedor contado desde la orden, no desde esta tarea</x:v>
      </x:c>
      <x:c r="P34" s="155" t="str">
        <x:v>Colocar un parche sensor</x:v>
      </x:c>
    </x:row>
    <x:row r="35" ht="62" customHeight="1">
      <x:c r="A35" s="155" t="str">
        <x:v>T072</x:v>
      </x:c>
      <x:c r="B35" s="155" t="str">
        <x:v>Lector reutilizable</x:v>
      </x:c>
      <x:c r="C35" s="155" t="str">
        <x:v>Montar y encender las placas</x:v>
      </x:c>
      <x:c r="D35" s="155" t="n">
        <x:v>4</x:v>
      </x:c>
      <x:c r="E35" s="155" t="n">
        <x:v>7</x:v>
      </x:c>
      <x:c r="F35" s="155" t="str">
        <x:v>Ing. embebidos</x:v>
      </x:c>
      <x:c r="G35" s="155" t="str">
        <x:v>T061, T062, T063, T064, X06</x:v>
      </x:c>
      <x:c r="H35" s="158" t="n">
        <x:v>5.1</x:v>
      </x:c>
      <x:c r="I35" s="158" t="n">
        <x:v>21.25</x:v>
      </x:c>
      <x:c r="J35" s="158" t="n">
        <x:v>5.95</x:v>
      </x:c>
      <x:c r="K35" s="158" t="n">
        <x:v>2.55</x:v>
      </x:c>
      <x:c r="L35" s="155" t="str">
        <x:v>Registro de montaje y alimentación</x:v>
      </x:c>
      <x:c r="M35" s="155" t="str">
        <x:v>Tensiones y picos dentro de límites de componentes</x:v>
      </x:c>
      <x:c r="N35" s="158" t="n">
        <x:f>SUM(H35:K35)</x:f>
        <x:v>34.85</x:v>
      </x:c>
      <x:c r="O35" s="155" t="str">
        <x:v>PCB y componentes de la orden T062 recibidos; plazo estimado 2–4 semanas desde la orden. Reprogramar montaje si no llegan</x:v>
      </x:c>
      <x:c r="P35" s="155" t="str">
        <x:v>Medir biomarcadores con el lector</x:v>
      </x:c>
    </x:row>
    <x:row r="36" ht="62" customHeight="1">
      <x:c r="A36" s="155" t="str">
        <x:v>T073</x:v>
      </x:c>
      <x:c r="B36" s="155" t="str">
        <x:v>Pulsera</x:v>
      </x:c>
      <x:c r="C36" s="155" t="str">
        <x:v>Montar la pulsera de banco</x:v>
      </x:c>
      <x:c r="D36" s="155" t="n">
        <x:v>4</x:v>
      </x:c>
      <x:c r="E36" s="155" t="n">
        <x:v>7</x:v>
      </x:c>
      <x:c r="F36" s="155" t="str">
        <x:v>Ing. embebidos</x:v>
      </x:c>
      <x:c r="G36" s="155" t="str">
        <x:v>T061, T062, T063, T064, X06</x:v>
      </x:c>
      <x:c r="H36" s="158" t="n">
        <x:v>4.25</x:v>
      </x:c>
      <x:c r="I36" s="158" t="n">
        <x:v>18.7</x:v>
      </x:c>
      <x:c r="J36" s="158" t="n">
        <x:v>8.5</x:v>
      </x:c>
      <x:c r="K36" s="158" t="n">
        <x:v>1.7</x:v>
      </x:c>
      <x:c r="L36" s="155" t="str">
        <x:v>Registro de encendido</x:v>
      </x:c>
      <x:c r="M36" s="155" t="str">
        <x:v>Alimentación y sensores responden sin sobrecorriente</x:v>
      </x:c>
      <x:c r="N36" s="158" t="n">
        <x:f>SUM(H36:K36)</x:f>
        <x:v>33.15</x:v>
      </x:c>
      <x:c r="O36" s="155" t="str">
        <x:v>PCB y componentes de la orden T063 recibidos; plazo estimado 2–4 semanas desde la orden. Reprogramar montaje si no llegan</x:v>
      </x:c>
      <x:c r="P36" s="155" t="str">
        <x:v>Registrar señales de la muñeca</x:v>
      </x:c>
    </x:row>
    <x:row r="37" ht="62" customHeight="1">
      <x:c r="A37" s="155" t="str">
        <x:v>T074</x:v>
      </x:c>
      <x:c r="B37" s="155" t="str">
        <x:v>Aplicación</x:v>
      </x:c>
      <x:c r="C37" s="155" t="str">
        <x:v>Implementar vinculación con dispositivos</x:v>
      </x:c>
      <x:c r="D37" s="155" t="n">
        <x:v>4</x:v>
      </x:c>
      <x:c r="E37" s="155" t="n">
        <x:v>7</x:v>
      </x:c>
      <x:c r="F37" s="155" t="str">
        <x:v>Ing. software</x:v>
      </x:c>
      <x:c r="G37" s="155" t="str">
        <x:v>T061, T062, T063, T064, X06</x:v>
      </x:c>
      <x:c r="H37" s="158" t="n">
        <x:v>32.3</x:v>
      </x:c>
      <x:c r="I37" s="158" t="n">
        <x:v>2.55</x:v>
      </x:c>
      <x:c r="J37" s="158" t="n">
        <x:v>6.8</x:v>
      </x:c>
      <x:c r="K37" s="158" t="n">
        <x:v>0.85</x:v>
      </x:c>
      <x:c r="L37" s="155" t="str">
        <x:v>Aplicación con BLE</x:v>
      </x:c>
      <x:c r="M37" s="155" t="str">
        <x:v>Vincula lector y pulsera y rechaza dispositivo no autorizado</x:v>
      </x:c>
      <x:c r="N37" s="158" t="n">
        <x:f>SUM(H37:K37)</x:f>
        <x:v>42.49999999999999</x:v>
      </x:c>
      <x:c r="O37" s="155" t="str">
        <x:v>Implementación con simuladores del contrato BLE; integración sobre equipos recibidos en T084 y T134</x:v>
      </x:c>
      <x:c r="P37" s="155" t="str">
        <x:v>Conectar lector, pulsera y teléfono</x:v>
      </x:c>
    </x:row>
    <x:row r="38" ht="62" customHeight="1">
      <x:c r="A38" s="155" t="str">
        <x:v>X07</x:v>
      </x:c>
      <x:c r="B38" s="155" t="str">
        <x:v>Transversal</x:v>
      </x:c>
      <x:c r="C38" s="155" t="str">
        <x:v>Emitir compras de prototipo</x:v>
      </x:c>
      <x:c r="D38" s="155" t="n">
        <x:v>4</x:v>
      </x:c>
      <x:c r="E38" s="155" t="n">
        <x:v>7</x:v>
      </x:c>
      <x:c r="F38" s="155" t="str">
        <x:v>Ing. embebidos; coordinación QA</x:v>
      </x:c>
      <x:c r="G38" s="155" t="str">
        <x:v>X06</x:v>
      </x:c>
      <x:c r="H38" s="158" t="n">
        <x:v>12</x:v>
      </x:c>
      <x:c r="I38" s="158" t="n">
        <x:v>16</x:v>
      </x:c>
      <x:c r="J38" s="158" t="n">
        <x:v>20</x:v>
      </x:c>
      <x:c r="K38" s="158" t="n">
        <x:v>16</x:v>
      </x:c>
      <x:c r="L38" s="155" t="str">
        <x:v>Órdenes y entrega prevista</x:v>
      </x:c>
      <x:c r="M38" s="155" t="str">
        <x:v>Materiales críticos con alternativa</x:v>
      </x:c>
      <x:c r="N38" s="158" t="n">
        <x:f>SUM(H38:K38)</x:f>
        <x:v>64</x:v>
      </x:c>
      <x:c r="O38" s="155" t="str"/>
      <x:c r="P38" s="155" t="str">
        <x:v>Coordinar recursos y suministros</x:v>
      </x:c>
    </x:row>
    <x:row r="39" ht="62" customHeight="1">
      <x:c r="A39" s="155" t="str">
        <x:v>T081</x:v>
      </x:c>
      <x:c r="B39" s="155" t="str">
        <x:v>Parche descartable</x:v>
      </x:c>
      <x:c r="C39" s="155" t="str">
        <x:v>Comprobar distribución del sudor</x:v>
      </x:c>
      <x:c r="D39" s="155" t="n">
        <x:v>4</x:v>
      </x:c>
      <x:c r="E39" s="155" t="n">
        <x:v>8</x:v>
      </x:c>
      <x:c r="F39" s="155" t="str">
        <x:v>Técnico laboratorio</x:v>
      </x:c>
      <x:c r="G39" s="155" t="str">
        <x:v>T071</x:v>
      </x:c>
      <x:c r="H39" s="158" t="n">
        <x:v>2</x:v>
      </x:c>
      <x:c r="I39" s="158" t="n">
        <x:v>3</x:v>
      </x:c>
      <x:c r="J39" s="158" t="n">
        <x:v>8</x:v>
      </x:c>
      <x:c r="K39" s="158" t="n">
        <x:v>38</x:v>
      </x:c>
      <x:c r="L39" s="155" t="str">
        <x:v>Informe de caudal y humectación</x:v>
      </x:c>
      <x:c r="M39" s="155" t="str">
        <x:v>Cada zona recibe muestra; fallas y descarte quedan identificados</x:v>
      </x:c>
      <x:c r="N39" s="158" t="n">
        <x:f>SUM(H39:K39)</x:f>
        <x:v>51</x:v>
      </x:c>
      <x:c r="O39" s="155" t="str">
        <x:v>Muestras disponibles de T071; sin una nueva compra prevista para esta comprobación</x:v>
      </x:c>
      <x:c r="P39" s="155" t="str">
        <x:v>Colocar un parche sensor</x:v>
      </x:c>
    </x:row>
    <x:row r="40" ht="62" customHeight="1">
      <x:c r="A40" s="155" t="str">
        <x:v>T082</x:v>
      </x:c>
      <x:c r="B40" s="155" t="str">
        <x:v>Lector reutilizable</x:v>
      </x:c>
      <x:c r="C40" s="155" t="str">
        <x:v>Verificar lectura óptica y potenciostato</x:v>
      </x:c>
      <x:c r="D40" s="155" t="n">
        <x:v>4</x:v>
      </x:c>
      <x:c r="E40" s="155" t="n">
        <x:v>8</x:v>
      </x:c>
      <x:c r="F40" s="155" t="str">
        <x:v>Ing. embebidos</x:v>
      </x:c>
      <x:c r="G40" s="155" t="str">
        <x:v>T072</x:v>
      </x:c>
      <x:c r="H40" s="158" t="n">
        <x:v>6</x:v>
      </x:c>
      <x:c r="I40" s="158" t="n">
        <x:v>25</x:v>
      </x:c>
      <x:c r="J40" s="158" t="n">
        <x:v>7</x:v>
      </x:c>
      <x:c r="K40" s="158" t="n">
        <x:v>3</x:v>
      </x:c>
      <x:c r="L40" s="155" t="str">
        <x:v>Informe de adquisición de banco</x:v>
      </x:c>
      <x:c r="M40" s="155" t="str">
        <x:v>Ambas interfaces responden con referencias de ensayo</x:v>
      </x:c>
      <x:c r="N40" s="158" t="n">
        <x:f>SUM(H40:K40)</x:f>
        <x:v>41</x:v>
      </x:c>
      <x:c r="O40" s="155" t="str">
        <x:v>Placas montadas en T072; no se vuelve a contar el plazo de entrega del proveedor</x:v>
      </x:c>
      <x:c r="P40" s="155" t="str">
        <x:v>Medir biomarcadores con el lector</x:v>
      </x:c>
    </x:row>
    <x:row r="41" ht="62" customHeight="1">
      <x:c r="A41" s="155" t="str">
        <x:v>T083</x:v>
      </x:c>
      <x:c r="B41" s="155" t="str">
        <x:v>Pulsera</x:v>
      </x:c>
      <x:c r="C41" s="155" t="str">
        <x:v>Verificar señales de sensores</x:v>
      </x:c>
      <x:c r="D41" s="155" t="n">
        <x:v>4</x:v>
      </x:c>
      <x:c r="E41" s="155" t="n">
        <x:v>8</x:v>
      </x:c>
      <x:c r="F41" s="155" t="str">
        <x:v>Ing. embebidos</x:v>
      </x:c>
      <x:c r="G41" s="155" t="str">
        <x:v>T073</x:v>
      </x:c>
      <x:c r="H41" s="158" t="n">
        <x:v>5</x:v>
      </x:c>
      <x:c r="I41" s="158" t="n">
        <x:v>22</x:v>
      </x:c>
      <x:c r="J41" s="158" t="n">
        <x:v>10</x:v>
      </x:c>
      <x:c r="K41" s="158" t="n">
        <x:v>2</x:v>
      </x:c>
      <x:c r="L41" s="155" t="str">
        <x:v>Informe de PPG, IMU y temperatura</x:v>
      </x:c>
      <x:c r="M41" s="155" t="str">
        <x:v>Datos adquiridos y fallas de contacto identificadas</x:v>
      </x:c>
      <x:c r="N41" s="158" t="n">
        <x:f>SUM(H41:K41)</x:f>
        <x:v>39</x:v>
      </x:c>
      <x:c r="O41" s="155" t="str">
        <x:v>Pulsera de banco montada en T073; no se vuelve a contar el plazo de entrega del proveedor</x:v>
      </x:c>
      <x:c r="P41" s="155" t="str">
        <x:v>Registrar señales de la muñeca</x:v>
      </x:c>
    </x:row>
    <x:row r="42" ht="62" customHeight="1">
      <x:c r="A42" s="155" t="str">
        <x:v>T084</x:v>
      </x:c>
      <x:c r="B42" s="155" t="str">
        <x:v>Aplicación</x:v>
      </x:c>
      <x:c r="C42" s="155" t="str">
        <x:v>Verificar adquisición conjunta</x:v>
      </x:c>
      <x:c r="D42" s="155" t="n">
        <x:v>4</x:v>
      </x:c>
      <x:c r="E42" s="155" t="n">
        <x:v>8</x:v>
      </x:c>
      <x:c r="F42" s="155" t="str">
        <x:v>Ing. software</x:v>
      </x:c>
      <x:c r="G42" s="155" t="str">
        <x:v>T074</x:v>
      </x:c>
      <x:c r="H42" s="158" t="n">
        <x:v>38</x:v>
      </x:c>
      <x:c r="I42" s="158" t="n">
        <x:v>3</x:v>
      </x:c>
      <x:c r="J42" s="158" t="n">
        <x:v>8</x:v>
      </x:c>
      <x:c r="K42" s="158" t="n">
        <x:v>1</x:v>
      </x:c>
      <x:c r="L42" s="155" t="str">
        <x:v>Reporte de recepción</x:v>
      </x:c>
      <x:c r="M42" s="155" t="str">
        <x:v>Ambos dispositivos entregan registros con unidades y fecha correctas</x:v>
      </x:c>
      <x:c r="N42" s="158" t="n">
        <x:f>SUM(H42:K42)</x:f>
        <x:v>50</x:v>
      </x:c>
      <x:c r="O42" s="155" t="str">
        <x:v>Equipos de banco disponibles; si se demora su recepción se reprograma la prueba conjunta</x:v>
      </x:c>
      <x:c r="P42" s="155" t="str">
        <x:v>Consultar el historial y el lector activo</x:v>
      </x:c>
    </x:row>
    <x:row r="43" ht="62" customHeight="1">
      <x:c r="A43" s="155" t="str">
        <x:v>X08</x:v>
      </x:c>
      <x:c r="B43" s="155" t="str">
        <x:v>Transversal</x:v>
      </x:c>
      <x:c r="C43" s="155" t="str">
        <x:v>Controlar recepción y versiones</x:v>
      </x:c>
      <x:c r="D43" s="155" t="n">
        <x:v>4</x:v>
      </x:c>
      <x:c r="E43" s="155" t="n">
        <x:v>8</x:v>
      </x:c>
      <x:c r="F43" s="155" t="str">
        <x:v>Ing. embebidos; coordinación QA</x:v>
      </x:c>
      <x:c r="G43" s="155" t="str">
        <x:v>X07</x:v>
      </x:c>
      <x:c r="H43" s="158" t="n">
        <x:v>16</x:v>
      </x:c>
      <x:c r="I43" s="158" t="n">
        <x:v>16</x:v>
      </x:c>
      <x:c r="J43" s="158" t="n">
        <x:v>16</x:v>
      </x:c>
      <x:c r="K43" s="158" t="n">
        <x:v>16</x:v>
      </x:c>
      <x:c r="L43" s="155" t="str">
        <x:v>Actas de recepción</x:v>
      </x:c>
      <x:c r="M43" s="155" t="str">
        <x:v>Cantidades, faltantes y versiones registrados</x:v>
      </x:c>
      <x:c r="N43" s="158" t="n">
        <x:f>SUM(H43:K43)</x:f>
        <x:v>64</x:v>
      </x:c>
      <x:c r="O43" s="155" t="str"/>
      <x:c r="P43" s="155" t="str">
        <x:v>Coordinar recursos y suministros</x:v>
      </x:c>
    </x:row>
    <x:row r="44" ht="62" customHeight="1">
      <x:c r="A44" s="155" t="str">
        <x:v>A09</x:v>
      </x:c>
      <x:c r="B44" s="155" t="str">
        <x:v>Aplicación</x:v>
      </x:c>
      <x:c r="C44" s="155" t="str">
        <x:v>Implementar activación del kit y configuración inicial</x:v>
      </x:c>
      <x:c r="D44" s="155" t="n">
        <x:v>5</x:v>
      </x:c>
      <x:c r="E44" s="155" t="n">
        <x:v>9</x:v>
      </x:c>
      <x:c r="F44" s="155" t="str">
        <x:v>Ingeniería de software</x:v>
      </x:c>
      <x:c r="G44" s="155" t="str">
        <x:v>A07, T074</x:v>
      </x:c>
      <x:c r="H44" s="158" t="n">
        <x:v>24</x:v>
      </x:c>
      <x:c r="I44" s="158" t="n">
        <x:v>3</x:v>
      </x:c>
      <x:c r="J44" s="158" t="n">
        <x:v>6</x:v>
      </x:c>
      <x:c r="K44" s="158" t="n">
        <x:v>0</x:v>
      </x:c>
      <x:c r="L44" s="155" t="str">
        <x:v>Alta de series y configuración BLE</x:v>
      </x:c>
      <x:c r="M44" s="155" t="str">
        <x:v>Serial más código de activación o prueba de posesión; vincular ambos lectores y pulsera; rechazar serie ya vinculada</x:v>
      </x:c>
      <x:c r="N44" s="158" t="n">
        <x:f>SUM(H44:K44)</x:f>
        <x:v>33</x:v>
      </x:c>
      <x:c r="O44" s="155" t="str">
        <x:v>Registro de series suministrado por fabricación</x:v>
      </x:c>
      <x:c r="P44" s="155" t="str">
        <x:v>Activar y configurar mi kit</x:v>
      </x:c>
    </x:row>
    <x:row r="45" ht="62" customHeight="1">
      <x:c r="A45" s="155" t="str">
        <x:v>T091</x:v>
      </x:c>
      <x:c r="B45" s="155" t="str">
        <x:v>Parche descartable</x:v>
      </x:c>
      <x:c r="C45" s="155" t="str">
        <x:v>Medir curvas de respuesta</x:v>
      </x:c>
      <x:c r="D45" s="155" t="n">
        <x:v>5</x:v>
      </x:c>
      <x:c r="E45" s="155" t="n">
        <x:v>9</x:v>
      </x:c>
      <x:c r="F45" s="155" t="str">
        <x:v>Técnico laboratorio</x:v>
      </x:c>
      <x:c r="G45" s="155" t="str">
        <x:v>T081</x:v>
      </x:c>
      <x:c r="H45" s="158" t="n">
        <x:v>2.1</x:v>
      </x:c>
      <x:c r="I45" s="158" t="n">
        <x:v>3.3</x:v>
      </x:c>
      <x:c r="J45" s="158" t="n">
        <x:v>8.8</x:v>
      </x:c>
      <x:c r="K45" s="158" t="n">
        <x:v>41.9</x:v>
      </x:c>
      <x:c r="L45" s="155" t="str">
        <x:v>Curvas por analito y concentración</x:v>
      </x:c>
      <x:c r="M45" s="155" t="str">
        <x:v>Controles y repetición conforme al plan analítico</x:v>
      </x:c>
      <x:c r="N45" s="158" t="n">
        <x:f>SUM(H45:K45)</x:f>
        <x:v>56.1</x:v>
      </x:c>
      <x:c r="O45" s="155" t="str"/>
      <x:c r="P45" s="155" t="str">
        <x:v>Obtener lecturas consistentes</x:v>
      </x:c>
    </x:row>
    <x:row r="46" ht="62" customHeight="1">
      <x:c r="A46" s="155" t="str">
        <x:v>T092</x:v>
      </x:c>
      <x:c r="B46" s="155" t="str">
        <x:v>Lector reutilizable</x:v>
      </x:c>
      <x:c r="C46" s="155" t="str">
        <x:v>Implementar adquisición y calibración</x:v>
      </x:c>
      <x:c r="D46" s="155" t="n">
        <x:v>5</x:v>
      </x:c>
      <x:c r="E46" s="155" t="n">
        <x:v>9</x:v>
      </x:c>
      <x:c r="F46" s="155" t="str">
        <x:v>Ing. embebidos</x:v>
      </x:c>
      <x:c r="G46" s="155" t="str">
        <x:v>T082</x:v>
      </x:c>
      <x:c r="H46" s="158" t="n">
        <x:v>6.6</x:v>
      </x:c>
      <x:c r="I46" s="158" t="n">
        <x:v>27.5</x:v>
      </x:c>
      <x:c r="J46" s="158" t="n">
        <x:v>7.7</x:v>
      </x:c>
      <x:c r="K46" s="158" t="n">
        <x:v>3.3</x:v>
      </x:c>
      <x:c r="L46" s="155" t="str">
        <x:v>Firmware de lectura del parche</x:v>
      </x:c>
      <x:c r="M46" s="155" t="str">
        <x:v>Registro procesado cada dos minutos con calidad y unidad</x:v>
      </x:c>
      <x:c r="N46" s="158" t="n">
        <x:f>SUM(H46:K46)</x:f>
        <x:v>45.1</x:v>
      </x:c>
      <x:c r="O46" s="155" t="str"/>
      <x:c r="P46" s="155" t="str">
        <x:v>Medir biomarcadores con el lector</x:v>
      </x:c>
    </x:row>
    <x:row r="47" ht="62" customHeight="1">
      <x:c r="A47" s="155" t="str">
        <x:v>T093</x:v>
      </x:c>
      <x:c r="B47" s="155" t="str">
        <x:v>Pulsera</x:v>
      </x:c>
      <x:c r="C47" s="155" t="str">
        <x:v>Implementar filtrado y resúmenes</x:v>
      </x:c>
      <x:c r="D47" s="155" t="n">
        <x:v>5</x:v>
      </x:c>
      <x:c r="E47" s="155" t="n">
        <x:v>9</x:v>
      </x:c>
      <x:c r="F47" s="155" t="str">
        <x:v>Ing. embebidos</x:v>
      </x:c>
      <x:c r="G47" s="155" t="str">
        <x:v>T083</x:v>
      </x:c>
      <x:c r="H47" s="158" t="n">
        <x:v>5.5</x:v>
      </x:c>
      <x:c r="I47" s="158" t="n">
        <x:v>24.2</x:v>
      </x:c>
      <x:c r="J47" s="158" t="n">
        <x:v>11</x:v>
      </x:c>
      <x:c r="K47" s="158" t="n">
        <x:v>2.2</x:v>
      </x:c>
      <x:c r="L47" s="155" t="str">
        <x:v>Firmware de señales fisiológicas</x:v>
      </x:c>
      <x:c r="M47" s="155" t="str">
        <x:v>Registros procesados con fecha y calidad cada dos minutos</x:v>
      </x:c>
      <x:c r="N47" s="158" t="n">
        <x:f>SUM(H47:K47)</x:f>
        <x:v>42.900000000000006</x:v>
      </x:c>
      <x:c r="O47" s="155" t="str"/>
      <x:c r="P47" s="155" t="str">
        <x:v>Registrar señales de la muñeca</x:v>
      </x:c>
    </x:row>
    <x:row r="48" ht="62" customHeight="1">
      <x:c r="A48" s="155" t="str">
        <x:v>T094</x:v>
      </x:c>
      <x:c r="B48" s="155" t="str">
        <x:v>Aplicación</x:v>
      </x:c>
      <x:c r="C48" s="155" t="str">
        <x:v>Implementar historial y lector activo</x:v>
      </x:c>
      <x:c r="D48" s="155" t="n">
        <x:v>5</x:v>
      </x:c>
      <x:c r="E48" s="155" t="n">
        <x:v>9</x:v>
      </x:c>
      <x:c r="F48" s="155" t="str">
        <x:v>Ing. software</x:v>
      </x:c>
      <x:c r="G48" s="155" t="str">
        <x:v>T084</x:v>
      </x:c>
      <x:c r="H48" s="158" t="n">
        <x:v>41.8</x:v>
      </x:c>
      <x:c r="I48" s="158" t="n">
        <x:v>3.3</x:v>
      </x:c>
      <x:c r="J48" s="158" t="n">
        <x:v>8.8</x:v>
      </x:c>
      <x:c r="K48" s="158" t="n">
        <x:v>1.1</x:v>
      </x:c>
      <x:c r="L48" s="155" t="str">
        <x:v>Versión con alternancia</x:v>
      </x:c>
      <x:c r="M48" s="155" t="str">
        <x:v>Cambio de lector confirmado y origen de datos conservado</x:v>
      </x:c>
      <x:c r="N48" s="158" t="n">
        <x:f>SUM(H48:K48)</x:f>
        <x:v>54.99999999999999</x:v>
      </x:c>
      <x:c r="O48" s="155" t="str"/>
      <x:c r="P48" s="155" t="str">
        <x:v>Consultar el historial y el lector activo</x:v>
      </x:c>
    </x:row>
    <x:row r="49" ht="62" customHeight="1">
      <x:c r="A49" s="155" t="str">
        <x:v>X09</x:v>
      </x:c>
      <x:c r="B49" s="155" t="str">
        <x:v>Transversal</x:v>
      </x:c>
      <x:c r="C49" s="155" t="str">
        <x:v>Preparar centro, ética y expediente</x:v>
      </x:c>
      <x:c r="D49" s="155" t="n">
        <x:v>5</x:v>
      </x:c>
      <x:c r="E49" s="155" t="n">
        <x:v>9</x:v>
      </x:c>
      <x:c r="F49" s="155" t="str">
        <x:v>Ing. embebidos; coordinación QA</x:v>
      </x:c>
      <x:c r="G49" s="155" t="str">
        <x:v>X08</x:v>
      </x:c>
      <x:c r="H49" s="158" t="n">
        <x:v>0</x:v>
      </x:c>
      <x:c r="I49" s="158" t="n">
        <x:v>16</x:v>
      </x:c>
      <x:c r="J49" s="158" t="n">
        <x:v>24</x:v>
      </x:c>
      <x:c r="K49" s="158" t="n">
        <x:v>24</x:v>
      </x:c>
      <x:c r="L49" s="155" t="str">
        <x:v>Borrador de presentación</x:v>
      </x:c>
      <x:c r="M49" s="155" t="str">
        <x:v>Responsables y documentación requerida identificados</x:v>
      </x:c>
      <x:c r="N49" s="158" t="n">
        <x:f>SUM(H49:K49)</x:f>
        <x:v>64</x:v>
      </x:c>
      <x:c r="O49" s="155" t="str"/>
      <x:c r="P49" s="155" t="str">
        <x:v>Gestionar evaluaciones y autorizaciones</x:v>
      </x:c>
    </x:row>
    <x:row r="50" ht="62" customHeight="1">
      <x:c r="A50" s="155" t="str">
        <x:v>T101</x:v>
      </x:c>
      <x:c r="B50" s="155" t="str">
        <x:v>Parche descartable</x:v>
      </x:c>
      <x:c r="C50" s="155" t="str">
        <x:v>Evaluar selectividad e interferencias</x:v>
      </x:c>
      <x:c r="D50" s="155" t="n">
        <x:v>5</x:v>
      </x:c>
      <x:c r="E50" s="155" t="n">
        <x:v>10</x:v>
      </x:c>
      <x:c r="F50" s="155" t="str">
        <x:v>Técnico laboratorio</x:v>
      </x:c>
      <x:c r="G50" s="155" t="str">
        <x:v>T091</x:v>
      </x:c>
      <x:c r="H50" s="158" t="n">
        <x:v>1.7</x:v>
      </x:c>
      <x:c r="I50" s="158" t="n">
        <x:v>2.55</x:v>
      </x:c>
      <x:c r="J50" s="158" t="n">
        <x:v>6.8</x:v>
      </x:c>
      <x:c r="K50" s="158" t="n">
        <x:v>32.3</x:v>
      </x:c>
      <x:c r="L50" s="155" t="str">
        <x:v>Matriz de interferencias</x:v>
      </x:c>
      <x:c r="M50" s="155" t="str">
        <x:v>Se informa el error por interferente y su efecto sobre calidad</x:v>
      </x:c>
      <x:c r="N50" s="158" t="n">
        <x:f>SUM(H50:K50)</x:f>
        <x:v>43.349999999999994</x:v>
      </x:c>
      <x:c r="O50" s="155" t="str"/>
      <x:c r="P50" s="155" t="str">
        <x:v>Obtener lecturas consistentes</x:v>
      </x:c>
    </x:row>
    <x:row r="51" ht="62" customHeight="1">
      <x:c r="A51" s="155" t="str">
        <x:v>T102</x:v>
      </x:c>
      <x:c r="B51" s="155" t="str">
        <x:v>Lector reutilizable</x:v>
      </x:c>
      <x:c r="C51" s="155" t="str">
        <x:v>Verificar calidad y marcas temporales</x:v>
      </x:c>
      <x:c r="D51" s="155" t="n">
        <x:v>5</x:v>
      </x:c>
      <x:c r="E51" s="155" t="n">
        <x:v>10</x:v>
      </x:c>
      <x:c r="F51" s="155" t="str">
        <x:v>Ing. embebidos</x:v>
      </x:c>
      <x:c r="G51" s="155" t="str">
        <x:v>T092</x:v>
      </x:c>
      <x:c r="H51" s="158" t="n">
        <x:v>5.1</x:v>
      </x:c>
      <x:c r="I51" s="158" t="n">
        <x:v>21.25</x:v>
      </x:c>
      <x:c r="J51" s="158" t="n">
        <x:v>5.95</x:v>
      </x:c>
      <x:c r="K51" s="158" t="n">
        <x:v>2.55</x:v>
      </x:c>
      <x:c r="L51" s="155" t="str">
        <x:v>Reporte de datos conocidos</x:v>
      </x:c>
      <x:c r="M51" s="155" t="str">
        <x:v>Resultados inválidos identificados; fechas ordenadas</x:v>
      </x:c>
      <x:c r="N51" s="158" t="n">
        <x:f>SUM(H51:K51)</x:f>
        <x:v>34.85</x:v>
      </x:c>
      <x:c r="O51" s="155" t="str"/>
      <x:c r="P51" s="155" t="str">
        <x:v>Conocer la calidad de la lectura</x:v>
      </x:c>
    </x:row>
    <x:row r="52" ht="62" customHeight="1">
      <x:c r="A52" s="155" t="str">
        <x:v>T103</x:v>
      </x:c>
      <x:c r="B52" s="155" t="str">
        <x:v>Pulsera</x:v>
      </x:c>
      <x:c r="C52" s="155" t="str">
        <x:v>Implementar gesto de consulta</x:v>
      </x:c>
      <x:c r="D52" s="155" t="n">
        <x:v>5</x:v>
      </x:c>
      <x:c r="E52" s="155" t="n">
        <x:v>10</x:v>
      </x:c>
      <x:c r="F52" s="155" t="str">
        <x:v>Ing. embebidos</x:v>
      </x:c>
      <x:c r="G52" s="155" t="str">
        <x:v>T093</x:v>
      </x:c>
      <x:c r="H52" s="158" t="n">
        <x:v>4.25</x:v>
      </x:c>
      <x:c r="I52" s="158" t="n">
        <x:v>18.7</x:v>
      </x:c>
      <x:c r="J52" s="158" t="n">
        <x:v>8.5</x:v>
      </x:c>
      <x:c r="K52" s="158" t="n">
        <x:v>1.7</x:v>
      </x:c>
      <x:c r="L52" s="155" t="str">
        <x:v>Firmware y prueba de gesto</x:v>
      </x:c>
      <x:c r="M52" s="155" t="str">
        <x:v>Activa LED tres segundos y vuelve al reposo; gesto deliberado de giro rápido de muñeca, ajustado para evitar activaciones involuntarias</x:v>
      </x:c>
      <x:c r="N52" s="158" t="n">
        <x:f>SUM(H52:K52)</x:f>
        <x:v>33.15</x:v>
      </x:c>
      <x:c r="O52" s="155" t="str"/>
      <x:c r="P52" s="155" t="str">
        <x:v>Consultar el indicador por gesto</x:v>
      </x:c>
    </x:row>
    <x:row r="53" ht="62" customHeight="1">
      <x:c r="A53" s="155" t="str">
        <x:v>T104</x:v>
      </x:c>
      <x:c r="B53" s="155" t="str">
        <x:v>Aplicación</x:v>
      </x:c>
      <x:c r="C53" s="155" t="str">
        <x:v>Mostrar calidad y contexto faltante</x:v>
      </x:c>
      <x:c r="D53" s="155" t="n">
        <x:v>5</x:v>
      </x:c>
      <x:c r="E53" s="155" t="n">
        <x:v>10</x:v>
      </x:c>
      <x:c r="F53" s="155" t="str">
        <x:v>Ing. software</x:v>
      </x:c>
      <x:c r="G53" s="155" t="str">
        <x:v>T094</x:v>
      </x:c>
      <x:c r="H53" s="158" t="n">
        <x:v>32.3</x:v>
      </x:c>
      <x:c r="I53" s="158" t="n">
        <x:v>2.55</x:v>
      </x:c>
      <x:c r="J53" s="158" t="n">
        <x:v>6.8</x:v>
      </x:c>
      <x:c r="K53" s="158" t="n">
        <x:v>0.85</x:v>
      </x:c>
      <x:c r="L53" s="155" t="str">
        <x:v>Pantallas de calidad</x:v>
      </x:c>
      <x:c r="M53" s="155" t="str">
        <x:v>Carga de pulsera y datos inválidos no se muestran como normalidad</x:v>
      </x:c>
      <x:c r="N53" s="158" t="n">
        <x:f>SUM(H53:K53)</x:f>
        <x:v>42.49999999999999</x:v>
      </x:c>
      <x:c r="O53" s="155" t="str"/>
      <x:c r="P53" s="155" t="str">
        <x:v>Reconocer datos y contexto faltantes</x:v>
      </x:c>
    </x:row>
    <x:row r="54" ht="62" customHeight="1">
      <x:c r="A54" s="155" t="str">
        <x:v>X10</x:v>
      </x:c>
      <x:c r="B54" s="155" t="str">
        <x:v>Transversal</x:v>
      </x:c>
      <x:c r="C54" s="155" t="str">
        <x:v>Revisar seguridad antes de integración</x:v>
      </x:c>
      <x:c r="D54" s="155" t="n">
        <x:v>5</x:v>
      </x:c>
      <x:c r="E54" s="155" t="n">
        <x:v>10</x:v>
      </x:c>
      <x:c r="F54" s="155" t="str">
        <x:v>Ing. embebidos; coordinación QA</x:v>
      </x:c>
      <x:c r="G54" s="155" t="str">
        <x:v>X09</x:v>
      </x:c>
      <x:c r="H54" s="158" t="n">
        <x:v>16</x:v>
      </x:c>
      <x:c r="I54" s="158" t="n">
        <x:v>16</x:v>
      </x:c>
      <x:c r="J54" s="158" t="n">
        <x:v>16</x:v>
      </x:c>
      <x:c r="K54" s="158" t="n">
        <x:v>16</x:v>
      </x:c>
      <x:c r="L54" s="155" t="str">
        <x:v>Registro de riesgos técnicos</x:v>
      </x:c>
      <x:c r="M54" s="155" t="str">
        <x:v>Fallas que impiden integrar identificadas</x:v>
      </x:c>
      <x:c r="N54" s="158" t="n">
        <x:f>SUM(H54:K54)</x:f>
        <x:v>64</x:v>
      </x:c>
      <x:c r="O54" s="155" t="str"/>
      <x:c r="P54" s="155" t="str">
        <x:v>Coordinar recursos y suministros</x:v>
      </x:c>
    </x:row>
    <x:row r="55" ht="62" customHeight="1">
      <x:c r="A55" s="155" t="str">
        <x:v>T111</x:v>
      </x:c>
      <x:c r="B55" s="155" t="str">
        <x:v>Parche descartable</x:v>
      </x:c>
      <x:c r="C55" s="155" t="str">
        <x:v>Calibrar con referencia del lector</x:v>
      </x:c>
      <x:c r="D55" s="155" t="n">
        <x:v>6</x:v>
      </x:c>
      <x:c r="E55" s="155" t="n">
        <x:v>11</x:v>
      </x:c>
      <x:c r="F55" s="155" t="str">
        <x:v>Técnico laboratorio</x:v>
      </x:c>
      <x:c r="G55" s="155" t="str">
        <x:v>T101</x:v>
      </x:c>
      <x:c r="H55" s="158" t="n">
        <x:v>1.33</x:v>
      </x:c>
      <x:c r="I55" s="158" t="n">
        <x:v>2</x:v>
      </x:c>
      <x:c r="J55" s="158" t="n">
        <x:v>5.33</x:v>
      </x:c>
      <x:c r="K55" s="158" t="n">
        <x:v>25.33</x:v>
      </x:c>
      <x:c r="L55" s="155" t="str">
        <x:v>Coeficientes versionados</x:v>
      </x:c>
      <x:c r="M55" s="155" t="str">
        <x:v>La lectura se reproduce en un conjunto de muestras de control</x:v>
      </x:c>
      <x:c r="N55" s="158" t="n">
        <x:f>SUM(H55:K55)</x:f>
        <x:v>33.989999999999995</x:v>
      </x:c>
      <x:c r="O55" s="155" t="str"/>
      <x:c r="P55" s="155" t="str">
        <x:v>Obtener lecturas consistentes</x:v>
      </x:c>
    </x:row>
    <x:row r="56" ht="62" customHeight="1">
      <x:c r="A56" s="155" t="str">
        <x:v>T112</x:v>
      </x:c>
      <x:c r="B56" s="155" t="str">
        <x:v>Lector reutilizable</x:v>
      </x:c>
      <x:c r="C56" s="155" t="str">
        <x:v>Implementar almacenamiento persistente</x:v>
      </x:c>
      <x:c r="D56" s="155" t="n">
        <x:v>6</x:v>
      </x:c>
      <x:c r="E56" s="155" t="n">
        <x:v>11</x:v>
      </x:c>
      <x:c r="F56" s="155" t="str">
        <x:v>Ing. embebidos</x:v>
      </x:c>
      <x:c r="G56" s="155" t="str">
        <x:v>T102</x:v>
      </x:c>
      <x:c r="H56" s="158" t="n">
        <x:v>4</x:v>
      </x:c>
      <x:c r="I56" s="158" t="n">
        <x:v>16.67</x:v>
      </x:c>
      <x:c r="J56" s="158" t="n">
        <x:v>4.67</x:v>
      </x:c>
      <x:c r="K56" s="158" t="n">
        <x:v>2</x:v>
      </x:c>
      <x:c r="L56" s="155" t="str">
        <x:v>Firmware con buffer de 24 horas</x:v>
      </x:c>
      <x:c r="M56" s="155" t="str">
        <x:v>Retención comprobada tras apagado con datos de prueba; buffer circular: retener hasta necesitar espacio y sobrescribir los más antiguos; identificar pérdidas no sincronizadas</x:v>
      </x:c>
      <x:c r="N56" s="158" t="n">
        <x:f>SUM(H56:K56)</x:f>
        <x:v>27.340000000000003</x:v>
      </x:c>
      <x:c r="O56" s="155" t="str"/>
      <x:c r="P56" s="155" t="str">
        <x:v>Conservar datos sin teléfono</x:v>
      </x:c>
    </x:row>
    <x:row r="57" ht="62" customHeight="1">
      <x:c r="A57" s="155" t="str">
        <x:v>T113</x:v>
      </x:c>
      <x:c r="B57" s="155" t="str">
        <x:v>Pulsera</x:v>
      </x:c>
      <x:c r="C57" s="155" t="str">
        <x:v>Implementar enlace directo BLE</x:v>
      </x:c>
      <x:c r="D57" s="155" t="n">
        <x:v>6</x:v>
      </x:c>
      <x:c r="E57" s="155" t="n">
        <x:v>11</x:v>
      </x:c>
      <x:c r="F57" s="155" t="str">
        <x:v>Ing. embebidos</x:v>
      </x:c>
      <x:c r="G57" s="155" t="str">
        <x:v>T103</x:v>
      </x:c>
      <x:c r="H57" s="158" t="n">
        <x:v>3.33</x:v>
      </x:c>
      <x:c r="I57" s="158" t="n">
        <x:v>14.67</x:v>
      </x:c>
      <x:c r="J57" s="158" t="n">
        <x:v>6.67</x:v>
      </x:c>
      <x:c r="K57" s="158" t="n">
        <x:v>1.33</x:v>
      </x:c>
      <x:c r="L57" s="155" t="str">
        <x:v>Firmware receptor del lector</x:v>
      </x:c>
      <x:c r="M57" s="155" t="str">
        <x:v>Cada lectura válida se recibe sin esperar la sincronización del teléfono</x:v>
      </x:c>
      <x:c r="N57" s="158" t="n">
        <x:f>SUM(H57:K57)</x:f>
        <x:v>26</x:v>
      </x:c>
      <x:c r="O57" s="155" t="str"/>
      <x:c r="P57" s="155" t="str">
        <x:v>Conectar lector, pulsera y teléfono</x:v>
      </x:c>
    </x:row>
    <x:row r="58" ht="62" customHeight="1">
      <x:c r="A58" s="155" t="str">
        <x:v>T114</x:v>
      </x:c>
      <x:c r="B58" s="155" t="str">
        <x:v>Aplicación</x:v>
      </x:c>
      <x:c r="C58" s="155" t="str">
        <x:v>Implementar recuperación de datos</x:v>
      </x:c>
      <x:c r="D58" s="155" t="n">
        <x:v>6</x:v>
      </x:c>
      <x:c r="E58" s="155" t="n">
        <x:v>11</x:v>
      </x:c>
      <x:c r="F58" s="155" t="str">
        <x:v>Ing. software</x:v>
      </x:c>
      <x:c r="G58" s="155" t="str">
        <x:v>T104</x:v>
      </x:c>
      <x:c r="H58" s="158" t="n">
        <x:v>25.33</x:v>
      </x:c>
      <x:c r="I58" s="158" t="n">
        <x:v>2</x:v>
      </x:c>
      <x:c r="J58" s="158" t="n">
        <x:v>5.33</x:v>
      </x:c>
      <x:c r="K58" s="158" t="n">
        <x:v>0.67</x:v>
      </x:c>
      <x:c r="L58" s="155" t="str">
        <x:v>Sincronización persistente</x:v>
      </x:c>
      <x:c r="M58" s="155" t="str">
        <x:v>Procesa bloques atrasados sin duplicados</x:v>
      </x:c>
      <x:c r="N58" s="158" t="n">
        <x:f>SUM(H58:K58)</x:f>
        <x:v>33.33</x:v>
      </x:c>
      <x:c r="O58" s="155" t="str"/>
      <x:c r="P58" s="155" t="str">
        <x:v>Recuperar registros sin duplicados</x:v>
      </x:c>
    </x:row>
    <x:row r="59" ht="62" customHeight="1">
      <x:c r="A59" s="155" t="str">
        <x:v>X11</x:v>
      </x:c>
      <x:c r="B59" s="155" t="str">
        <x:v>Transversal</x:v>
      </x:c>
      <x:c r="C59" s="155" t="str">
        <x:v>Reservar ensayos y gestionar suministros</x:v>
      </x:c>
      <x:c r="D59" s="155" t="n">
        <x:v>6</x:v>
      </x:c>
      <x:c r="E59" s="155" t="n">
        <x:v>11</x:v>
      </x:c>
      <x:c r="F59" s="155" t="str">
        <x:v>Ing. embebidos; coordinación QA</x:v>
      </x:c>
      <x:c r="G59" s="155" t="str">
        <x:v>X10</x:v>
      </x:c>
      <x:c r="H59" s="158" t="n">
        <x:v>10.67</x:v>
      </x:c>
      <x:c r="I59" s="158" t="n">
        <x:v>10.67</x:v>
      </x:c>
      <x:c r="J59" s="158" t="n">
        <x:v>10.67</x:v>
      </x:c>
      <x:c r="K59" s="158" t="n">
        <x:v>10.67</x:v>
      </x:c>
      <x:c r="L59" s="155" t="str">
        <x:v>Agenda de laboratorio</x:v>
      </x:c>
      <x:c r="M59" s="155" t="str">
        <x:v>Fecha estimada y espera externa registradas</x:v>
      </x:c>
      <x:c r="N59" s="158" t="n">
        <x:f>SUM(H59:K59)</x:f>
        <x:v>42.68</x:v>
      </x:c>
      <x:c r="O59" s="155" t="str"/>
      <x:c r="P59" s="155" t="str">
        <x:v>Coordinar recursos y suministros</x:v>
      </x:c>
    </x:row>
    <x:row r="60" ht="62" customHeight="1">
      <x:c r="A60" s="155" t="str">
        <x:v>T121</x:v>
      </x:c>
      <x:c r="B60" s="155" t="str">
        <x:v>Parche descartable</x:v>
      </x:c>
      <x:c r="C60" s="155" t="str">
        <x:v>Ensayar estabilidad y adhesión</x:v>
      </x:c>
      <x:c r="D60" s="155" t="n">
        <x:v>6</x:v>
      </x:c>
      <x:c r="E60" s="155" t="n">
        <x:v>12</x:v>
      </x:c>
      <x:c r="F60" s="155" t="str">
        <x:v>Técnico laboratorio</x:v>
      </x:c>
      <x:c r="G60" s="155" t="str">
        <x:v>T111</x:v>
      </x:c>
      <x:c r="H60" s="158" t="n">
        <x:v>1.47</x:v>
      </x:c>
      <x:c r="I60" s="158" t="n">
        <x:v>2.2</x:v>
      </x:c>
      <x:c r="J60" s="158" t="n">
        <x:v>5.87</x:v>
      </x:c>
      <x:c r="K60" s="158" t="n">
        <x:v>27.87</x:v>
      </x:c>
      <x:c r="L60" s="155" t="str">
        <x:v>Registro de ensayo de siete días</x:v>
      </x:c>
      <x:c r="M60" s="155" t="str">
        <x:v>Se informa desempeño diario y causas de falla o desprendimiento</x:v>
      </x:c>
      <x:c r="N60" s="158" t="n">
        <x:f>SUM(H60:K60)</x:f>
        <x:v>37.41</x:v>
      </x:c>
      <x:c r="O60" s="155" t="str">
        <x:v>Ensayos de banco de siete días y adhesión sobre soporte de prueba. Cualquier actividad con participantes requiere las aprobaciones aplicables</x:v>
      </x:c>
      <x:c r="P60" s="155" t="str">
        <x:v>Usar el parche durante siete días</x:v>
      </x:c>
    </x:row>
    <x:row r="61" ht="62" customHeight="1">
      <x:c r="A61" s="155" t="str">
        <x:v>T122</x:v>
      </x:c>
      <x:c r="B61" s="155" t="str">
        <x:v>Lector reutilizable</x:v>
      </x:c>
      <x:c r="C61" s="155" t="str">
        <x:v>Implementar BLE al teléfono y pulsera</x:v>
      </x:c>
      <x:c r="D61" s="155" t="n">
        <x:v>6</x:v>
      </x:c>
      <x:c r="E61" s="155" t="n">
        <x:v>12</x:v>
      </x:c>
      <x:c r="F61" s="155" t="str">
        <x:v>Ing. embebidos</x:v>
      </x:c>
      <x:c r="G61" s="155" t="str">
        <x:v>T112</x:v>
      </x:c>
      <x:c r="H61" s="158" t="n">
        <x:v>4.4</x:v>
      </x:c>
      <x:c r="I61" s="158" t="n">
        <x:v>18.33</x:v>
      </x:c>
      <x:c r="J61" s="158" t="n">
        <x:v>5.13</x:v>
      </x:c>
      <x:c r="K61" s="158" t="n">
        <x:v>2.2</x:v>
      </x:c>
      <x:c r="L61" s="155" t="str">
        <x:v>Versión con enlaces simultáneos</x:v>
      </x:c>
      <x:c r="M61" s="155" t="str">
        <x:v>Cada lectura válida llega a pulsera; teléfono y pulsera se actualizan nominalmente cada dos minutos</x:v>
      </x:c>
      <x:c r="N61" s="158" t="n">
        <x:f>SUM(H61:K61)</x:f>
        <x:v>30.059999999999995</x:v>
      </x:c>
      <x:c r="O61" s="155" t="str"/>
      <x:c r="P61" s="155" t="str">
        <x:v>Conectar lector, pulsera y teléfono</x:v>
      </x:c>
    </x:row>
    <x:row r="62" ht="62" customHeight="1">
      <x:c r="A62" s="155" t="str">
        <x:v>T123</x:v>
      </x:c>
      <x:c r="B62" s="155" t="str">
        <x:v>Pulsera</x:v>
      </x:c>
      <x:c r="C62" s="155" t="str">
        <x:v>Implementar colores y caducidad</x:v>
      </x:c>
      <x:c r="D62" s="155" t="n">
        <x:v>6</x:v>
      </x:c>
      <x:c r="E62" s="155" t="n">
        <x:v>12</x:v>
      </x:c>
      <x:c r="F62" s="155" t="str">
        <x:v>Ing. embebidos</x:v>
      </x:c>
      <x:c r="G62" s="155" t="str">
        <x:v>T113</x:v>
      </x:c>
      <x:c r="H62" s="158" t="n">
        <x:v>3.67</x:v>
      </x:c>
      <x:c r="I62" s="158" t="n">
        <x:v>16.13</x:v>
      </x:c>
      <x:c r="J62" s="158" t="n">
        <x:v>7.33</x:v>
      </x:c>
      <x:c r="K62" s="158" t="n">
        <x:v>1.47</x:v>
      </x:c>
      <x:c r="L62" s="155" t="str">
        <x:v>Tabla de estados ejecutable</x:v>
      </x:c>
      <x:c r="M62" s="155" t="str">
        <x:v>Verde, amarillo, rojo y doble amarillo responden a casos simulados</x:v>
      </x:c>
      <x:c r="N62" s="158" t="n">
        <x:f>SUM(H62:K62)</x:f>
        <x:v>28.599999999999994</x:v>
      </x:c>
      <x:c r="O62" s="155" t="str"/>
      <x:c r="P62" s="155" t="str">
        <x:v>Distinguir el estado de la lectura</x:v>
      </x:c>
    </x:row>
    <x:row r="63" ht="62" customHeight="1">
      <x:c r="A63" s="155" t="str">
        <x:v>T124</x:v>
      </x:c>
      <x:c r="B63" s="155" t="str">
        <x:v>Aplicación</x:v>
      </x:c>
      <x:c r="C63" s="155" t="str">
        <x:v>Probar apagados y reconexiones</x:v>
      </x:c>
      <x:c r="D63" s="155" t="n">
        <x:v>6</x:v>
      </x:c>
      <x:c r="E63" s="155" t="n">
        <x:v>12</x:v>
      </x:c>
      <x:c r="F63" s="155" t="str">
        <x:v>Ing. software</x:v>
      </x:c>
      <x:c r="G63" s="155" t="str">
        <x:v>T114</x:v>
      </x:c>
      <x:c r="H63" s="158" t="n">
        <x:v>27.87</x:v>
      </x:c>
      <x:c r="I63" s="158" t="n">
        <x:v>2.2</x:v>
      </x:c>
      <x:c r="J63" s="158" t="n">
        <x:v>5.87</x:v>
      </x:c>
      <x:c r="K63" s="158" t="n">
        <x:v>0.73</x:v>
      </x:c>
      <x:c r="L63" s="155" t="str">
        <x:v>Reporte de fallas de conexión</x:v>
      </x:c>
      <x:c r="M63" s="155" t="str">
        <x:v>Retoma sincronización sin perder datos dentro de la capacidad</x:v>
      </x:c>
      <x:c r="N63" s="158" t="n">
        <x:f>SUM(H63:K63)</x:f>
        <x:v>36.669999999999995</x:v>
      </x:c>
      <x:c r="O63" s="155" t="str"/>
      <x:c r="P63" s="155" t="str">
        <x:v>Recuperar registros sin duplicados</x:v>
      </x:c>
    </x:row>
    <x:row r="64" ht="62" customHeight="1">
      <x:c r="A64" s="155" t="str">
        <x:v>X12</x:v>
      </x:c>
      <x:c r="B64" s="155" t="str">
        <x:v>Transversal</x:v>
      </x:c>
      <x:c r="C64" s="155" t="str">
        <x:v>Coordinar lote de diez kits de ensayo</x:v>
      </x:c>
      <x:c r="D64" s="155" t="n">
        <x:v>6</x:v>
      </x:c>
      <x:c r="E64" s="155" t="n">
        <x:v>12</x:v>
      </x:c>
      <x:c r="F64" s="155" t="str">
        <x:v>Ing. embebidos; coordinación QA</x:v>
      </x:c>
      <x:c r="G64" s="155" t="str">
        <x:v>X11</x:v>
      </x:c>
      <x:c r="H64" s="158" t="n">
        <x:v>10.67</x:v>
      </x:c>
      <x:c r="I64" s="158" t="n">
        <x:v>10.67</x:v>
      </x:c>
      <x:c r="J64" s="158" t="n">
        <x:v>10.67</x:v>
      </x:c>
      <x:c r="K64" s="158" t="n">
        <x:v>10.67</x:v>
      </x:c>
      <x:c r="L64" s="155" t="str">
        <x:v>Inventario experimental</x:v>
      </x:c>
      <x:c r="M64" s="155" t="str">
        <x:v>Separado de 100 kits comerciales; uso dentro del presupuesto</x:v>
      </x:c>
      <x:c r="N64" s="158" t="n">
        <x:f>SUM(H64:K64)</x:f>
        <x:v>42.68</x:v>
      </x:c>
      <x:c r="O64" s="155" t="str"/>
      <x:c r="P64" s="155" t="str">
        <x:v>Coordinar recursos y suministros</x:v>
      </x:c>
    </x:row>
    <x:row r="65" ht="62" customHeight="1">
      <x:c r="A65" s="155" t="str">
        <x:v>T131</x:v>
      </x:c>
      <x:c r="B65" s="155" t="str">
        <x:v>Parche descartable</x:v>
      </x:c>
      <x:c r="C65" s="155" t="str">
        <x:v>Liberar muestras del prototipo</x:v>
      </x:c>
      <x:c r="D65" s="155" t="n">
        <x:v>6</x:v>
      </x:c>
      <x:c r="E65" s="155" t="n">
        <x:v>13</x:v>
      </x:c>
      <x:c r="F65" s="155" t="str">
        <x:v>Técnico laboratorio</x:v>
      </x:c>
      <x:c r="G65" s="155" t="str">
        <x:v>T121</x:v>
      </x:c>
      <x:c r="H65" s="158" t="n">
        <x:v>1.13</x:v>
      </x:c>
      <x:c r="I65" s="158" t="n">
        <x:v>1.7</x:v>
      </x:c>
      <x:c r="J65" s="158" t="n">
        <x:v>4.53</x:v>
      </x:c>
      <x:c r="K65" s="158" t="n">
        <x:v>21.53</x:v>
      </x:c>
      <x:c r="L65" s="155" t="str">
        <x:v>Lote de integración y reporte</x:v>
      </x:c>
      <x:c r="M65" s="155" t="str">
        <x:v>Muestras trazables; no se usan resultados fuera del rango verificado</x:v>
      </x:c>
      <x:c r="N65" s="158" t="n">
        <x:f>SUM(H65:K65)</x:f>
        <x:v>28.89</x:v>
      </x:c>
      <x:c r="O65" s="155" t="str"/>
      <x:c r="P65" s="155" t="str">
        <x:v>Demostrar el prototipo de parche</x:v>
      </x:c>
    </x:row>
    <x:row r="66" ht="62" customHeight="1">
      <x:c r="A66" s="155" t="str">
        <x:v>T132</x:v>
      </x:c>
      <x:c r="B66" s="155" t="str">
        <x:v>Lector reutilizable</x:v>
      </x:c>
      <x:c r="C66" s="155" t="str">
        <x:v>Ensayar reconexión del lector</x:v>
      </x:c>
      <x:c r="D66" s="155" t="n">
        <x:v>6</x:v>
      </x:c>
      <x:c r="E66" s="155" t="n">
        <x:v>13</x:v>
      </x:c>
      <x:c r="F66" s="155" t="str">
        <x:v>Ing. embebidos</x:v>
      </x:c>
      <x:c r="G66" s="155" t="str">
        <x:v>T122</x:v>
      </x:c>
      <x:c r="H66" s="158" t="n">
        <x:v>3.4</x:v>
      </x:c>
      <x:c r="I66" s="158" t="n">
        <x:v>14.17</x:v>
      </x:c>
      <x:c r="J66" s="158" t="n">
        <x:v>3.97</x:v>
      </x:c>
      <x:c r="K66" s="158" t="n">
        <x:v>1.7</x:v>
      </x:c>
      <x:c r="L66" s="155" t="str">
        <x:v>Reporte de recuperación</x:v>
      </x:c>
      <x:c r="M66" s="155" t="str">
        <x:v>Recupera 24 horas sin duplicados ni pérdida dentro de capacidad</x:v>
      </x:c>
      <x:c r="N66" s="158" t="n">
        <x:f>SUM(H66:K66)</x:f>
        <x:v>23.24</x:v>
      </x:c>
      <x:c r="O66" s="155" t="str"/>
      <x:c r="P66" s="155" t="str">
        <x:v>Conectar lector, pulsera y teléfono</x:v>
      </x:c>
    </x:row>
    <x:row r="67" ht="62" customHeight="1">
      <x:c r="A67" s="155" t="str">
        <x:v>T133</x:v>
      </x:c>
      <x:c r="B67" s="155" t="str">
        <x:v>Pulsera</x:v>
      </x:c>
      <x:c r="C67" s="155" t="str">
        <x:v>Ensayar enlaces simultáneos</x:v>
      </x:c>
      <x:c r="D67" s="155" t="n">
        <x:v>6</x:v>
      </x:c>
      <x:c r="E67" s="155" t="n">
        <x:v>13</x:v>
      </x:c>
      <x:c r="F67" s="155" t="str">
        <x:v>Ing. embebidos</x:v>
      </x:c>
      <x:c r="G67" s="155" t="str">
        <x:v>T123</x:v>
      </x:c>
      <x:c r="H67" s="158" t="n">
        <x:v>2.83</x:v>
      </x:c>
      <x:c r="I67" s="158" t="n">
        <x:v>12.47</x:v>
      </x:c>
      <x:c r="J67" s="158" t="n">
        <x:v>5.67</x:v>
      </x:c>
      <x:c r="K67" s="158" t="n">
        <x:v>1.13</x:v>
      </x:c>
      <x:c r="L67" s="155" t="str">
        <x:v>Informe BLE de pulsera</x:v>
      </x:c>
      <x:c r="M67" s="155" t="str">
        <x:v>Recibe lector, sincroniza teléfono y conserva registros al desconectar</x:v>
      </x:c>
      <x:c r="N67" s="158" t="n">
        <x:f>SUM(H67:K67)</x:f>
        <x:v>22.099999999999998</x:v>
      </x:c>
      <x:c r="O67" s="155" t="str"/>
      <x:c r="P67" s="155" t="str">
        <x:v>Conectar lector, pulsera y teléfono</x:v>
      </x:c>
    </x:row>
    <x:row r="68" ht="62" customHeight="1">
      <x:c r="A68" s="155" t="str">
        <x:v>T134</x:v>
      </x:c>
      <x:c r="B68" s="155" t="str">
        <x:v>Aplicación</x:v>
      </x:c>
      <x:c r="C68" s="155" t="str">
        <x:v>Preparar integración de los cuatro productos</x:v>
      </x:c>
      <x:c r="D68" s="155" t="n">
        <x:v>6</x:v>
      </x:c>
      <x:c r="E68" s="155" t="n">
        <x:v>13</x:v>
      </x:c>
      <x:c r="F68" s="155" t="str">
        <x:v>Ing. software</x:v>
      </x:c>
      <x:c r="G68" s="155" t="str">
        <x:v>T124, A09</x:v>
      </x:c>
      <x:c r="H68" s="158" t="n">
        <x:v>21.53</x:v>
      </x:c>
      <x:c r="I68" s="158" t="n">
        <x:v>1.7</x:v>
      </x:c>
      <x:c r="J68" s="158" t="n">
        <x:v>4.53</x:v>
      </x:c>
      <x:c r="K68" s="158" t="n">
        <x:v>0.57</x:v>
      </x:c>
      <x:c r="L68" s="155" t="str">
        <x:v>Versión integrada candidata</x:v>
      </x:c>
      <x:c r="M68" s="155" t="str">
        <x:v>Contrato BLE coincide con ambos firmwares</x:v>
      </x:c>
      <x:c r="N68" s="158" t="n">
        <x:f>SUM(H68:K68)</x:f>
        <x:v>28.330000000000002</x:v>
      </x:c>
      <x:c r="O68" s="155" t="str"/>
      <x:c r="P68" s="155" t="str">
        <x:v>Demostrar la aplicación integrada</x:v>
      </x:c>
    </x:row>
    <x:row r="69" ht="62" customHeight="1">
      <x:c r="A69" s="155" t="str">
        <x:v>X13</x:v>
      </x:c>
      <x:c r="B69" s="155" t="str">
        <x:v>Transversal</x:v>
      </x:c>
      <x:c r="C69" s="155" t="str">
        <x:v>Aceptar subsistemas al cierre del mes 6</x:v>
      </x:c>
      <x:c r="D69" s="155" t="n">
        <x:v>6</x:v>
      </x:c>
      <x:c r="E69" s="155" t="n">
        <x:v>13</x:v>
      </x:c>
      <x:c r="F69" s="155" t="str">
        <x:v>Ing. embebidos; coordinación QA</x:v>
      </x:c>
      <x:c r="G69" s="155" t="str">
        <x:v>X12, T121, T122, T123, T124</x:v>
      </x:c>
      <x:c r="H69" s="158" t="n">
        <x:v>10.67</x:v>
      </x:c>
      <x:c r="I69" s="158" t="n">
        <x:v>10.67</x:v>
      </x:c>
      <x:c r="J69" s="158" t="n">
        <x:v>10.67</x:v>
      </x:c>
      <x:c r="K69" s="158" t="n">
        <x:v>10.67</x:v>
      </x:c>
      <x:c r="L69" s="155" t="str">
        <x:v>Acta de revisión</x:v>
      </x:c>
      <x:c r="M69" s="155" t="str">
        <x:v>Pruebas individuales disponibles para integrar</x:v>
      </x:c>
      <x:c r="N69" s="158" t="n">
        <x:f>SUM(H69:K69)</x:f>
        <x:v>42.68</x:v>
      </x:c>
      <x:c r="O69" s="155" t="str"/>
      <x:c r="P69" s="155" t="str">
        <x:v>Revisar las entregas integradas</x:v>
      </x:c>
    </x:row>
    <x:row r="70" ht="62" customHeight="1">
      <x:c r="A70" s="155" t="str">
        <x:v>T141</x:v>
      </x:c>
      <x:c r="B70" s="155" t="str">
        <x:v>Parche descartable</x:v>
      </x:c>
      <x:c r="C70" s="155" t="str">
        <x:v>Integrar parche con lector y aplicación</x:v>
      </x:c>
      <x:c r="D70" s="155" t="n">
        <x:v>7</x:v>
      </x:c>
      <x:c r="E70" s="155" t="n">
        <x:v>14</x:v>
      </x:c>
      <x:c r="F70" s="155" t="str">
        <x:v>Técnico laboratorio</x:v>
      </x:c>
      <x:c r="G70" s="155" t="str">
        <x:v>T131, T132, T133, T134, X13</x:v>
      </x:c>
      <x:c r="H70" s="158" t="n">
        <x:v>2</x:v>
      </x:c>
      <x:c r="I70" s="158" t="n">
        <x:v>3</x:v>
      </x:c>
      <x:c r="J70" s="158" t="n">
        <x:v>8</x:v>
      </x:c>
      <x:c r="K70" s="158" t="n">
        <x:v>38</x:v>
      </x:c>
      <x:c r="L70" s="155" t="str">
        <x:v>Registro de señal de extremo a extremo</x:v>
      </x:c>
      <x:c r="M70" s="155" t="str">
        <x:v>Identificación de lote y calibración aparecen en el historial</x:v>
      </x:c>
      <x:c r="N70" s="158" t="n">
        <x:f>SUM(H70:K70)</x:f>
        <x:v>51</x:v>
      </x:c>
      <x:c r="O70" s="155" t="str"/>
      <x:c r="P70" s="155" t="str">
        <x:v>Demostrar el prototipo de parche</x:v>
      </x:c>
    </x:row>
    <x:row r="71" ht="62" customHeight="1">
      <x:c r="A71" s="155" t="str">
        <x:v>T142</x:v>
      </x:c>
      <x:c r="B71" s="155" t="str">
        <x:v>Lector reutilizable</x:v>
      </x:c>
      <x:c r="C71" s="155" t="str">
        <x:v>Integrar lector con los otros componentes</x:v>
      </x:c>
      <x:c r="D71" s="155" t="n">
        <x:v>7</x:v>
      </x:c>
      <x:c r="E71" s="155" t="n">
        <x:v>14</x:v>
      </x:c>
      <x:c r="F71" s="155" t="str">
        <x:v>Ing. embebidos</x:v>
      </x:c>
      <x:c r="G71" s="155" t="str">
        <x:v>T131, T132, T133, T134, X13</x:v>
      </x:c>
      <x:c r="H71" s="158" t="n">
        <x:v>6</x:v>
      </x:c>
      <x:c r="I71" s="158" t="n">
        <x:v>25</x:v>
      </x:c>
      <x:c r="J71" s="158" t="n">
        <x:v>7</x:v>
      </x:c>
      <x:c r="K71" s="158" t="n">
        <x:v>3</x:v>
      </x:c>
      <x:c r="L71" s="155" t="str">
        <x:v>Firmware y ensamblaje del prototipo</x:v>
      </x:c>
      <x:c r="M71" s="155" t="str">
        <x:v>Parche, pulsera y app utilizan el mismo contrato de datos</x:v>
      </x:c>
      <x:c r="N71" s="158" t="n">
        <x:f>SUM(H71:K71)</x:f>
        <x:v>41</x:v>
      </x:c>
      <x:c r="O71" s="155" t="str"/>
      <x:c r="P71" s="155" t="str">
        <x:v>Demostrar el prototipo de lector</x:v>
      </x:c>
    </x:row>
    <x:row r="72" ht="62" customHeight="1">
      <x:c r="A72" s="155" t="str">
        <x:v>T143</x:v>
      </x:c>
      <x:c r="B72" s="155" t="str">
        <x:v>Pulsera</x:v>
      </x:c>
      <x:c r="C72" s="155" t="str">
        <x:v>Integrar pulsera en el prototipo</x:v>
      </x:c>
      <x:c r="D72" s="155" t="n">
        <x:v>7</x:v>
      </x:c>
      <x:c r="E72" s="155" t="n">
        <x:v>14</x:v>
      </x:c>
      <x:c r="F72" s="155" t="str">
        <x:v>Ing. embebidos</x:v>
      </x:c>
      <x:c r="G72" s="155" t="str">
        <x:v>T131, T132, T133, T134, X13</x:v>
      </x:c>
      <x:c r="H72" s="158" t="n">
        <x:v>5</x:v>
      </x:c>
      <x:c r="I72" s="158" t="n">
        <x:v>22</x:v>
      </x:c>
      <x:c r="J72" s="158" t="n">
        <x:v>10</x:v>
      </x:c>
      <x:c r="K72" s="158" t="n">
        <x:v>2</x:v>
      </x:c>
      <x:c r="L72" s="155" t="str">
        <x:v>Firmware integrado</x:v>
      </x:c>
      <x:c r="M72" s="155" t="str">
        <x:v>Versión y lector activo compatibles con la aplicación</x:v>
      </x:c>
      <x:c r="N72" s="158" t="n">
        <x:f>SUM(H72:K72)</x:f>
        <x:v>39</x:v>
      </x:c>
      <x:c r="O72" s="155" t="str"/>
      <x:c r="P72" s="155" t="str">
        <x:v>Demostrar el prototipo de pulsera</x:v>
      </x:c>
    </x:row>
    <x:row r="73" ht="62" customHeight="1">
      <x:c r="A73" s="155" t="str">
        <x:v>T144</x:v>
      </x:c>
      <x:c r="B73" s="155" t="str">
        <x:v>Aplicación</x:v>
      </x:c>
      <x:c r="C73" s="155" t="str">
        <x:v>Integrar mediciones reales del prototipo</x:v>
      </x:c>
      <x:c r="D73" s="155" t="n">
        <x:v>7</x:v>
      </x:c>
      <x:c r="E73" s="155" t="n">
        <x:v>14</x:v>
      </x:c>
      <x:c r="F73" s="155" t="str">
        <x:v>Ing. software</x:v>
      </x:c>
      <x:c r="G73" s="155" t="str">
        <x:v>T131, T132, T133, T134, X13</x:v>
      </x:c>
      <x:c r="H73" s="158" t="n">
        <x:v>38</x:v>
      </x:c>
      <x:c r="I73" s="158" t="n">
        <x:v>3</x:v>
      </x:c>
      <x:c r="J73" s="158" t="n">
        <x:v>8</x:v>
      </x:c>
      <x:c r="K73" s="158" t="n">
        <x:v>1</x:v>
      </x:c>
      <x:c r="L73" s="155" t="str">
        <x:v>Demostración de extremo a extremo</x:v>
      </x:c>
      <x:c r="M73" s="155" t="str">
        <x:v>Lectura del parche llega a pulsera y al historial</x:v>
      </x:c>
      <x:c r="N73" s="158" t="n">
        <x:f>SUM(H73:K73)</x:f>
        <x:v>50</x:v>
      </x:c>
      <x:c r="O73" s="155" t="str"/>
      <x:c r="P73" s="155" t="str">
        <x:v>Demostrar la aplicación integrada</x:v>
      </x:c>
    </x:row>
    <x:row r="74" ht="62" customHeight="1">
      <x:c r="A74" s="155" t="str">
        <x:v>X14</x:v>
      </x:c>
      <x:c r="B74" s="155" t="str">
        <x:v>Transversal</x:v>
      </x:c>
      <x:c r="C74" s="155" t="str">
        <x:v>Coordinar integración del prototipo</x:v>
      </x:c>
      <x:c r="D74" s="155" t="n">
        <x:v>7</x:v>
      </x:c>
      <x:c r="E74" s="155" t="n">
        <x:v>14</x:v>
      </x:c>
      <x:c r="F74" s="155" t="str">
        <x:v>Ing. embebidos; coordinación QA</x:v>
      </x:c>
      <x:c r="G74" s="155" t="str">
        <x:v>X13</x:v>
      </x:c>
      <x:c r="H74" s="158" t="n">
        <x:v>16</x:v>
      </x:c>
      <x:c r="I74" s="158" t="n">
        <x:v>16</x:v>
      </x:c>
      <x:c r="J74" s="158" t="n">
        <x:v>16</x:v>
      </x:c>
      <x:c r="K74" s="158" t="n">
        <x:v>16</x:v>
      </x:c>
      <x:c r="L74" s="155" t="str">
        <x:v>Acta y lista de desvíos</x:v>
      </x:c>
      <x:c r="M74" s="155" t="str">
        <x:v>Versiones compatibles y evidencia de los cuatro frentes</x:v>
      </x:c>
      <x:c r="N74" s="158" t="n">
        <x:f>SUM(H74:K74)</x:f>
        <x:v>64</x:v>
      </x:c>
      <x:c r="O74" s="155" t="str"/>
      <x:c r="P74" s="155" t="str">
        <x:v>Revisar las entregas integradas</x:v>
      </x:c>
    </x:row>
    <x:row r="75" ht="62" customHeight="1">
      <x:c r="A75" s="155" t="str">
        <x:v>T151</x:v>
      </x:c>
      <x:c r="B75" s="155" t="str">
        <x:v>Parche descartable</x:v>
      </x:c>
      <x:c r="C75" s="155" t="str">
        <x:v>Repetir medición del prototipo</x:v>
      </x:c>
      <x:c r="D75" s="155" t="n">
        <x:v>7</x:v>
      </x:c>
      <x:c r="E75" s="155" t="n">
        <x:v>15</x:v>
      </x:c>
      <x:c r="F75" s="155" t="str">
        <x:v>Técnico laboratorio</x:v>
      </x:c>
      <x:c r="G75" s="155" t="str">
        <x:v>T141</x:v>
      </x:c>
      <x:c r="H75" s="158" t="n">
        <x:v>2.2</x:v>
      </x:c>
      <x:c r="I75" s="158" t="n">
        <x:v>3.3</x:v>
      </x:c>
      <x:c r="J75" s="158" t="n">
        <x:v>8.8</x:v>
      </x:c>
      <x:c r="K75" s="158" t="n">
        <x:v>41.8</x:v>
      </x:c>
      <x:c r="L75" s="155" t="str">
        <x:v>Informe de repetibilidad del conjunto</x:v>
      </x:c>
      <x:c r="M75" s="155" t="str">
        <x:v>Desvíos comparados con criterios fijados y acciones asignadas</x:v>
      </x:c>
      <x:c r="N75" s="158" t="n">
        <x:f>SUM(H75:K75)</x:f>
        <x:v>56.099999999999994</x:v>
      </x:c>
      <x:c r="O75" s="155" t="str"/>
      <x:c r="P75" s="155" t="str">
        <x:v>Demostrar el prototipo de parche</x:v>
      </x:c>
    </x:row>
    <x:row r="76" ht="62" customHeight="1">
      <x:c r="A76" s="155" t="str">
        <x:v>T152</x:v>
      </x:c>
      <x:c r="B76" s="155" t="str">
        <x:v>Lector reutilizable</x:v>
      </x:c>
      <x:c r="C76" s="155" t="str">
        <x:v>Demostrar alternancia en el prototipo</x:v>
      </x:c>
      <x:c r="D76" s="155" t="n">
        <x:v>7</x:v>
      </x:c>
      <x:c r="E76" s="155" t="n">
        <x:v>15</x:v>
      </x:c>
      <x:c r="F76" s="155" t="str">
        <x:v>Ing. embebidos</x:v>
      </x:c>
      <x:c r="G76" s="155" t="str">
        <x:v>T142</x:v>
      </x:c>
      <x:c r="H76" s="158" t="n">
        <x:v>6.6</x:v>
      </x:c>
      <x:c r="I76" s="158" t="n">
        <x:v>27.5</x:v>
      </x:c>
      <x:c r="J76" s="158" t="n">
        <x:v>7.7</x:v>
      </x:c>
      <x:c r="K76" s="158" t="n">
        <x:v>3.3</x:v>
      </x:c>
      <x:c r="L76" s="155" t="str">
        <x:v>Registro de cambio entre lectores</x:v>
      </x:c>
      <x:c r="M76" s="155" t="str">
        <x:v>Se identifica el lector activo y no se crean lecturas ficticias durante el cambio; la indicación visual del intervalo depende del diseño de la interfaz</x:v>
      </x:c>
      <x:c r="N76" s="158" t="n">
        <x:f>SUM(H76:K76)</x:f>
        <x:v>45.1</x:v>
      </x:c>
      <x:c r="O76" s="155" t="str"/>
      <x:c r="P76" s="155" t="str">
        <x:v>Demostrar el prototipo de lector</x:v>
      </x:c>
    </x:row>
    <x:row r="77" ht="62" customHeight="1">
      <x:c r="A77" s="155" t="str">
        <x:v>T153</x:v>
      </x:c>
      <x:c r="B77" s="155" t="str">
        <x:v>Pulsera</x:v>
      </x:c>
      <x:c r="C77" s="155" t="str">
        <x:v>Demostrar alertas y ausencia de datos</x:v>
      </x:c>
      <x:c r="D77" s="155" t="n">
        <x:v>7</x:v>
      </x:c>
      <x:c r="E77" s="155" t="n">
        <x:v>15</x:v>
      </x:c>
      <x:c r="F77" s="155" t="str">
        <x:v>Ing. embebidos</x:v>
      </x:c>
      <x:c r="G77" s="155" t="str">
        <x:v>T143</x:v>
      </x:c>
      <x:c r="H77" s="158" t="n">
        <x:v>5.5</x:v>
      </x:c>
      <x:c r="I77" s="158" t="n">
        <x:v>24.2</x:v>
      </x:c>
      <x:c r="J77" s="158" t="n">
        <x:v>11</x:v>
      </x:c>
      <x:c r="K77" s="158" t="n">
        <x:v>2.2</x:v>
      </x:c>
      <x:c r="L77" s="155" t="str">
        <x:v>Reporte del prototipo</x:v>
      </x:c>
      <x:c r="M77" s="155" t="str">
        <x:v>Rojo deja de repetirse al vencer; ausencia nunca aparece verde</x:v>
      </x:c>
      <x:c r="N77" s="158" t="n">
        <x:f>SUM(H77:K77)</x:f>
        <x:v>42.900000000000006</x:v>
      </x:c>
      <x:c r="O77" s="155" t="str"/>
      <x:c r="P77" s="155" t="str">
        <x:v>Demostrar el prototipo de pulsera</x:v>
      </x:c>
    </x:row>
    <x:row r="78" ht="62" customHeight="1">
      <x:c r="A78" s="155" t="str">
        <x:v>T154</x:v>
      </x:c>
      <x:c r="B78" s="155" t="str">
        <x:v>Aplicación</x:v>
      </x:c>
      <x:c r="C78" s="155" t="str">
        <x:v>Cerrar prueba del prototipo</x:v>
      </x:c>
      <x:c r="D78" s="155" t="n">
        <x:v>7</x:v>
      </x:c>
      <x:c r="E78" s="155" t="n">
        <x:v>15</x:v>
      </x:c>
      <x:c r="F78" s="155" t="str">
        <x:v>Ing. software</x:v>
      </x:c>
      <x:c r="G78" s="155" t="str">
        <x:v>T144</x:v>
      </x:c>
      <x:c r="H78" s="158" t="n">
        <x:v>41.8</x:v>
      </x:c>
      <x:c r="I78" s="158" t="n">
        <x:v>3.3</x:v>
      </x:c>
      <x:c r="J78" s="158" t="n">
        <x:v>8.8</x:v>
      </x:c>
      <x:c r="K78" s="158" t="n">
        <x:v>1.1</x:v>
      </x:c>
      <x:c r="L78" s="155" t="str">
        <x:v>Informe de integración</x:v>
      </x:c>
      <x:c r="M78" s="155" t="str">
        <x:v>Recambio, desconexión y estados quedan demostrados con evidencia</x:v>
      </x:c>
      <x:c r="N78" s="158" t="n">
        <x:f>SUM(H78:K78)</x:f>
        <x:v>54.99999999999999</x:v>
      </x:c>
      <x:c r="O78" s="155" t="str"/>
      <x:c r="P78" s="155" t="str">
        <x:v>Demostrar la aplicación integrada</x:v>
      </x:c>
    </x:row>
    <x:row r="79" ht="62" customHeight="1">
      <x:c r="A79" s="155" t="str">
        <x:v>X15</x:v>
      </x:c>
      <x:c r="B79" s="155" t="str">
        <x:v>Transversal</x:v>
      </x:c>
      <x:c r="C79" s="155" t="str">
        <x:v>Revisar aptitud del prototipo y expediente</x:v>
      </x:c>
      <x:c r="D79" s="155" t="n">
        <x:v>7</x:v>
      </x:c>
      <x:c r="E79" s="155" t="n">
        <x:v>15</x:v>
      </x:c>
      <x:c r="F79" s="155" t="str">
        <x:v>Ing. embebidos; coordinación QA</x:v>
      </x:c>
      <x:c r="G79" s="155" t="str">
        <x:v>X14, T141, T142, T143, T144</x:v>
      </x:c>
      <x:c r="H79" s="158" t="n">
        <x:v>16</x:v>
      </x:c>
      <x:c r="I79" s="158" t="n">
        <x:v>16</x:v>
      </x:c>
      <x:c r="J79" s="158" t="n">
        <x:v>16</x:v>
      </x:c>
      <x:c r="K79" s="158" t="n">
        <x:v>16</x:v>
      </x:c>
      <x:c r="L79" s="155" t="str">
        <x:v>Acta del hito mes 7</x:v>
      </x:c>
      <x:c r="M79" s="155" t="str">
        <x:v>Aptitud técnica revisada; no autoriza por sí misma uso en personas</x:v>
      </x:c>
      <x:c r="N79" s="158" t="n">
        <x:f>SUM(H79:K79)</x:f>
        <x:v>64</x:v>
      </x:c>
      <x:c r="O79" s="155" t="str"/>
      <x:c r="P79" s="155" t="str">
        <x:v>Gestionar evaluaciones y autorizaciones</x:v>
      </x:c>
    </x:row>
    <x:row r="80" ht="62" customHeight="1">
      <x:c r="A80" s="155" t="str">
        <x:v>T161</x:v>
      </x:c>
      <x:c r="B80" s="155" t="str">
        <x:v>Parche descartable</x:v>
      </x:c>
      <x:c r="C80" s="155" t="str">
        <x:v>Medir variación entre lotes</x:v>
      </x:c>
      <x:c r="D80" s="155" t="n">
        <x:v>8</x:v>
      </x:c>
      <x:c r="E80" s="155" t="n">
        <x:v>16</x:v>
      </x:c>
      <x:c r="F80" s="155" t="str">
        <x:v>Técnico laboratorio</x:v>
      </x:c>
      <x:c r="G80" s="155" t="str">
        <x:v>T151, T152, T153, T154, X15</x:v>
      </x:c>
      <x:c r="H80" s="158" t="n">
        <x:v>1.7</x:v>
      </x:c>
      <x:c r="I80" s="158" t="n">
        <x:v>2.55</x:v>
      </x:c>
      <x:c r="J80" s="158" t="n">
        <x:v>6.8</x:v>
      </x:c>
      <x:c r="K80" s="158" t="n">
        <x:v>32.3</x:v>
      </x:c>
      <x:c r="L80" s="155" t="str">
        <x:v>Comparación de lotes experimentales</x:v>
      </x:c>
      <x:c r="M80" s="155" t="str">
        <x:v>Se cuantifica dispersión y se proponen límites de recepción</x:v>
      </x:c>
      <x:c r="N80" s="158" t="n">
        <x:f>SUM(H80:K80)</x:f>
        <x:v>43.349999999999994</x:v>
      </x:c>
      <x:c r="O80" s="155" t="str"/>
      <x:c r="P80" s="155" t="str">
        <x:v>Completar el parche del MVP</x:v>
      </x:c>
    </x:row>
    <x:row r="81" ht="62" customHeight="1">
      <x:c r="A81" s="155" t="str">
        <x:v>T162</x:v>
      </x:c>
      <x:c r="B81" s="155" t="str">
        <x:v>Lector reutilizable</x:v>
      </x:c>
      <x:c r="C81" s="155" t="str">
        <x:v>Medir carga, temperatura y consumo</x:v>
      </x:c>
      <x:c r="D81" s="155" t="n">
        <x:v>8</x:v>
      </x:c>
      <x:c r="E81" s="155" t="n">
        <x:v>16</x:v>
      </x:c>
      <x:c r="F81" s="155" t="str">
        <x:v>Ing. embebidos</x:v>
      </x:c>
      <x:c r="G81" s="155" t="str">
        <x:v>T151, T152, T153, T154, X15</x:v>
      </x:c>
      <x:c r="H81" s="158" t="n">
        <x:v>5.1</x:v>
      </x:c>
      <x:c r="I81" s="158" t="n">
        <x:v>21.25</x:v>
      </x:c>
      <x:c r="J81" s="158" t="n">
        <x:v>5.95</x:v>
      </x:c>
      <x:c r="K81" s="158" t="n">
        <x:v>2.55</x:v>
      </x:c>
      <x:c r="L81" s="155" t="str">
        <x:v>Curvas de corriente y carga</x:v>
      </x:c>
      <x:c r="M81" s="155" t="str">
        <x:v>Corriente compatible con celda; duración y temperatura registradas</x:v>
      </x:c>
      <x:c r="N81" s="158" t="n">
        <x:f>SUM(H81:K81)</x:f>
        <x:v>34.85</x:v>
      </x:c>
      <x:c r="O81" s="155" t="str"/>
      <x:c r="P81" s="155" t="str">
        <x:v>Recargar y usar el lector siete días</x:v>
      </x:c>
    </x:row>
    <x:row r="82" ht="62" customHeight="1">
      <x:c r="A82" s="155" t="str">
        <x:v>T163</x:v>
      </x:c>
      <x:c r="B82" s="155" t="str">
        <x:v>Pulsera</x:v>
      </x:c>
      <x:c r="C82" s="155" t="str">
        <x:v>Medir consumo y carga</x:v>
      </x:c>
      <x:c r="D82" s="155" t="n">
        <x:v>8</x:v>
      </x:c>
      <x:c r="E82" s="155" t="n">
        <x:v>16</x:v>
      </x:c>
      <x:c r="F82" s="155" t="str">
        <x:v>Ing. embebidos</x:v>
      </x:c>
      <x:c r="G82" s="155" t="str">
        <x:v>T151, T152, T153, T154, X15</x:v>
      </x:c>
      <x:c r="H82" s="158" t="n">
        <x:v>4.25</x:v>
      </x:c>
      <x:c r="I82" s="158" t="n">
        <x:v>18.7</x:v>
      </x:c>
      <x:c r="J82" s="158" t="n">
        <x:v>8.5</x:v>
      </x:c>
      <x:c r="K82" s="158" t="n">
        <x:v>1.7</x:v>
      </x:c>
      <x:c r="L82" s="155" t="str">
        <x:v>Curvas de energía y temperatura</x:v>
      </x:c>
      <x:c r="M82" s="155" t="str">
        <x:v>LED a 1 mA evaluado; carga compatible con la celda</x:v>
      </x:c>
      <x:c r="N82" s="158" t="n">
        <x:f>SUM(H82:K82)</x:f>
        <x:v>33.15</x:v>
      </x:c>
      <x:c r="O82" s="155" t="str"/>
      <x:c r="P82" s="155" t="str">
        <x:v>Recargar y usar la pulsera siete días</x:v>
      </x:c>
    </x:row>
    <x:row r="83" ht="62" customHeight="1">
      <x:c r="A83" s="155" t="str">
        <x:v>T164</x:v>
      </x:c>
      <x:c r="B83" s="155" t="str">
        <x:v>Aplicación</x:v>
      </x:c>
      <x:c r="C83" s="155" t="str">
        <x:v>Desarrollar modelo de corto plazo</x:v>
      </x:c>
      <x:c r="D83" s="155" t="n">
        <x:v>8</x:v>
      </x:c>
      <x:c r="E83" s="155" t="n">
        <x:v>16</x:v>
      </x:c>
      <x:c r="F83" s="155" t="str">
        <x:v>Ing. software</x:v>
      </x:c>
      <x:c r="G83" s="155" t="str">
        <x:v>T151, T152, T153, T154, X15, X06</x:v>
      </x:c>
      <x:c r="H83" s="158" t="n">
        <x:v>32.3</x:v>
      </x:c>
      <x:c r="I83" s="158" t="n">
        <x:v>2.55</x:v>
      </x:c>
      <x:c r="J83" s="158" t="n">
        <x:v>6.8</x:v>
      </x:c>
      <x:c r="K83" s="158" t="n">
        <x:v>0.85</x:v>
      </x:c>
      <x:c r="L83" s="155" t="str">
        <x:v>Modelo experimental 30 a 60 minutos</x:v>
      </x:c>
      <x:c r="M83" s="155" t="str">
        <x:v>Conjunto de entrenamiento separado de evaluación</x:v>
      </x:c>
      <x:c r="N83" s="158" t="n">
        <x:f>SUM(H83:K83)</x:f>
        <x:v>42.49999999999999</x:v>
      </x:c>
      <x:c r="O83" s="155" t="str"/>
      <x:c r="P83" s="155" t="str">
        <x:v>Consultar una predicción a corto plazo</x:v>
      </x:c>
    </x:row>
    <x:row r="84" ht="62" customHeight="1">
      <x:c r="A84" s="155" t="str">
        <x:v>X16</x:v>
      </x:c>
      <x:c r="B84" s="155" t="str">
        <x:v>Transversal</x:v>
      </x:c>
      <x:c r="C84" s="155" t="str">
        <x:v>Presentar documentación de investigación</x:v>
      </x:c>
      <x:c r="D84" s="155" t="n">
        <x:v>8</x:v>
      </x:c>
      <x:c r="E84" s="155" t="n">
        <x:v>16</x:v>
      </x:c>
      <x:c r="F84" s="155" t="str">
        <x:v>Ing. embebidos; coordinación QA</x:v>
      </x:c>
      <x:c r="G84" s="155" t="str">
        <x:v>X15</x:v>
      </x:c>
      <x:c r="H84" s="158" t="n">
        <x:v>16</x:v>
      </x:c>
      <x:c r="I84" s="158" t="n">
        <x:v>16</x:v>
      </x:c>
      <x:c r="J84" s="158" t="n">
        <x:v>16</x:v>
      </x:c>
      <x:c r="K84" s="158" t="n">
        <x:v>16</x:v>
      </x:c>
      <x:c r="L84" s="155" t="str">
        <x:v>Constancias de presentación</x:v>
      </x:c>
      <x:c r="M84" s="155" t="str">
        <x:v>Comité de ética, centro y ANMAT según encuadre</x:v>
      </x:c>
      <x:c r="N84" s="158" t="n">
        <x:f>SUM(H84:K84)</x:f>
        <x:v>64</x:v>
      </x:c>
      <x:c r="O84" s="155" t="str">
        <x:v>Resolución de ética/ANMAT/centro: ventana M8–12 estimada; no plazo garantizado</x:v>
      </x:c>
      <x:c r="P84" s="155" t="str">
        <x:v>Gestionar evaluaciones y autorizaciones</x:v>
      </x:c>
    </x:row>
    <x:row r="85" ht="62" customHeight="1">
      <x:c r="A85" s="155" t="str">
        <x:v>A17</x:v>
      </x:c>
      <x:c r="B85" s="155" t="str">
        <x:v>Aplicación</x:v>
      </x:c>
      <x:c r="C85" s="155" t="str">
        <x:v>Probar recuperación, transferencia y alta sin duplicados</x:v>
      </x:c>
      <x:c r="D85" s="155" t="n">
        <x:v>8</x:v>
      </x:c>
      <x:c r="E85" s="155" t="n">
        <x:v>17</x:v>
      </x:c>
      <x:c r="F85" s="155" t="str">
        <x:v>Ingeniería de software</x:v>
      </x:c>
      <x:c r="G85" s="155" t="str">
        <x:v>A09, T154</x:v>
      </x:c>
      <x:c r="H85" s="158" t="n">
        <x:v>12</x:v>
      </x:c>
      <x:c r="I85" s="158" t="n">
        <x:v>0</x:v>
      </x:c>
      <x:c r="J85" s="158" t="n">
        <x:v>6</x:v>
      </x:c>
      <x:c r="K85" s="158" t="n">
        <x:v>0</x:v>
      </x:c>
      <x:c r="L85" s="155" t="str">
        <x:v>Pruebas de cuenta y propiedad</x:v>
      </x:c>
      <x:c r="M85" s="155" t="str">
        <x:v>Recuperar acceso, revocar asociación anterior y conservar historial sin duplicados ni acceso ajeno</x:v>
      </x:c>
      <x:c r="N85" s="158" t="n">
        <x:f>SUM(H85:K85)</x:f>
        <x:v>18</x:v>
      </x:c>
      <x:c r="O85" s="155" t="str">
        <x:v>Cuenta y kit de prueba</x:v>
      </x:c>
      <x:c r="P85" s="155" t="str">
        <x:v>Crear y recuperar mi cuenta</x:v>
      </x:c>
    </x:row>
    <x:row r="86" ht="62" customHeight="1">
      <x:c r="A86" s="155" t="str">
        <x:v>T171</x:v>
      </x:c>
      <x:c r="B86" s="155" t="str">
        <x:v>Parche descartable</x:v>
      </x:c>
      <x:c r="C86" s="155" t="str">
        <x:v>Actualizar control de fabricación</x:v>
      </x:c>
      <x:c r="D86" s="155" t="n">
        <x:v>8</x:v>
      </x:c>
      <x:c r="E86" s="155" t="n">
        <x:v>17</x:v>
      </x:c>
      <x:c r="F86" s="155" t="str">
        <x:v>Técnico laboratorio</x:v>
      </x:c>
      <x:c r="G86" s="155" t="str">
        <x:v>T161</x:v>
      </x:c>
      <x:c r="H86" s="158" t="n">
        <x:v>2</x:v>
      </x:c>
      <x:c r="I86" s="158" t="n">
        <x:v>3</x:v>
      </x:c>
      <x:c r="J86" s="158" t="n">
        <x:v>8</x:v>
      </x:c>
      <x:c r="K86" s="158" t="n">
        <x:v>38</x:v>
      </x:c>
      <x:c r="L86" s="155" t="str">
        <x:v>Instrucción de proceso y control</x:v>
      </x:c>
      <x:c r="M86" s="155" t="str">
        <x:v>Etapas, controles y rechazo trazables a resultados de lotes</x:v>
      </x:c>
      <x:c r="N86" s="158" t="n">
        <x:f>SUM(H86:K86)</x:f>
        <x:v>51</x:v>
      </x:c>
      <x:c r="O86" s="155" t="str"/>
      <x:c r="P86" s="155" t="str">
        <x:v>Completar el parche del MVP</x:v>
      </x:c>
    </x:row>
    <x:row r="87" ht="62" customHeight="1">
      <x:c r="A87" s="155" t="str">
        <x:v>T172</x:v>
      </x:c>
      <x:c r="B87" s="155" t="str">
        <x:v>Lector reutilizable</x:v>
      </x:c>
      <x:c r="C87" s="155" t="str">
        <x:v>Ensayar autonomía y retención</x:v>
      </x:c>
      <x:c r="D87" s="155" t="n">
        <x:v>8</x:v>
      </x:c>
      <x:c r="E87" s="155" t="n">
        <x:v>17</x:v>
      </x:c>
      <x:c r="F87" s="155" t="str">
        <x:v>Ing. embebidos</x:v>
      </x:c>
      <x:c r="G87" s="155" t="str">
        <x:v>T162</x:v>
      </x:c>
      <x:c r="H87" s="158" t="n">
        <x:v>6</x:v>
      </x:c>
      <x:c r="I87" s="158" t="n">
        <x:v>25</x:v>
      </x:c>
      <x:c r="J87" s="158" t="n">
        <x:v>7</x:v>
      </x:c>
      <x:c r="K87" s="158" t="n">
        <x:v>3</x:v>
      </x:c>
      <x:c r="L87" s="155" t="str">
        <x:v>Informe de descarga y memoria</x:v>
      </x:c>
      <x:c r="M87" s="155" t="str">
        <x:v>Se contrasta objetivo de 168 horas con ambos enlaces activos; medir consumo real con adquisición y ambos enlaces cada dos minutos, sin tratar presupuestos teóricos como resultados</x:v>
      </x:c>
      <x:c r="N87" s="158" t="n">
        <x:f>SUM(H87:K87)</x:f>
        <x:v>41</x:v>
      </x:c>
      <x:c r="O87" s="155" t="str"/>
      <x:c r="P87" s="155" t="str">
        <x:v>Recargar y usar el lector siete días</x:v>
      </x:c>
    </x:row>
    <x:row r="88" ht="62" customHeight="1">
      <x:c r="A88" s="155" t="str">
        <x:v>T173</x:v>
      </x:c>
      <x:c r="B88" s="155" t="str">
        <x:v>Pulsera</x:v>
      </x:c>
      <x:c r="C88" s="155" t="str">
        <x:v>Ensayar autonomía con LED y BLE</x:v>
      </x:c>
      <x:c r="D88" s="155" t="n">
        <x:v>8</x:v>
      </x:c>
      <x:c r="E88" s="155" t="n">
        <x:v>17</x:v>
      </x:c>
      <x:c r="F88" s="155" t="str">
        <x:v>Ing. embebidos</x:v>
      </x:c>
      <x:c r="G88" s="155" t="str">
        <x:v>T163</x:v>
      </x:c>
      <x:c r="H88" s="158" t="n">
        <x:v>5</x:v>
      </x:c>
      <x:c r="I88" s="158" t="n">
        <x:v>22</x:v>
      </x:c>
      <x:c r="J88" s="158" t="n">
        <x:v>10</x:v>
      </x:c>
      <x:c r="K88" s="158" t="n">
        <x:v>2</x:v>
      </x:c>
      <x:c r="L88" s="155" t="str">
        <x:v>Informe de descarga</x:v>
      </x:c>
      <x:c r="M88" s="155" t="str">
        <x:v>Se contrasta objetivo de 168 horas en perfil nominal; medir consumo real con adquisición y ambos enlaces cada dos minutos, sin tratar presupuestos teóricos como resultados</x:v>
      </x:c>
      <x:c r="N88" s="158" t="n">
        <x:f>SUM(H88:K88)</x:f>
        <x:v>39</x:v>
      </x:c>
      <x:c r="O88" s="155" t="str"/>
      <x:c r="P88" s="155" t="str">
        <x:v>Recargar y usar la pulsera siete días</x:v>
      </x:c>
    </x:row>
    <x:row r="89" ht="62" customHeight="1">
      <x:c r="A89" s="155" t="str">
        <x:v>T174</x:v>
      </x:c>
      <x:c r="B89" s="155" t="str">
        <x:v>Aplicación</x:v>
      </x:c>
      <x:c r="C89" s="155" t="str">
        <x:v>Evaluar horizonte extendido y factores</x:v>
      </x:c>
      <x:c r="D89" s="155" t="n">
        <x:v>8</x:v>
      </x:c>
      <x:c r="E89" s="155" t="n">
        <x:v>17</x:v>
      </x:c>
      <x:c r="F89" s="155" t="str">
        <x:v>Ing. software</x:v>
      </x:c>
      <x:c r="G89" s="155" t="str">
        <x:v>T164</x:v>
      </x:c>
      <x:c r="H89" s="158" t="n">
        <x:v>38</x:v>
      </x:c>
      <x:c r="I89" s="158" t="n">
        <x:v>3</x:v>
      </x:c>
      <x:c r="J89" s="158" t="n">
        <x:v>8</x:v>
      </x:c>
      <x:c r="K89" s="158" t="n">
        <x:v>1</x:v>
      </x:c>
      <x:c r="L89" s="155" t="str">
        <x:v>Reporte separado de modelos</x:v>
      </x:c>
      <x:c r="M89" s="155" t="str">
        <x:v>Se informan referencias, error e incertidumbre por salida</x:v>
      </x:c>
      <x:c r="N89" s="158" t="n">
        <x:f>SUM(H89:K89)</x:f>
        <x:v>50</x:v>
      </x:c>
      <x:c r="O89" s="155" t="str"/>
      <x:c r="P89" s="155" t="str">
        <x:v>Consultar tendencias y factores asociados</x:v>
      </x:c>
    </x:row>
    <x:row r="90" ht="62" customHeight="1">
      <x:c r="A90" s="155" t="str">
        <x:v>X17</x:v>
      </x:c>
      <x:c r="B90" s="155" t="str">
        <x:v>Transversal</x:v>
      </x:c>
      <x:c r="C90" s="155" t="str">
        <x:v>Responder observaciones iniciales</x:v>
      </x:c>
      <x:c r="D90" s="155" t="n">
        <x:v>8</x:v>
      </x:c>
      <x:c r="E90" s="155" t="n">
        <x:v>17</x:v>
      </x:c>
      <x:c r="F90" s="155" t="str">
        <x:v>Ing. embebidos; coordinación QA</x:v>
      </x:c>
      <x:c r="G90" s="155" t="str">
        <x:v>X16</x:v>
      </x:c>
      <x:c r="H90" s="158" t="n">
        <x:v>16</x:v>
      </x:c>
      <x:c r="I90" s="158" t="n">
        <x:v>16</x:v>
      </x:c>
      <x:c r="J90" s="158" t="n">
        <x:v>16</x:v>
      </x:c>
      <x:c r="K90" s="158" t="n">
        <x:v>16</x:v>
      </x:c>
      <x:c r="L90" s="155" t="str">
        <x:v>Respuestas y evidencia</x:v>
      </x:c>
      <x:c r="M90" s="155" t="str">
        <x:v>Se conserva trazabilidad entre requerimiento y respuesta</x:v>
      </x:c>
      <x:c r="N90" s="158" t="n">
        <x:f>SUM(H90:K90)</x:f>
        <x:v>64</x:v>
      </x:c>
      <x:c r="O90" s="155" t="str">
        <x:v>Resolución de ética/ANMAT/centro: ventana M8–12 estimada; no plazo garantizado</x:v>
      </x:c>
      <x:c r="P90" s="155" t="str">
        <x:v>Gestionar evaluaciones y autorizaciones</x:v>
      </x:c>
    </x:row>
    <x:row r="91" ht="62" customHeight="1">
      <x:c r="A91" s="155" t="str">
        <x:v>T181</x:v>
      </x:c>
      <x:c r="B91" s="155" t="str">
        <x:v>Parche descartable</x:v>
      </x:c>
      <x:c r="C91" s="155" t="str">
        <x:v>Ensayar sudor, adhesión y recambio</x:v>
      </x:c>
      <x:c r="D91" s="155" t="n">
        <x:v>9</x:v>
      </x:c>
      <x:c r="E91" s="155" t="n">
        <x:v>18</x:v>
      </x:c>
      <x:c r="F91" s="155" t="str">
        <x:v>Técnico laboratorio</x:v>
      </x:c>
      <x:c r="G91" s="155" t="str">
        <x:v>T171</x:v>
      </x:c>
      <x:c r="H91" s="158" t="n">
        <x:v>1.47</x:v>
      </x:c>
      <x:c r="I91" s="158" t="n">
        <x:v>2.2</x:v>
      </x:c>
      <x:c r="J91" s="158" t="n">
        <x:v>5.87</x:v>
      </x:c>
      <x:c r="K91" s="158" t="n">
        <x:v>27.87</x:v>
      </x:c>
      <x:c r="L91" s="155" t="str">
        <x:v>Reporte de uso y retirada</x:v>
      </x:c>
      <x:c r="M91" s="155" t="str">
        <x:v>Se identifican fallas de captación, adhesión o daño al recambiar</x:v>
      </x:c>
      <x:c r="N91" s="158" t="n">
        <x:f>SUM(H91:K91)</x:f>
        <x:v>37.41</x:v>
      </x:c>
      <x:c r="O91" s="155" t="str">
        <x:v>Ensayo de banco de sudor y adhesión. Agenda/informe externo estimados 2–4 semanas desde la reserva; actividad con participantes sujeta a aprobación</x:v>
      </x:c>
      <x:c r="P91" s="155" t="str">
        <x:v>Usar el parche durante siete días</x:v>
      </x:c>
    </x:row>
    <x:row r="92" ht="62" customHeight="1">
      <x:c r="A92" s="155" t="str">
        <x:v>T182</x:v>
      </x:c>
      <x:c r="B92" s="155" t="str">
        <x:v>Lector reutilizable</x:v>
      </x:c>
      <x:c r="C92" s="155" t="str">
        <x:v>Ensayar carcasa y USB-C sellado</x:v>
      </x:c>
      <x:c r="D92" s="155" t="n">
        <x:v>9</x:v>
      </x:c>
      <x:c r="E92" s="155" t="n">
        <x:v>18</x:v>
      </x:c>
      <x:c r="F92" s="155" t="str">
        <x:v>Ing. embebidos</x:v>
      </x:c>
      <x:c r="G92" s="155" t="str">
        <x:v>T172</x:v>
      </x:c>
      <x:c r="H92" s="158" t="n">
        <x:v>4.4</x:v>
      </x:c>
      <x:c r="I92" s="158" t="n">
        <x:v>18.33</x:v>
      </x:c>
      <x:c r="J92" s="158" t="n">
        <x:v>5.13</x:v>
      </x:c>
      <x:c r="K92" s="158" t="n">
        <x:v>2.2</x:v>
      </x:c>
      <x:c r="L92" s="155" t="str">
        <x:v>Informe de preensayo ambiental</x:v>
      </x:c>
      <x:c r="M92" s="155" t="str">
        <x:v>Puerto y uniones probados; ingreso de agua o polvo registrado</x:v>
      </x:c>
      <x:c r="N92" s="158" t="n">
        <x:f>SUM(H92:K92)</x:f>
        <x:v>30.059999999999995</x:v>
      </x:c>
      <x:c r="O92" s="155" t="str">
        <x:v>Laboratorio externo: agenda y emisión estimadas 2–4 semanas; no son horas internas</x:v>
      </x:c>
      <x:c r="P92" s="155" t="str">
        <x:v>Usar equipos protegidos</x:v>
      </x:c>
    </x:row>
    <x:row r="93" ht="62" customHeight="1">
      <x:c r="A93" s="155" t="str">
        <x:v>T183</x:v>
      </x:c>
      <x:c r="B93" s="155" t="str">
        <x:v>Pulsera</x:v>
      </x:c>
      <x:c r="C93" s="155" t="str">
        <x:v>Ensayar protección ambiental</x:v>
      </x:c>
      <x:c r="D93" s="155" t="n">
        <x:v>9</x:v>
      </x:c>
      <x:c r="E93" s="155" t="n">
        <x:v>18</x:v>
      </x:c>
      <x:c r="F93" s="155" t="str">
        <x:v>Ing. embebidos</x:v>
      </x:c>
      <x:c r="G93" s="155" t="str">
        <x:v>T173</x:v>
      </x:c>
      <x:c r="H93" s="158" t="n">
        <x:v>3.67</x:v>
      </x:c>
      <x:c r="I93" s="158" t="n">
        <x:v>16.13</x:v>
      </x:c>
      <x:c r="J93" s="158" t="n">
        <x:v>7.33</x:v>
      </x:c>
      <x:c r="K93" s="158" t="n">
        <x:v>1.47</x:v>
      </x:c>
      <x:c r="L93" s="155" t="str">
        <x:v>Reporte de IP y sudor</x:v>
      </x:c>
      <x:c r="M93" s="155" t="str">
        <x:v>Se verifica carcasa completa y corrosión por separado</x:v>
      </x:c>
      <x:c r="N93" s="158" t="n">
        <x:f>SUM(H93:K93)</x:f>
        <x:v>28.599999999999994</x:v>
      </x:c>
      <x:c r="O93" s="155" t="str">
        <x:v>Laboratorio externo: agenda y emisión estimadas 2–4 semanas; no son horas internas</x:v>
      </x:c>
      <x:c r="P93" s="155" t="str">
        <x:v>Usar equipos protegidos</x:v>
      </x:c>
    </x:row>
    <x:row r="94" ht="62" customHeight="1">
      <x:c r="A94" s="155" t="str">
        <x:v>T184</x:v>
      </x:c>
      <x:c r="B94" s="155" t="str">
        <x:v>Aplicación</x:v>
      </x:c>
      <x:c r="C94" s="155" t="str">
        <x:v>Implementar avisos y restricciones</x:v>
      </x:c>
      <x:c r="D94" s="155" t="n">
        <x:v>9</x:v>
      </x:c>
      <x:c r="E94" s="155" t="n">
        <x:v>18</x:v>
      </x:c>
      <x:c r="F94" s="155" t="str">
        <x:v>Ing. software</x:v>
      </x:c>
      <x:c r="G94" s="155" t="str">
        <x:v>T174</x:v>
      </x:c>
      <x:c r="H94" s="158" t="n">
        <x:v>27.87</x:v>
      </x:c>
      <x:c r="I94" s="158" t="n">
        <x:v>2.2</x:v>
      </x:c>
      <x:c r="J94" s="158" t="n">
        <x:v>5.87</x:v>
      </x:c>
      <x:c r="K94" s="158" t="n">
        <x:v>0.73</x:v>
      </x:c>
      <x:c r="L94" s="155" t="str">
        <x:v>Versión con avisos actuales y predictivos</x:v>
      </x:c>
      <x:c r="M94" s="155" t="str">
        <x:v>Distingue lectura, predicción y ausencia; sin recomendaciones automáticas; especificar aviso de puerto mojado solo si se dispone de detección hardware; mantener instrucción de puerto seco</x:v>
      </x:c>
      <x:c r="N94" s="158" t="n">
        <x:f>SUM(H94:K94)</x:f>
        <x:v>36.669999999999995</x:v>
      </x:c>
      <x:c r="O94" s="155" t="str">
        <x:v>Desarrollo interno con casos simulados; aviso de humedad condicionado a la decisión de diseño de T043</x:v>
      </x:c>
      <x:c r="P94" s="155" t="str">
        <x:v>Recibir avisos comprensibles</x:v>
      </x:c>
    </x:row>
    <x:row r="95" ht="62" customHeight="1">
      <x:c r="A95" s="155" t="str">
        <x:v>X18</x:v>
      </x:c>
      <x:c r="B95" s="155" t="str">
        <x:v>Transversal</x:v>
      </x:c>
      <x:c r="C95" s="155" t="str">
        <x:v>Iniciar prospección de médicos y clínicas</x:v>
      </x:c>
      <x:c r="D95" s="155" t="n">
        <x:v>9</x:v>
      </x:c>
      <x:c r="E95" s="155" t="n">
        <x:v>18</x:v>
      </x:c>
      <x:c r="F95" s="155" t="str">
        <x:v>Ing. embebidos; coordinación QA</x:v>
      </x:c>
      <x:c r="G95" s="155" t="str">
        <x:v>X17</x:v>
      </x:c>
      <x:c r="H95" s="158" t="n">
        <x:v>10.67</x:v>
      </x:c>
      <x:c r="I95" s="158" t="n">
        <x:v>10.67</x:v>
      </x:c>
      <x:c r="J95" s="158" t="n">
        <x:v>10.67</x:v>
      </x:c>
      <x:c r="K95" s="158" t="n">
        <x:v>10.67</x:v>
      </x:c>
      <x:c r="L95" s="155" t="str">
        <x:v>Registro de prospectos</x:v>
      </x:c>
      <x:c r="M95" s="155" t="str">
        <x:v>Contacto, necesidad y siguiente acción identificados</x:v>
      </x:c>
      <x:c r="N95" s="158" t="n">
        <x:f>SUM(H95:K95)</x:f>
        <x:v>42.68</x:v>
      </x:c>
      <x:c r="O95" s="155" t="str">
        <x:v>Disponibilidad de médicos y clínicas para entrevistas. La prospección no requiere tener autorización de venta</x:v>
      </x:c>
      <x:c r="P95" s="155" t="str">
        <x:v>Preparar la atención comercial</x:v>
      </x:c>
    </x:row>
    <x:row r="96" ht="62" customHeight="1">
      <x:c r="A96" s="155" t="str">
        <x:v>T191</x:v>
      </x:c>
      <x:c r="B96" s="155" t="str">
        <x:v>Parche descartable</x:v>
      </x:c>
      <x:c r="C96" s="155" t="str">
        <x:v>Verificar acople con ambos lectores</x:v>
      </x:c>
      <x:c r="D96" s="155" t="n">
        <x:v>9</x:v>
      </x:c>
      <x:c r="E96" s="155" t="n">
        <x:v>19</x:v>
      </x:c>
      <x:c r="F96" s="155" t="str">
        <x:v>Técnico laboratorio</x:v>
      </x:c>
      <x:c r="G96" s="155" t="str">
        <x:v>T181</x:v>
      </x:c>
      <x:c r="H96" s="158" t="n">
        <x:v>1.13</x:v>
      </x:c>
      <x:c r="I96" s="158" t="n">
        <x:v>1.7</x:v>
      </x:c>
      <x:c r="J96" s="158" t="n">
        <x:v>4.53</x:v>
      </x:c>
      <x:c r="K96" s="158" t="n">
        <x:v>21.53</x:v>
      </x:c>
      <x:c r="L96" s="155" t="str">
        <x:v>Registro de alternancia</x:v>
      </x:c>
      <x:c r="M96" s="155" t="str">
        <x:v>Se conserva la calibración pertinente sin mezclar identificadores</x:v>
      </x:c>
      <x:c r="N96" s="158" t="n">
        <x:f>SUM(H96:K96)</x:f>
        <x:v>28.89</x:v>
      </x:c>
      <x:c r="O96" s="155" t="str">
        <x:v>Banco de acople y muestras de control disponibles; sin nueva espera de laboratorio salvo repetición necesaria</x:v>
      </x:c>
      <x:c r="P96" s="155" t="str">
        <x:v>Usar el parche durante siete días</x:v>
      </x:c>
    </x:row>
    <x:row r="97" ht="62" customHeight="1">
      <x:c r="A97" s="155" t="str">
        <x:v>T192</x:v>
      </x:c>
      <x:c r="B97" s="155" t="str">
        <x:v>Lector reutilizable</x:v>
      </x:c>
      <x:c r="C97" s="155" t="str">
        <x:v>Revisar acople después de uso</x:v>
      </x:c>
      <x:c r="D97" s="155" t="n">
        <x:v>9</x:v>
      </x:c>
      <x:c r="E97" s="155" t="n">
        <x:v>19</x:v>
      </x:c>
      <x:c r="F97" s="155" t="str">
        <x:v>Ing. embebidos</x:v>
      </x:c>
      <x:c r="G97" s="155" t="str">
        <x:v>T182</x:v>
      </x:c>
      <x:c r="H97" s="158" t="n">
        <x:v>3.4</x:v>
      </x:c>
      <x:c r="I97" s="158" t="n">
        <x:v>14.17</x:v>
      </x:c>
      <x:c r="J97" s="158" t="n">
        <x:v>3.97</x:v>
      </x:c>
      <x:c r="K97" s="158" t="n">
        <x:v>1.7</x:v>
      </x:c>
      <x:c r="L97" s="155" t="str">
        <x:v>Reporte de desgaste y recambio</x:v>
      </x:c>
      <x:c r="M97" s="155" t="str">
        <x:v>Sin daño funcional tras ciclos definidos en el plan de ensayo</x:v>
      </x:c>
      <x:c r="N97" s="158" t="n">
        <x:f>SUM(H97:K97)</x:f>
        <x:v>23.24</x:v>
      </x:c>
      <x:c r="O97" s="155" t="str">
        <x:v>Banco y muestras para ciclos de uso disponibles; resultados externos previos necesarios cuando afecten el acople</x:v>
      </x:c>
      <x:c r="P97" s="155" t="str">
        <x:v>Usar equipos protegidos</x:v>
      </x:c>
    </x:row>
    <x:row r="98" ht="62" customHeight="1">
      <x:c r="A98" s="155" t="str">
        <x:v>T193</x:v>
      </x:c>
      <x:c r="B98" s="155" t="str">
        <x:v>Pulsera</x:v>
      </x:c>
      <x:c r="C98" s="155" t="str">
        <x:v>Verificar gesto y señalización en uso</x:v>
      </x:c>
      <x:c r="D98" s="155" t="n">
        <x:v>9</x:v>
      </x:c>
      <x:c r="E98" s="155" t="n">
        <x:v>19</x:v>
      </x:c>
      <x:c r="F98" s="155" t="str">
        <x:v>Ing. embebidos</x:v>
      </x:c>
      <x:c r="G98" s="155" t="str">
        <x:v>T183</x:v>
      </x:c>
      <x:c r="H98" s="158" t="n">
        <x:v>2.83</x:v>
      </x:c>
      <x:c r="I98" s="158" t="n">
        <x:v>12.47</x:v>
      </x:c>
      <x:c r="J98" s="158" t="n">
        <x:v>5.67</x:v>
      </x:c>
      <x:c r="K98" s="158" t="n">
        <x:v>1.13</x:v>
      </x:c>
      <x:c r="L98" s="155" t="str">
        <x:v>Reporte de comprensión y visibilidad</x:v>
      </x:c>
      <x:c r="M98" s="155" t="str">
        <x:v>Se distinguen atención y ausencia de datos; errores registrados</x:v>
      </x:c>
      <x:c r="N98" s="158" t="n">
        <x:f>SUM(H98:K98)</x:f>
        <x:v>22.099999999999998</x:v>
      </x:c>
      <x:c r="O98" s="155" t="str">
        <x:v>Prueba funcional del gesto y LED en banco. Evaluación con participantes según aprobaciones aplicables</x:v>
      </x:c>
      <x:c r="P98" s="155" t="str">
        <x:v>Consultar el indicador por gesto</x:v>
      </x:c>
    </x:row>
    <x:row r="99" ht="62" customHeight="1">
      <x:c r="A99" s="155" t="str">
        <x:v>T194</x:v>
      </x:c>
      <x:c r="B99" s="155" t="str">
        <x:v>Aplicación</x:v>
      </x:c>
      <x:c r="C99" s="155" t="str">
        <x:v>Ensayar tareas de usuario</x:v>
      </x:c>
      <x:c r="D99" s="155" t="n">
        <x:v>9</x:v>
      </x:c>
      <x:c r="E99" s="155" t="n">
        <x:v>19</x:v>
      </x:c>
      <x:c r="F99" s="155" t="str">
        <x:v>Ing. software</x:v>
      </x:c>
      <x:c r="G99" s="155" t="str">
        <x:v>T184</x:v>
      </x:c>
      <x:c r="H99" s="158" t="n">
        <x:v>21.53</x:v>
      </x:c>
      <x:c r="I99" s="158" t="n">
        <x:v>1.7</x:v>
      </x:c>
      <x:c r="J99" s="158" t="n">
        <x:v>4.53</x:v>
      </x:c>
      <x:c r="K99" s="158" t="n">
        <x:v>0.57</x:v>
      </x:c>
      <x:c r="L99" s="155" t="str">
        <x:v>Reporte de usabilidad</x:v>
      </x:c>
      <x:c r="M99" s="155" t="str">
        <x:v>Consulta, recambio y acceso a ayuda verificados</x:v>
      </x:c>
      <x:c r="N99" s="158" t="n">
        <x:f>SUM(H99:K99)</x:f>
        <x:v>28.330000000000002</x:v>
      </x:c>
      <x:c r="O99" s="155" t="str">
        <x:v>Pruebas de interfaz con casos simulados, sin exposición clínica. Uso corporal del producto con participantes sujeto a las aprobaciones aplicables</x:v>
      </x:c>
      <x:c r="P99" s="155" t="str">
        <x:v>Recibir avisos comprensibles</x:v>
      </x:c>
    </x:row>
    <x:row r="100" ht="62" customHeight="1">
      <x:c r="A100" s="155" t="str">
        <x:v>X19</x:v>
      </x:c>
      <x:c r="B100" s="155" t="str">
        <x:v>Transversal</x:v>
      </x:c>
      <x:c r="C100" s="155" t="str">
        <x:v>Revisar autorizaciones y disponibilidad del centro</x:v>
      </x:c>
      <x:c r="D100" s="155" t="n">
        <x:v>9</x:v>
      </x:c>
      <x:c r="E100" s="155" t="n">
        <x:v>19</x:v>
      </x:c>
      <x:c r="F100" s="155" t="str">
        <x:v>Ing. embebidos; coordinación QA</x:v>
      </x:c>
      <x:c r="G100" s="155" t="str">
        <x:v>X18</x:v>
      </x:c>
      <x:c r="H100" s="158" t="n">
        <x:v>10.67</x:v>
      </x:c>
      <x:c r="I100" s="158" t="n">
        <x:v>10.67</x:v>
      </x:c>
      <x:c r="J100" s="158" t="n">
        <x:v>10.67</x:v>
      </x:c>
      <x:c r="K100" s="158" t="n">
        <x:v>10.67</x:v>
      </x:c>
      <x:c r="L100" s="155" t="str">
        <x:v>Control de requisitos previos</x:v>
      </x:c>
      <x:c r="M100" s="155" t="str">
        <x:v>Sin reclutamiento ni uso en personas hasta aprobaciones aplicables</x:v>
      </x:c>
      <x:c r="N100" s="158" t="n">
        <x:f>SUM(H100:K100)</x:f>
        <x:v>42.68</x:v>
      </x:c>
      <x:c r="O100" s="155" t="str">
        <x:v>Resolución de ética/ANMAT/centro: ventana M8–12 estimada; no plazo garantizado</x:v>
      </x:c>
      <x:c r="P100" s="155" t="str">
        <x:v>Gestionar evaluaciones y autorizaciones</x:v>
      </x:c>
    </x:row>
    <x:row r="101" ht="62" customHeight="1">
      <x:c r="A101" s="155" t="str">
        <x:v>T201</x:v>
      </x:c>
      <x:c r="B101" s="155" t="str">
        <x:v>Parche descartable</x:v>
      </x:c>
      <x:c r="C101" s="155" t="str">
        <x:v>Corregir formulación o geometría</x:v>
      </x:c>
      <x:c r="D101" s="155" t="n">
        <x:v>9</x:v>
      </x:c>
      <x:c r="E101" s="155" t="n">
        <x:v>20</x:v>
      </x:c>
      <x:c r="F101" s="155" t="str">
        <x:v>Técnico laboratorio</x:v>
      </x:c>
      <x:c r="G101" s="155" t="str">
        <x:v>T191</x:v>
      </x:c>
      <x:c r="H101" s="158" t="n">
        <x:v>1.33</x:v>
      </x:c>
      <x:c r="I101" s="158" t="n">
        <x:v>2</x:v>
      </x:c>
      <x:c r="J101" s="158" t="n">
        <x:v>5.33</x:v>
      </x:c>
      <x:c r="K101" s="158" t="n">
        <x:v>25.33</x:v>
      </x:c>
      <x:c r="L101" s="155" t="str">
        <x:v>Versión del parche revisada</x:v>
      </x:c>
      <x:c r="M101" s="155" t="str">
        <x:v>Cada cambio responde a un desvío y conserva trazabilidad</x:v>
      </x:c>
      <x:c r="N101" s="158" t="n">
        <x:f>SUM(H101:K101)</x:f>
        <x:v>33.989999999999995</x:v>
      </x:c>
      <x:c r="O101" s="155" t="str"/>
      <x:c r="P101" s="155" t="str">
        <x:v>Completar el parche del MVP</x:v>
      </x:c>
    </x:row>
    <x:row r="102" ht="62" customHeight="1">
      <x:c r="A102" s="155" t="str">
        <x:v>T202</x:v>
      </x:c>
      <x:c r="B102" s="155" t="str">
        <x:v>Lector reutilizable</x:v>
      </x:c>
      <x:c r="C102" s="155" t="str">
        <x:v>Corregir hardware y firmware</x:v>
      </x:c>
      <x:c r="D102" s="155" t="n">
        <x:v>9</x:v>
      </x:c>
      <x:c r="E102" s="155" t="n">
        <x:v>20</x:v>
      </x:c>
      <x:c r="F102" s="155" t="str">
        <x:v>Ing. embebidos</x:v>
      </x:c>
      <x:c r="G102" s="155" t="str">
        <x:v>T192</x:v>
      </x:c>
      <x:c r="H102" s="158" t="n">
        <x:v>4</x:v>
      </x:c>
      <x:c r="I102" s="158" t="n">
        <x:v>16.67</x:v>
      </x:c>
      <x:c r="J102" s="158" t="n">
        <x:v>4.67</x:v>
      </x:c>
      <x:c r="K102" s="158" t="n">
        <x:v>2</x:v>
      </x:c>
      <x:c r="L102" s="155" t="str">
        <x:v>Versión corregida del lector</x:v>
      </x:c>
      <x:c r="M102" s="155" t="str">
        <x:v>Cada cambio tiene regresión y análisis de impacto</x:v>
      </x:c>
      <x:c r="N102" s="158" t="n">
        <x:f>SUM(H102:K102)</x:f>
        <x:v>27.340000000000003</x:v>
      </x:c>
      <x:c r="O102" s="155" t="str"/>
      <x:c r="P102" s="155" t="str">
        <x:v>Completar el lector del MVP</x:v>
      </x:c>
    </x:row>
    <x:row r="103" ht="62" customHeight="1">
      <x:c r="A103" s="155" t="str">
        <x:v>T203</x:v>
      </x:c>
      <x:c r="B103" s="155" t="str">
        <x:v>Pulsera</x:v>
      </x:c>
      <x:c r="C103" s="155" t="str">
        <x:v>Corregir electrónica y firmware</x:v>
      </x:c>
      <x:c r="D103" s="155" t="n">
        <x:v>9</x:v>
      </x:c>
      <x:c r="E103" s="155" t="n">
        <x:v>20</x:v>
      </x:c>
      <x:c r="F103" s="155" t="str">
        <x:v>Ing. embebidos</x:v>
      </x:c>
      <x:c r="G103" s="155" t="str">
        <x:v>T193</x:v>
      </x:c>
      <x:c r="H103" s="158" t="n">
        <x:v>3.33</x:v>
      </x:c>
      <x:c r="I103" s="158" t="n">
        <x:v>14.67</x:v>
      </x:c>
      <x:c r="J103" s="158" t="n">
        <x:v>6.67</x:v>
      </x:c>
      <x:c r="K103" s="158" t="n">
        <x:v>1.33</x:v>
      </x:c>
      <x:c r="L103" s="155" t="str">
        <x:v>Versión de pulsera revisada</x:v>
      </x:c>
      <x:c r="M103" s="155" t="str">
        <x:v>Desvíos trazables y pruebas afectadas repetidas</x:v>
      </x:c>
      <x:c r="N103" s="158" t="n">
        <x:f>SUM(H103:K103)</x:f>
        <x:v>26</x:v>
      </x:c>
      <x:c r="O103" s="155" t="str"/>
      <x:c r="P103" s="155" t="str">
        <x:v>Completar la pulsera del MVP</x:v>
      </x:c>
    </x:row>
    <x:row r="104" ht="62" customHeight="1">
      <x:c r="A104" s="155" t="str">
        <x:v>T204</x:v>
      </x:c>
      <x:c r="B104" s="155" t="str">
        <x:v>Aplicación</x:v>
      </x:c>
      <x:c r="C104" s="155" t="str">
        <x:v>Corregir defectos de integración</x:v>
      </x:c>
      <x:c r="D104" s="155" t="n">
        <x:v>9</x:v>
      </x:c>
      <x:c r="E104" s="155" t="n">
        <x:v>20</x:v>
      </x:c>
      <x:c r="F104" s="155" t="str">
        <x:v>Ing. software</x:v>
      </x:c>
      <x:c r="G104" s="155" t="str">
        <x:v>T194</x:v>
      </x:c>
      <x:c r="H104" s="158" t="n">
        <x:v>25.33</x:v>
      </x:c>
      <x:c r="I104" s="158" t="n">
        <x:v>2</x:v>
      </x:c>
      <x:c r="J104" s="158" t="n">
        <x:v>5.33</x:v>
      </x:c>
      <x:c r="K104" s="158" t="n">
        <x:v>0.67</x:v>
      </x:c>
      <x:c r="L104" s="155" t="str">
        <x:v>Versión con errores priorizados resueltos</x:v>
      </x:c>
      <x:c r="M104" s="155" t="str">
        <x:v>Regresión confirma cierre y conserva historial</x:v>
      </x:c>
      <x:c r="N104" s="158" t="n">
        <x:f>SUM(H104:K104)</x:f>
        <x:v>33.33</x:v>
      </x:c>
      <x:c r="O104" s="155" t="str"/>
      <x:c r="P104" s="155" t="str">
        <x:v>Completar la aplicación del MVP</x:v>
      </x:c>
    </x:row>
    <x:row r="105" ht="62" customHeight="1">
      <x:c r="A105" s="155" t="str">
        <x:v>X20</x:v>
      </x:c>
      <x:c r="B105" s="155" t="str">
        <x:v>Transversal</x:v>
      </x:c>
      <x:c r="C105" s="155" t="str">
        <x:v>Coordinar ensayos de seguridad y radio</x:v>
      </x:c>
      <x:c r="D105" s="155" t="n">
        <x:v>9</x:v>
      </x:c>
      <x:c r="E105" s="155" t="n">
        <x:v>20</x:v>
      </x:c>
      <x:c r="F105" s="155" t="str">
        <x:v>Ing. embebidos; coordinación QA</x:v>
      </x:c>
      <x:c r="G105" s="155" t="str">
        <x:v>X19</x:v>
      </x:c>
      <x:c r="H105" s="158" t="n">
        <x:v>10.67</x:v>
      </x:c>
      <x:c r="I105" s="158" t="n">
        <x:v>10.67</x:v>
      </x:c>
      <x:c r="J105" s="158" t="n">
        <x:v>10.67</x:v>
      </x:c>
      <x:c r="K105" s="158" t="n">
        <x:v>10.67</x:v>
      </x:c>
      <x:c r="L105" s="155" t="str">
        <x:v>Informes y trámites</x:v>
      </x:c>
      <x:c r="M105" s="155" t="str">
        <x:v>Versión ensayada identificada; alcance ENACOM revisado</x:v>
      </x:c>
      <x:c r="N105" s="158" t="n">
        <x:f>SUM(H105:K105)</x:f>
        <x:v>42.68</x:v>
      </x:c>
      <x:c r="O105" s="155" t="str">
        <x:v>Agenda de laboratorios de seguridad y radio; el trabajo técnico no sustituye las aprobaciones para investigar con personas</x:v>
      </x:c>
      <x:c r="P105" s="155" t="str">
        <x:v>Gestionar evaluaciones y autorizaciones</x:v>
      </x:c>
    </x:row>
    <x:row r="106" ht="62" customHeight="1">
      <x:c r="A106" s="155" t="str">
        <x:v>T211</x:v>
      </x:c>
      <x:c r="B106" s="155" t="str">
        <x:v>Parche descartable</x:v>
      </x:c>
      <x:c r="C106" s="155" t="str">
        <x:v>Congelar versión para evaluación</x:v>
      </x:c>
      <x:c r="D106" s="155" t="n">
        <x:v>10</x:v>
      </x:c>
      <x:c r="E106" s="155" t="n">
        <x:v>21</x:v>
      </x:c>
      <x:c r="F106" s="155" t="str">
        <x:v>Técnico laboratorio</x:v>
      </x:c>
      <x:c r="G106" s="155" t="str">
        <x:v>T201, T202, T203, T204, X20</x:v>
      </x:c>
      <x:c r="H106" s="158" t="n">
        <x:v>2.2</x:v>
      </x:c>
      <x:c r="I106" s="158" t="n">
        <x:v>3.3</x:v>
      </x:c>
      <x:c r="J106" s="158" t="n">
        <x:v>8.8</x:v>
      </x:c>
      <x:c r="K106" s="158" t="n">
        <x:v>41.8</x:v>
      </x:c>
      <x:c r="L106" s="155" t="str">
        <x:v>Especificación de muestra y estabilidad</x:v>
      </x:c>
      <x:c r="M106" s="155" t="str">
        <x:v>Se completa revisión de aptitud; los cambios posteriores se controlan</x:v>
      </x:c>
      <x:c r="N106" s="158" t="n">
        <x:f>SUM(H106:K106)</x:f>
        <x:v>56.099999999999994</x:v>
      </x:c>
      <x:c r="O106" s="155" t="str"/>
      <x:c r="P106" s="155" t="str">
        <x:v>Completar el parche del MVP</x:v>
      </x:c>
    </x:row>
    <x:row r="107" ht="62" customHeight="1">
      <x:c r="A107" s="155" t="str">
        <x:v>T212</x:v>
      </x:c>
      <x:c r="B107" s="155" t="str">
        <x:v>Lector reutilizable</x:v>
      </x:c>
      <x:c r="C107" s="155" t="str">
        <x:v>Congelar configuración de evaluación</x:v>
      </x:c>
      <x:c r="D107" s="155" t="n">
        <x:v>10</x:v>
      </x:c>
      <x:c r="E107" s="155" t="n">
        <x:v>21</x:v>
      </x:c>
      <x:c r="F107" s="155" t="str">
        <x:v>Ing. embebidos</x:v>
      </x:c>
      <x:c r="G107" s="155" t="str">
        <x:v>T201, T202, T203, T204, X20</x:v>
      </x:c>
      <x:c r="H107" s="158" t="n">
        <x:v>6.6</x:v>
      </x:c>
      <x:c r="I107" s="158" t="n">
        <x:v>27.5</x:v>
      </x:c>
      <x:c r="J107" s="158" t="n">
        <x:v>7.7</x:v>
      </x:c>
      <x:c r="K107" s="158" t="n">
        <x:v>3.3</x:v>
      </x:c>
      <x:c r="L107" s="155" t="str">
        <x:v>Ficha de configuración y riesgos</x:v>
      </x:c>
      <x:c r="M107" s="155" t="str">
        <x:v>Aptitud técnica revisada antes del uso en participantes</x:v>
      </x:c>
      <x:c r="N107" s="158" t="n">
        <x:f>SUM(H107:K107)</x:f>
        <x:v>45.1</x:v>
      </x:c>
      <x:c r="O107" s="155" t="str"/>
      <x:c r="P107" s="155" t="str">
        <x:v>Completar el lector del MVP</x:v>
      </x:c>
    </x:row>
    <x:row r="108" ht="62" customHeight="1">
      <x:c r="A108" s="155" t="str">
        <x:v>T213</x:v>
      </x:c>
      <x:c r="B108" s="155" t="str">
        <x:v>Pulsera</x:v>
      </x:c>
      <x:c r="C108" s="155" t="str">
        <x:v>Congelar pulsera de evaluación</x:v>
      </x:c>
      <x:c r="D108" s="155" t="n">
        <x:v>10</x:v>
      </x:c>
      <x:c r="E108" s="155" t="n">
        <x:v>21</x:v>
      </x:c>
      <x:c r="F108" s="155" t="str">
        <x:v>Ing. embebidos</x:v>
      </x:c>
      <x:c r="G108" s="155" t="str">
        <x:v>T201, T202, T203, T204, X20</x:v>
      </x:c>
      <x:c r="H108" s="158" t="n">
        <x:v>5.5</x:v>
      </x:c>
      <x:c r="I108" s="158" t="n">
        <x:v>24.2</x:v>
      </x:c>
      <x:c r="J108" s="158" t="n">
        <x:v>11</x:v>
      </x:c>
      <x:c r="K108" s="158" t="n">
        <x:v>2.2</x:v>
      </x:c>
      <x:c r="L108" s="155" t="str">
        <x:v>Configuración y riesgos</x:v>
      </x:c>
      <x:c r="M108" s="155" t="str">
        <x:v>Aptitud de seguridad y contacto revisada</x:v>
      </x:c>
      <x:c r="N108" s="158" t="n">
        <x:f>SUM(H108:K108)</x:f>
        <x:v>42.900000000000006</x:v>
      </x:c>
      <x:c r="O108" s="155" t="str"/>
      <x:c r="P108" s="155" t="str">
        <x:v>Completar la pulsera del MVP</x:v>
      </x:c>
    </x:row>
    <x:row r="109" ht="62" customHeight="1">
      <x:c r="A109" s="155" t="str">
        <x:v>T214</x:v>
      </x:c>
      <x:c r="B109" s="155" t="str">
        <x:v>Aplicación</x:v>
      </x:c>
      <x:c r="C109" s="155" t="str">
        <x:v>Congelar versión de evaluación</x:v>
      </x:c>
      <x:c r="D109" s="155" t="n">
        <x:v>10</x:v>
      </x:c>
      <x:c r="E109" s="155" t="n">
        <x:v>21</x:v>
      </x:c>
      <x:c r="F109" s="155" t="str">
        <x:v>Ing. software</x:v>
      </x:c>
      <x:c r="G109" s="155" t="str">
        <x:v>T201, T202, T203, T204, X20</x:v>
      </x:c>
      <x:c r="H109" s="158" t="n">
        <x:v>41.8</x:v>
      </x:c>
      <x:c r="I109" s="158" t="n">
        <x:v>3.3</x:v>
      </x:c>
      <x:c r="J109" s="158" t="n">
        <x:v>8.8</x:v>
      </x:c>
      <x:c r="K109" s="158" t="n">
        <x:v>1.1</x:v>
      </x:c>
      <x:c r="L109" s="155" t="str">
        <x:v>Versión, modelos y esquema de datos</x:v>
      </x:c>
      <x:c r="M109" s="155" t="str">
        <x:v>Cada salida tiene referencia y límites documentados</x:v>
      </x:c>
      <x:c r="N109" s="158" t="n">
        <x:f>SUM(H109:K109)</x:f>
        <x:v>54.99999999999999</x:v>
      </x:c>
      <x:c r="O109" s="155" t="str"/>
      <x:c r="P109" s="155" t="str">
        <x:v>Completar la aplicación del MVP</x:v>
      </x:c>
    </x:row>
    <x:row r="110" ht="62" customHeight="1">
      <x:c r="A110" s="155" t="str">
        <x:v>X21</x:v>
      </x:c>
      <x:c r="B110" s="155" t="str">
        <x:v>Transversal</x:v>
      </x:c>
      <x:c r="C110" s="155" t="str">
        <x:v>Congelar configuración para evaluación</x:v>
      </x:c>
      <x:c r="D110" s="155" t="n">
        <x:v>10</x:v>
      </x:c>
      <x:c r="E110" s="155" t="n">
        <x:v>21</x:v>
      </x:c>
      <x:c r="F110" s="155" t="str">
        <x:v>Ing. embebidos; coordinación QA</x:v>
      </x:c>
      <x:c r="G110" s="155" t="str">
        <x:v>X20, T201, T202, T203, T204</x:v>
      </x:c>
      <x:c r="H110" s="158" t="n">
        <x:v>16</x:v>
      </x:c>
      <x:c r="I110" s="158" t="n">
        <x:v>16</x:v>
      </x:c>
      <x:c r="J110" s="158" t="n">
        <x:v>16</x:v>
      </x:c>
      <x:c r="K110" s="158" t="n">
        <x:v>16</x:v>
      </x:c>
      <x:c r="L110" s="155" t="str">
        <x:v>Acta de control de cambios</x:v>
      </x:c>
      <x:c r="M110" s="155" t="str">
        <x:v>Cambios posteriores exigen análisis de comparabilidad</x:v>
      </x:c>
      <x:c r="N110" s="158" t="n">
        <x:f>SUM(H110:K110)</x:f>
        <x:v>64</x:v>
      </x:c>
      <x:c r="O110" s="155" t="str">
        <x:v>Cierre técnico de configuración; su uso en participantes depende de las aprobaciones aplicables</x:v>
      </x:c>
      <x:c r="P110" s="155" t="str">
        <x:v>Revisar las entregas integradas</x:v>
      </x:c>
    </x:row>
    <x:row r="111" ht="62" customHeight="1">
      <x:c r="A111" s="155" t="str">
        <x:v>T221</x:v>
      </x:c>
      <x:c r="B111" s="155" t="str">
        <x:v>Parche descartable</x:v>
      </x:c>
      <x:c r="C111" s="155" t="str">
        <x:v>Preparar muestras de evaluación</x:v>
      </x:c>
      <x:c r="D111" s="155" t="n">
        <x:v>10</x:v>
      </x:c>
      <x:c r="E111" s="155" t="n">
        <x:v>22</x:v>
      </x:c>
      <x:c r="F111" s="155" t="str">
        <x:v>Técnico laboratorio</x:v>
      </x:c>
      <x:c r="G111" s="155" t="str">
        <x:v>T211</x:v>
      </x:c>
      <x:c r="H111" s="158" t="n">
        <x:v>1.7</x:v>
      </x:c>
      <x:c r="I111" s="158" t="n">
        <x:v>2.55</x:v>
      </x:c>
      <x:c r="J111" s="158" t="n">
        <x:v>6.8</x:v>
      </x:c>
      <x:c r="K111" s="158" t="n">
        <x:v>32.3</x:v>
      </x:c>
      <x:c r="L111" s="155" t="str">
        <x:v>Lotes reservados y etiquetados</x:v>
      </x:c>
      <x:c r="M111" s="155" t="str">
        <x:v>Trazabilidad y vida útil documentadas; uso en personas sujeto a autorización</x:v>
      </x:c>
      <x:c r="N111" s="158" t="n">
        <x:f>SUM(H111:K111)</x:f>
        <x:v>43.349999999999994</x:v>
      </x:c>
      <x:c r="O111" s="155" t="str">
        <x:v>Si implica participantes: autorizaciones de investigación, ética y centro vigentes; configuración evaluable</x:v>
      </x:c>
      <x:c r="P111" s="155" t="str">
        <x:v>Completar el parche del MVP</x:v>
      </x:c>
    </x:row>
    <x:row r="112" ht="62" customHeight="1">
      <x:c r="A112" s="155" t="str">
        <x:v>T222</x:v>
      </x:c>
      <x:c r="B112" s="155" t="str">
        <x:v>Lector reutilizable</x:v>
      </x:c>
      <x:c r="C112" s="155" t="str">
        <x:v>Preparar lectores de evaluación</x:v>
      </x:c>
      <x:c r="D112" s="155" t="n">
        <x:v>10</x:v>
      </x:c>
      <x:c r="E112" s="155" t="n">
        <x:v>22</x:v>
      </x:c>
      <x:c r="F112" s="155" t="str">
        <x:v>Ing. embebidos</x:v>
      </x:c>
      <x:c r="G112" s="155" t="str">
        <x:v>T212</x:v>
      </x:c>
      <x:c r="H112" s="158" t="n">
        <x:v>5.1</x:v>
      </x:c>
      <x:c r="I112" s="158" t="n">
        <x:v>21.25</x:v>
      </x:c>
      <x:c r="J112" s="158" t="n">
        <x:v>5.95</x:v>
      </x:c>
      <x:c r="K112" s="158" t="n">
        <x:v>2.55</x:v>
      </x:c>
      <x:c r="L112" s="155" t="str">
        <x:v>Unidades identificadas y calibradas</x:v>
      </x:c>
      <x:c r="M112" s="155" t="str">
        <x:v>Serial, firmware, batería y recepción registrados</x:v>
      </x:c>
      <x:c r="N112" s="158" t="n">
        <x:f>SUM(H112:K112)</x:f>
        <x:v>34.85</x:v>
      </x:c>
      <x:c r="O112" s="155" t="str">
        <x:v>Si implica participantes: autorizaciones de investigación, ética y centro vigentes; configuración evaluable</x:v>
      </x:c>
      <x:c r="P112" s="155" t="str">
        <x:v>Completar el lector del MVP</x:v>
      </x:c>
    </x:row>
    <x:row r="113" ht="62" customHeight="1">
      <x:c r="A113" s="155" t="str">
        <x:v>T223</x:v>
      </x:c>
      <x:c r="B113" s="155" t="str">
        <x:v>Pulsera</x:v>
      </x:c>
      <x:c r="C113" s="155" t="str">
        <x:v>Preparar pulseras para evaluación</x:v>
      </x:c>
      <x:c r="D113" s="155" t="n">
        <x:v>10</x:v>
      </x:c>
      <x:c r="E113" s="155" t="n">
        <x:v>22</x:v>
      </x:c>
      <x:c r="F113" s="155" t="str">
        <x:v>Ing. embebidos</x:v>
      </x:c>
      <x:c r="G113" s="155" t="str">
        <x:v>T213</x:v>
      </x:c>
      <x:c r="H113" s="158" t="n">
        <x:v>4.25</x:v>
      </x:c>
      <x:c r="I113" s="158" t="n">
        <x:v>18.7</x:v>
      </x:c>
      <x:c r="J113" s="158" t="n">
        <x:v>8.5</x:v>
      </x:c>
      <x:c r="K113" s="158" t="n">
        <x:v>1.7</x:v>
      </x:c>
      <x:c r="L113" s="155" t="str">
        <x:v>Unidades verificadas</x:v>
      </x:c>
      <x:c r="M113" s="155" t="str">
        <x:v>Seriales, firmware y calibración registrados</x:v>
      </x:c>
      <x:c r="N113" s="158" t="n">
        <x:f>SUM(H113:K113)</x:f>
        <x:v>33.15</x:v>
      </x:c>
      <x:c r="O113" s="155" t="str">
        <x:v>Si implica participantes: autorizaciones de investigación, ética y centro vigentes; configuración evaluable</x:v>
      </x:c>
      <x:c r="P113" s="155" t="str">
        <x:v>Completar la pulsera del MVP</x:v>
      </x:c>
    </x:row>
    <x:row r="114" ht="62" customHeight="1">
      <x:c r="A114" s="155" t="str">
        <x:v>T224</x:v>
      </x:c>
      <x:c r="B114" s="155" t="str">
        <x:v>Aplicación</x:v>
      </x:c>
      <x:c r="C114" s="155" t="str">
        <x:v>Preparar captura de evidencia</x:v>
      </x:c>
      <x:c r="D114" s="155" t="n">
        <x:v>10</x:v>
      </x:c>
      <x:c r="E114" s="155" t="n">
        <x:v>22</x:v>
      </x:c>
      <x:c r="F114" s="155" t="str">
        <x:v>Ing. software</x:v>
      </x:c>
      <x:c r="G114" s="155" t="str">
        <x:v>T214</x:v>
      </x:c>
      <x:c r="H114" s="158" t="n">
        <x:v>32.3</x:v>
      </x:c>
      <x:c r="I114" s="158" t="n">
        <x:v>2.55</x:v>
      </x:c>
      <x:c r="J114" s="158" t="n">
        <x:v>6.8</x:v>
      </x:c>
      <x:c r="K114" s="158" t="n">
        <x:v>0.85</x:v>
      </x:c>
      <x:c r="L114" s="155" t="str">
        <x:v>Exportación trazable para evaluación</x:v>
      </x:c>
      <x:c r="M114" s="155" t="str">
        <x:v>Identifica versión, paciente codificado y calidad según plan autorizado</x:v>
      </x:c>
      <x:c r="N114" s="158" t="n">
        <x:f>SUM(H114:K114)</x:f>
        <x:v>42.49999999999999</x:v>
      </x:c>
      <x:c r="O114" s="155" t="str">
        <x:v>Si implica participantes: autorizaciones de investigación, ética y centro vigentes; configuración evaluable</x:v>
      </x:c>
      <x:c r="P114" s="155" t="str">
        <x:v>Completar la aplicación del MVP</x:v>
      </x:c>
    </x:row>
    <x:row r="115" ht="62" customHeight="1">
      <x:c r="A115" s="155" t="str">
        <x:v>X22</x:v>
      </x:c>
      <x:c r="B115" s="155" t="str">
        <x:v>Transversal</x:v>
      </x:c>
      <x:c r="C115" s="155" t="str">
        <x:v>Completar preparación del centro y expediente</x:v>
      </x:c>
      <x:c r="D115" s="155" t="n">
        <x:v>10</x:v>
      </x:c>
      <x:c r="E115" s="155" t="n">
        <x:v>22</x:v>
      </x:c>
      <x:c r="F115" s="155" t="str">
        <x:v>Ing. embebidos; coordinación QA</x:v>
      </x:c>
      <x:c r="G115" s="155" t="str">
        <x:v>X21</x:v>
      </x:c>
      <x:c r="H115" s="158" t="n">
        <x:v>16</x:v>
      </x:c>
      <x:c r="I115" s="158" t="n">
        <x:v>16</x:v>
      </x:c>
      <x:c r="J115" s="158" t="n">
        <x:v>16</x:v>
      </x:c>
      <x:c r="K115" s="158" t="n">
        <x:v>16</x:v>
      </x:c>
      <x:c r="L115" s="155" t="str">
        <x:v>Registro de pendientes y disponibilidad</x:v>
      </x:c>
      <x:c r="M115" s="155" t="str">
        <x:v>No se inicia participación clínica sin aprobación</x:v>
      </x:c>
      <x:c r="N115" s="158" t="n">
        <x:f>SUM(H115:K115)</x:f>
        <x:v>64</x:v>
      </x:c>
      <x:c r="O115" s="155" t="str">
        <x:v>Resolución de ética/ANMAT/centro: ventana M8–12 estimada; no plazo garantizado</x:v>
      </x:c>
      <x:c r="P115" s="155" t="str">
        <x:v>Gestionar evaluaciones y autorizaciones</x:v>
      </x:c>
    </x:row>
    <x:row r="116" ht="62" customHeight="1">
      <x:c r="A116" s="155" t="str">
        <x:v>T231</x:v>
      </x:c>
      <x:c r="B116" s="155" t="str">
        <x:v>Parche descartable</x:v>
      </x:c>
      <x:c r="C116" s="155" t="str">
        <x:v>Documentar fabricación del MVP</x:v>
      </x:c>
      <x:c r="D116" s="155" t="n">
        <x:v>11</x:v>
      </x:c>
      <x:c r="E116" s="155" t="n">
        <x:v>23</x:v>
      </x:c>
      <x:c r="F116" s="155" t="str">
        <x:v>Técnico laboratorio</x:v>
      </x:c>
      <x:c r="G116" s="155" t="str">
        <x:v>T221, T222, T223, T224, X22</x:v>
      </x:c>
      <x:c r="H116" s="158" t="n">
        <x:v>2</x:v>
      </x:c>
      <x:c r="I116" s="158" t="n">
        <x:v>3</x:v>
      </x:c>
      <x:c r="J116" s="158" t="n">
        <x:v>8</x:v>
      </x:c>
      <x:c r="K116" s="158" t="n">
        <x:v>38</x:v>
      </x:c>
      <x:c r="L116" s="155" t="str">
        <x:v>Instrucciones de preparación y control</x:v>
      </x:c>
      <x:c r="M116" s="155" t="str">
        <x:v>Un técnico puede reproducir el proceso y registrar el lote</x:v>
      </x:c>
      <x:c r="N116" s="158" t="n">
        <x:f>SUM(H116:K116)</x:f>
        <x:v>51</x:v>
      </x:c>
      <x:c r="O116" s="155" t="str">
        <x:v>Si implica participantes: autorizaciones de investigación, ética y centro vigentes; configuración evaluable</x:v>
      </x:c>
      <x:c r="P116" s="155" t="str">
        <x:v>Completar el parche del MVP</x:v>
      </x:c>
    </x:row>
    <x:row r="117" ht="62" customHeight="1">
      <x:c r="A117" s="155" t="str">
        <x:v>T232</x:v>
      </x:c>
      <x:c r="B117" s="155" t="str">
        <x:v>Lector reutilizable</x:v>
      </x:c>
      <x:c r="C117" s="155" t="str">
        <x:v>Documentar armado y programación</x:v>
      </x:c>
      <x:c r="D117" s="155" t="n">
        <x:v>11</x:v>
      </x:c>
      <x:c r="E117" s="155" t="n">
        <x:v>23</x:v>
      </x:c>
      <x:c r="F117" s="155" t="str">
        <x:v>Ing. embebidos</x:v>
      </x:c>
      <x:c r="G117" s="155" t="str">
        <x:v>T221, T222, T223, T224, X22</x:v>
      </x:c>
      <x:c r="H117" s="158" t="n">
        <x:v>6</x:v>
      </x:c>
      <x:c r="I117" s="158" t="n">
        <x:v>25</x:v>
      </x:c>
      <x:c r="J117" s="158" t="n">
        <x:v>7</x:v>
      </x:c>
      <x:c r="K117" s="158" t="n">
        <x:v>3</x:v>
      </x:c>
      <x:c r="L117" s="155" t="str">
        <x:v>Procedimiento de lector MVP</x:v>
      </x:c>
      <x:c r="M117" s="155" t="str">
        <x:v>Montaje y programación reproducibles por el técnico</x:v>
      </x:c>
      <x:c r="N117" s="158" t="n">
        <x:f>SUM(H117:K117)</x:f>
        <x:v>41</x:v>
      </x:c>
      <x:c r="O117" s="155" t="str">
        <x:v>Si implica participantes: autorizaciones de investigación, ética y centro vigentes; configuración evaluable</x:v>
      </x:c>
      <x:c r="P117" s="155" t="str">
        <x:v>Completar el lector del MVP</x:v>
      </x:c>
    </x:row>
    <x:row r="118" ht="62" customHeight="1">
      <x:c r="A118" s="155" t="str">
        <x:v>T233</x:v>
      </x:c>
      <x:c r="B118" s="155" t="str">
        <x:v>Pulsera</x:v>
      </x:c>
      <x:c r="C118" s="155" t="str">
        <x:v>Redactar guía de uso y recarga</x:v>
      </x:c>
      <x:c r="D118" s="155" t="n">
        <x:v>11</x:v>
      </x:c>
      <x:c r="E118" s="155" t="n">
        <x:v>23</x:v>
      </x:c>
      <x:c r="F118" s="155" t="str">
        <x:v>Ing. embebidos</x:v>
      </x:c>
      <x:c r="G118" s="155" t="str">
        <x:v>T221, T222, T223, T224, X22</x:v>
      </x:c>
      <x:c r="H118" s="158" t="n">
        <x:v>5</x:v>
      </x:c>
      <x:c r="I118" s="158" t="n">
        <x:v>22</x:v>
      </x:c>
      <x:c r="J118" s="158" t="n">
        <x:v>10</x:v>
      </x:c>
      <x:c r="K118" s="158" t="n">
        <x:v>2</x:v>
      </x:c>
      <x:c r="L118" s="155" t="str">
        <x:v>Guía de pulsera</x:v>
      </x:c>
      <x:c r="M118" s="155" t="str">
        <x:v>Explica interrupción de señales al cargar y significado del LED</x:v>
      </x:c>
      <x:c r="N118" s="158" t="n">
        <x:f>SUM(H118:K118)</x:f>
        <x:v>39</x:v>
      </x:c>
      <x:c r="O118" s="155" t="str">
        <x:v>Si implica participantes: autorizaciones de investigación, ética y centro vigentes; configuración evaluable</x:v>
      </x:c>
      <x:c r="P118" s="155" t="str">
        <x:v>Completar la pulsera del MVP</x:v>
      </x:c>
    </x:row>
    <x:row r="119" ht="62" customHeight="1">
      <x:c r="A119" s="155" t="str">
        <x:v>T234</x:v>
      </x:c>
      <x:c r="B119" s="155" t="str">
        <x:v>Aplicación</x:v>
      </x:c>
      <x:c r="C119" s="155" t="str">
        <x:v>Completar ayuda y operación sin conexión</x:v>
      </x:c>
      <x:c r="D119" s="155" t="n">
        <x:v>11</x:v>
      </x:c>
      <x:c r="E119" s="155" t="n">
        <x:v>23</x:v>
      </x:c>
      <x:c r="F119" s="155" t="str">
        <x:v>Ing. software</x:v>
      </x:c>
      <x:c r="G119" s="155" t="str">
        <x:v>T221, T222, T223, T224, X22</x:v>
      </x:c>
      <x:c r="H119" s="158" t="n">
        <x:v>38</x:v>
      </x:c>
      <x:c r="I119" s="158" t="n">
        <x:v>3</x:v>
      </x:c>
      <x:c r="J119" s="158" t="n">
        <x:v>8</x:v>
      </x:c>
      <x:c r="K119" s="158" t="n">
        <x:v>1</x:v>
      </x:c>
      <x:c r="L119" s="155" t="str">
        <x:v>Guía y pruebas de disponibilidad</x:v>
      </x:c>
      <x:c r="M119" s="155" t="str">
        <x:v>Explica funciones disponibles y ausentes sin Internet</x:v>
      </x:c>
      <x:c r="N119" s="158" t="n">
        <x:f>SUM(H119:K119)</x:f>
        <x:v>50</x:v>
      </x:c>
      <x:c r="O119" s="155" t="str">
        <x:v>Si implica participantes: autorizaciones de investigación, ética y centro vigentes; configuración evaluable</x:v>
      </x:c>
      <x:c r="P119" s="155" t="str">
        <x:v>Completar la aplicación del MVP</x:v>
      </x:c>
    </x:row>
    <x:row r="120" ht="62" customHeight="1">
      <x:c r="A120" s="155" t="str">
        <x:v>X23</x:v>
      </x:c>
      <x:c r="B120" s="155" t="str">
        <x:v>Transversal</x:v>
      </x:c>
      <x:c r="C120" s="155" t="str">
        <x:v>Responder observaciones y revisar usabilidad de interfaz</x:v>
      </x:c>
      <x:c r="D120" s="155" t="n">
        <x:v>11</x:v>
      </x:c>
      <x:c r="E120" s="155" t="n">
        <x:v>23</x:v>
      </x:c>
      <x:c r="F120" s="155" t="str">
        <x:v>Ing. embebidos; coordinación QA</x:v>
      </x:c>
      <x:c r="G120" s="155" t="str">
        <x:v>X22</x:v>
      </x:c>
      <x:c r="H120" s="158" t="n">
        <x:v>16</x:v>
      </x:c>
      <x:c r="I120" s="158" t="n">
        <x:v>16</x:v>
      </x:c>
      <x:c r="J120" s="158" t="n">
        <x:v>16</x:v>
      </x:c>
      <x:c r="K120" s="158" t="n">
        <x:v>16</x:v>
      </x:c>
      <x:c r="L120" s="155" t="str">
        <x:v>Registro de seguimiento</x:v>
      </x:c>
      <x:c r="M120" s="155" t="str">
        <x:v>Pruebas de interfaz sin exposición clínica; actividades sujetas a autorización cuando corresponda</x:v>
      </x:c>
      <x:c r="N120" s="158" t="n">
        <x:f>SUM(H120:K120)</x:f>
        <x:v>64</x:v>
      </x:c>
      <x:c r="O120" s="155" t="str">
        <x:v>Resolución de ética/ANMAT/centro: ventana M8–12 estimada; no plazo garantizado</x:v>
      </x:c>
      <x:c r="P120" s="155" t="str">
        <x:v>Gestionar evaluaciones y autorizaciones</x:v>
      </x:c>
    </x:row>
    <x:row r="121" ht="62" customHeight="1">
      <x:c r="A121" s="155" t="str">
        <x:v>T241</x:v>
      </x:c>
      <x:c r="B121" s="155" t="str">
        <x:v>Parche descartable</x:v>
      </x:c>
      <x:c r="C121" s="155" t="str">
        <x:v>Verificar vida útil y recambio</x:v>
      </x:c>
      <x:c r="D121" s="155" t="n">
        <x:v>11</x:v>
      </x:c>
      <x:c r="E121" s="155" t="n">
        <x:v>24</x:v>
      </x:c>
      <x:c r="F121" s="155" t="str">
        <x:v>Técnico laboratorio</x:v>
      </x:c>
      <x:c r="G121" s="155" t="str">
        <x:v>T231</x:v>
      </x:c>
      <x:c r="H121" s="158" t="n">
        <x:v>2.2</x:v>
      </x:c>
      <x:c r="I121" s="158" t="n">
        <x:v>3.3</x:v>
      </x:c>
      <x:c r="J121" s="158" t="n">
        <x:v>8.8</x:v>
      </x:c>
      <x:c r="K121" s="158" t="n">
        <x:v>41.8</x:v>
      </x:c>
      <x:c r="L121" s="155" t="str">
        <x:v>Informe de estabilidad actualizado</x:v>
      </x:c>
      <x:c r="M121" s="155" t="str">
        <x:v>Objetivo de siete días contrastado; limitaciones explícitas</x:v>
      </x:c>
      <x:c r="N121" s="158" t="n">
        <x:f>SUM(H121:K121)</x:f>
        <x:v>56.099999999999994</x:v>
      </x:c>
      <x:c r="O121" s="155" t="str">
        <x:v>Si implica participantes: autorizaciones de investigación, ética y centro vigentes; configuración evaluable</x:v>
      </x:c>
      <x:c r="P121" s="155" t="str">
        <x:v>Usar el parche durante siete días</x:v>
      </x:c>
    </x:row>
    <x:row r="122" ht="62" customHeight="1">
      <x:c r="A122" s="155" t="str">
        <x:v>T242</x:v>
      </x:c>
      <x:c r="B122" s="155" t="str">
        <x:v>Lector reutilizable</x:v>
      </x:c>
      <x:c r="C122" s="155" t="str">
        <x:v>Completar pruebas de seguridad y carga</x:v>
      </x:c>
      <x:c r="D122" s="155" t="n">
        <x:v>11</x:v>
      </x:c>
      <x:c r="E122" s="155" t="n">
        <x:v>24</x:v>
      </x:c>
      <x:c r="F122" s="155" t="str">
        <x:v>Ing. embebidos</x:v>
      </x:c>
      <x:c r="G122" s="155" t="str">
        <x:v>T232</x:v>
      </x:c>
      <x:c r="H122" s="158" t="n">
        <x:v>6.6</x:v>
      </x:c>
      <x:c r="I122" s="158" t="n">
        <x:v>27.5</x:v>
      </x:c>
      <x:c r="J122" s="158" t="n">
        <x:v>7.7</x:v>
      </x:c>
      <x:c r="K122" s="158" t="n">
        <x:v>3.3</x:v>
      </x:c>
      <x:c r="L122" s="155" t="str">
        <x:v>Informe actualizado de ensayos</x:v>
      </x:c>
      <x:c r="M122" s="155" t="str">
        <x:v>Desvíos críticos cerrados antes de aceptar el MVP</x:v>
      </x:c>
      <x:c r="N122" s="158" t="n">
        <x:f>SUM(H122:K122)</x:f>
        <x:v>45.1</x:v>
      </x:c>
      <x:c r="O122" s="155" t="str">
        <x:v>Si implica participantes: autorizaciones de investigación, ética y centro vigentes; configuración evaluable</x:v>
      </x:c>
      <x:c r="P122" s="155" t="str">
        <x:v>Recargar y usar el lector siete días</x:v>
      </x:c>
    </x:row>
    <x:row r="123" ht="62" customHeight="1">
      <x:c r="A123" s="155" t="str">
        <x:v>T243</x:v>
      </x:c>
      <x:c r="B123" s="155" t="str">
        <x:v>Pulsera</x:v>
      </x:c>
      <x:c r="C123" s="155" t="str">
        <x:v>Revisar experiencia de consulta</x:v>
      </x:c>
      <x:c r="D123" s="155" t="n">
        <x:v>11</x:v>
      </x:c>
      <x:c r="E123" s="155" t="n">
        <x:v>24</x:v>
      </x:c>
      <x:c r="F123" s="155" t="str">
        <x:v>Ing. embebidos</x:v>
      </x:c>
      <x:c r="G123" s="155" t="str">
        <x:v>T233</x:v>
      </x:c>
      <x:c r="H123" s="158" t="n">
        <x:v>5.5</x:v>
      </x:c>
      <x:c r="I123" s="158" t="n">
        <x:v>24.2</x:v>
      </x:c>
      <x:c r="J123" s="158" t="n">
        <x:v>11</x:v>
      </x:c>
      <x:c r="K123" s="158" t="n">
        <x:v>2.2</x:v>
      </x:c>
      <x:c r="L123" s="155" t="str">
        <x:v>Informe de tareas de usuario</x:v>
      </x:c>
      <x:c r="M123" s="155" t="str">
        <x:v>Usuario puede consultar estado y reconocer datos ausentes</x:v>
      </x:c>
      <x:c r="N123" s="158" t="n">
        <x:f>SUM(H123:K123)</x:f>
        <x:v>42.900000000000006</x:v>
      </x:c>
      <x:c r="O123" s="155" t="str">
        <x:v>Si implica participantes: autorizaciones de investigación, ética y centro vigentes; configuración evaluable</x:v>
      </x:c>
      <x:c r="P123" s="155" t="str">
        <x:v>Completar la pulsera del MVP</x:v>
      </x:c>
    </x:row>
    <x:row r="124" ht="62" customHeight="1">
      <x:c r="A124" s="155" t="str">
        <x:v>T244</x:v>
      </x:c>
      <x:c r="B124" s="155" t="str">
        <x:v>Aplicación</x:v>
      </x:c>
      <x:c r="C124" s="155" t="str">
        <x:v>Verificar integridad y acceso a datos</x:v>
      </x:c>
      <x:c r="D124" s="155" t="n">
        <x:v>11</x:v>
      </x:c>
      <x:c r="E124" s="155" t="n">
        <x:v>24</x:v>
      </x:c>
      <x:c r="F124" s="155" t="str">
        <x:v>Ing. software</x:v>
      </x:c>
      <x:c r="G124" s="155" t="str">
        <x:v>T234</x:v>
      </x:c>
      <x:c r="H124" s="158" t="n">
        <x:v>41.8</x:v>
      </x:c>
      <x:c r="I124" s="158" t="n">
        <x:v>3.3</x:v>
      </x:c>
      <x:c r="J124" s="158" t="n">
        <x:v>8.8</x:v>
      </x:c>
      <x:c r="K124" s="158" t="n">
        <x:v>1.1</x:v>
      </x:c>
      <x:c r="L124" s="155" t="str">
        <x:v>Reporte de permisos y recuperación</x:v>
      </x:c>
      <x:c r="M124" s="155" t="str">
        <x:v>Datos restringidos al usuario autorizado y copia recuperable</x:v>
      </x:c>
      <x:c r="N124" s="158" t="n">
        <x:f>SUM(H124:K124)</x:f>
        <x:v>54.99999999999999</x:v>
      </x:c>
      <x:c r="O124" s="155" t="str">
        <x:v>Si implica participantes: autorizaciones de investigación, ética y centro vigentes; configuración evaluable</x:v>
      </x:c>
      <x:c r="P124" s="155" t="str">
        <x:v>Completar la aplicación del MVP</x:v>
      </x:c>
    </x:row>
    <x:row r="125" ht="62" customHeight="1">
      <x:c r="A125" s="155" t="str">
        <x:v>X24</x:v>
      </x:c>
      <x:c r="B125" s="155" t="str">
        <x:v>Transversal</x:v>
      </x:c>
      <x:c r="C125" s="155" t="str">
        <x:v>Revisar avance, calidad y necesidades de recursos</x:v>
      </x:c>
      <x:c r="D125" s="155" t="n">
        <x:v>11</x:v>
      </x:c>
      <x:c r="E125" s="155" t="n">
        <x:v>24</x:v>
      </x:c>
      <x:c r="F125" s="155" t="str">
        <x:v>Ing. embebidos; coordinación QA</x:v>
      </x:c>
      <x:c r="G125" s="155" t="str">
        <x:v>X23</x:v>
      </x:c>
      <x:c r="H125" s="158" t="n">
        <x:v>16</x:v>
      </x:c>
      <x:c r="I125" s="158" t="n">
        <x:v>16</x:v>
      </x:c>
      <x:c r="J125" s="158" t="n">
        <x:v>16</x:v>
      </x:c>
      <x:c r="K125" s="158" t="n">
        <x:v>16</x:v>
      </x:c>
      <x:c r="L125" s="155" t="str">
        <x:v>Acta de seguimiento</x:v>
      </x:c>
      <x:c r="M125" s="155" t="str">
        <x:v>No se confunden horas internas con espera de terceros</x:v>
      </x:c>
      <x:c r="N125" s="158" t="n">
        <x:f>SUM(H125:K125)</x:f>
        <x:v>64</x:v>
      </x:c>
      <x:c r="O125" s="155" t="str">
        <x:v>Revisión interna de esfuerzo, caja y esperas vigentes de terceros</x:v>
      </x:c>
      <x:c r="P125" s="155" t="str">
        <x:v>Coordinar recursos y suministros</x:v>
      </x:c>
    </x:row>
    <x:row r="126" ht="62" customHeight="1">
      <x:c r="A126" s="155" t="str">
        <x:v>T251</x:v>
      </x:c>
      <x:c r="B126" s="155" t="str">
        <x:v>Parche descartable</x:v>
      </x:c>
      <x:c r="C126" s="155" t="str">
        <x:v>Cerrar pruebas del parche MVP</x:v>
      </x:c>
      <x:c r="D126" s="155" t="n">
        <x:v>12</x:v>
      </x:c>
      <x:c r="E126" s="155" t="n">
        <x:v>25</x:v>
      </x:c>
      <x:c r="F126" s="155" t="str">
        <x:v>Técnico laboratorio</x:v>
      </x:c>
      <x:c r="G126" s="155" t="str">
        <x:v>T241</x:v>
      </x:c>
      <x:c r="H126" s="158" t="n">
        <x:v>1.7</x:v>
      </x:c>
      <x:c r="I126" s="158" t="n">
        <x:v>2.55</x:v>
      </x:c>
      <x:c r="J126" s="158" t="n">
        <x:v>6.8</x:v>
      </x:c>
      <x:c r="K126" s="158" t="n">
        <x:v>32.3</x:v>
      </x:c>
      <x:c r="L126" s="155" t="str">
        <x:v>Carpeta de evidencia técnica</x:v>
      </x:c>
      <x:c r="M126" s="155" t="str">
        <x:v>Cada requisito tiene prueba y resultado o desvío abierto</x:v>
      </x:c>
      <x:c r="N126" s="158" t="n">
        <x:f>SUM(H126:K126)</x:f>
        <x:v>43.349999999999994</x:v>
      </x:c>
      <x:c r="O126" s="155" t="str">
        <x:v>Si implica participantes: autorizaciones de investigación, ética y centro vigentes; configuración evaluable</x:v>
      </x:c>
      <x:c r="P126" s="155" t="str">
        <x:v>Completar el parche del MVP</x:v>
      </x:c>
    </x:row>
    <x:row r="127" ht="62" customHeight="1">
      <x:c r="A127" s="155" t="str">
        <x:v>T252</x:v>
      </x:c>
      <x:c r="B127" s="155" t="str">
        <x:v>Lector reutilizable</x:v>
      </x:c>
      <x:c r="C127" s="155" t="str">
        <x:v>Revisar calibración y calidad de lectura</x:v>
      </x:c>
      <x:c r="D127" s="155" t="n">
        <x:v>12</x:v>
      </x:c>
      <x:c r="E127" s="155" t="n">
        <x:v>25</x:v>
      </x:c>
      <x:c r="F127" s="155" t="str">
        <x:v>Ing. embebidos</x:v>
      </x:c>
      <x:c r="G127" s="155" t="str">
        <x:v>T242</x:v>
      </x:c>
      <x:c r="H127" s="158" t="n">
        <x:v>5.1</x:v>
      </x:c>
      <x:c r="I127" s="158" t="n">
        <x:v>21.25</x:v>
      </x:c>
      <x:c r="J127" s="158" t="n">
        <x:v>5.95</x:v>
      </x:c>
      <x:c r="K127" s="158" t="n">
        <x:v>2.55</x:v>
      </x:c>
      <x:c r="L127" s="155" t="str">
        <x:v>Reporte contra referencias</x:v>
      </x:c>
      <x:c r="M127" s="155" t="str">
        <x:v>Cada salida cumple tolerancias fijadas o queda limitada</x:v>
      </x:c>
      <x:c r="N127" s="158" t="n">
        <x:f>SUM(H127:K127)</x:f>
        <x:v>34.85</x:v>
      </x:c>
      <x:c r="O127" s="155" t="str">
        <x:v>Si implica participantes: autorizaciones de investigación, ética y centro vigentes; configuración evaluable</x:v>
      </x:c>
      <x:c r="P127" s="155" t="str">
        <x:v>Completar el lector del MVP</x:v>
      </x:c>
    </x:row>
    <x:row r="128" ht="62" customHeight="1">
      <x:c r="A128" s="155" t="str">
        <x:v>T253</x:v>
      </x:c>
      <x:c r="B128" s="155" t="str">
        <x:v>Pulsera</x:v>
      </x:c>
      <x:c r="C128" s="155" t="str">
        <x:v>Completar regresión de pulsera</x:v>
      </x:c>
      <x:c r="D128" s="155" t="n">
        <x:v>12</x:v>
      </x:c>
      <x:c r="E128" s="155" t="n">
        <x:v>25</x:v>
      </x:c>
      <x:c r="F128" s="155" t="str">
        <x:v>Ing. embebidos</x:v>
      </x:c>
      <x:c r="G128" s="155" t="str">
        <x:v>T243</x:v>
      </x:c>
      <x:c r="H128" s="158" t="n">
        <x:v>4.25</x:v>
      </x:c>
      <x:c r="I128" s="158" t="n">
        <x:v>18.7</x:v>
      </x:c>
      <x:c r="J128" s="158" t="n">
        <x:v>8.5</x:v>
      </x:c>
      <x:c r="K128" s="158" t="n">
        <x:v>1.7</x:v>
      </x:c>
      <x:c r="L128" s="155" t="str">
        <x:v>Reporte de requisitos</x:v>
      </x:c>
      <x:c r="M128" s="155" t="str">
        <x:v>Sensores, BLE, LED, USB-C y memoria comprobados</x:v>
      </x:c>
      <x:c r="N128" s="158" t="n">
        <x:f>SUM(H128:K128)</x:f>
        <x:v>33.15</x:v>
      </x:c>
      <x:c r="O128" s="155" t="str">
        <x:v>Si implica participantes: autorizaciones de investigación, ética y centro vigentes; configuración evaluable</x:v>
      </x:c>
      <x:c r="P128" s="155" t="str">
        <x:v>Completar la pulsera del MVP</x:v>
      </x:c>
    </x:row>
    <x:row r="129" ht="62" customHeight="1">
      <x:c r="A129" s="155" t="str">
        <x:v>T254</x:v>
      </x:c>
      <x:c r="B129" s="155" t="str">
        <x:v>Aplicación</x:v>
      </x:c>
      <x:c r="C129" s="155" t="str">
        <x:v>Completar regresión del MVP</x:v>
      </x:c>
      <x:c r="D129" s="155" t="n">
        <x:v>12</x:v>
      </x:c>
      <x:c r="E129" s="155" t="n">
        <x:v>25</x:v>
      </x:c>
      <x:c r="F129" s="155" t="str">
        <x:v>Ing. software</x:v>
      </x:c>
      <x:c r="G129" s="155" t="str">
        <x:v>T244</x:v>
      </x:c>
      <x:c r="H129" s="158" t="n">
        <x:v>32.3</x:v>
      </x:c>
      <x:c r="I129" s="158" t="n">
        <x:v>2.55</x:v>
      </x:c>
      <x:c r="J129" s="158" t="n">
        <x:v>6.8</x:v>
      </x:c>
      <x:c r="K129" s="158" t="n">
        <x:v>0.85</x:v>
      </x:c>
      <x:c r="L129" s="155" t="str">
        <x:v>Informe funcional del sistema</x:v>
      </x:c>
      <x:c r="M129" s="155" t="str">
        <x:v>Requisitos de interfaz y datos con resultados documentados</x:v>
      </x:c>
      <x:c r="N129" s="158" t="n">
        <x:f>SUM(H129:K129)</x:f>
        <x:v>42.49999999999999</x:v>
      </x:c>
      <x:c r="O129" s="155" t="str">
        <x:v>Si implica participantes: autorizaciones de investigación, ética y centro vigentes; configuración evaluable</x:v>
      </x:c>
      <x:c r="P129" s="155" t="str">
        <x:v>Completar la aplicación del MVP</x:v>
      </x:c>
    </x:row>
    <x:row r="130" ht="62" customHeight="1">
      <x:c r="A130" s="155" t="str">
        <x:v>X25</x:v>
      </x:c>
      <x:c r="B130" s="155" t="str">
        <x:v>Transversal</x:v>
      </x:c>
      <x:c r="C130" s="155" t="str">
        <x:v>Preparar revisión de MVP y evidencia</x:v>
      </x:c>
      <x:c r="D130" s="155" t="n">
        <x:v>12</x:v>
      </x:c>
      <x:c r="E130" s="155" t="n">
        <x:v>25</x:v>
      </x:c>
      <x:c r="F130" s="155" t="str">
        <x:v>Ing. embebidos; coordinación QA</x:v>
      </x:c>
      <x:c r="G130" s="155" t="str">
        <x:v>X24</x:v>
      </x:c>
      <x:c r="H130" s="158" t="n">
        <x:v>16</x:v>
      </x:c>
      <x:c r="I130" s="158" t="n">
        <x:v>16</x:v>
      </x:c>
      <x:c r="J130" s="158" t="n">
        <x:v>16</x:v>
      </x:c>
      <x:c r="K130" s="158" t="n">
        <x:v>16</x:v>
      </x:c>
      <x:c r="L130" s="155" t="str">
        <x:v>Carpeta de entregables</x:v>
      </x:c>
      <x:c r="M130" s="155" t="str">
        <x:v>Pruebas y desvíos disponibles antes de aceptar</x:v>
      </x:c>
      <x:c r="N130" s="158" t="n">
        <x:f>SUM(H130:K130)</x:f>
        <x:v>64</x:v>
      </x:c>
      <x:c r="O130" s="155" t="str">
        <x:v>Evidencia técnica disponible; registrar por separado las aprobaciones todavía pendientes</x:v>
      </x:c>
      <x:c r="P130" s="155" t="str">
        <x:v>Revisar las entregas integradas</x:v>
      </x:c>
    </x:row>
    <x:row r="131" ht="62" customHeight="1">
      <x:c r="A131" s="155" t="str">
        <x:v>T261</x:v>
      </x:c>
      <x:c r="B131" s="155" t="str">
        <x:v>Parche descartable</x:v>
      </x:c>
      <x:c r="C131" s="155" t="str">
        <x:v>Aceptar versión del parche MVP</x:v>
      </x:c>
      <x:c r="D131" s="155" t="n">
        <x:v>12</x:v>
      </x:c>
      <x:c r="E131" s="155" t="n">
        <x:v>26</x:v>
      </x:c>
      <x:c r="F131" s="155" t="str">
        <x:v>Técnico laboratorio</x:v>
      </x:c>
      <x:c r="G131" s="155" t="str">
        <x:v>T251</x:v>
      </x:c>
      <x:c r="H131" s="158" t="n">
        <x:v>2</x:v>
      </x:c>
      <x:c r="I131" s="158" t="n">
        <x:v>3</x:v>
      </x:c>
      <x:c r="J131" s="158" t="n">
        <x:v>8</x:v>
      </x:c>
      <x:c r="K131" s="158" t="n">
        <x:v>38</x:v>
      </x:c>
      <x:c r="L131" s="155" t="str">
        <x:v>Acta de aceptación técnica</x:v>
      </x:c>
      <x:c r="M131" s="155" t="str">
        <x:v>No quedan fallas críticas sin resolución; alcance de uso identificado</x:v>
      </x:c>
      <x:c r="N131" s="158" t="n">
        <x:f>SUM(H131:K131)</x:f>
        <x:v>51</x:v>
      </x:c>
      <x:c r="O131" s="155" t="str">
        <x:v>Si implica participantes: autorizaciones de investigación, ética y centro vigentes; configuración evaluable</x:v>
      </x:c>
      <x:c r="P131" s="155" t="str">
        <x:v>Completar el parche del MVP</x:v>
      </x:c>
    </x:row>
    <x:row r="132" ht="62" customHeight="1">
      <x:c r="A132" s="155" t="str">
        <x:v>T262</x:v>
      </x:c>
      <x:c r="B132" s="155" t="str">
        <x:v>Lector reutilizable</x:v>
      </x:c>
      <x:c r="C132" s="155" t="str">
        <x:v>Aceptar lector MVP</x:v>
      </x:c>
      <x:c r="D132" s="155" t="n">
        <x:v>12</x:v>
      </x:c>
      <x:c r="E132" s="155" t="n">
        <x:v>26</x:v>
      </x:c>
      <x:c r="F132" s="155" t="str">
        <x:v>Ing. embebidos</x:v>
      </x:c>
      <x:c r="G132" s="155" t="str">
        <x:v>T252</x:v>
      </x:c>
      <x:c r="H132" s="158" t="n">
        <x:v>6</x:v>
      </x:c>
      <x:c r="I132" s="158" t="n">
        <x:v>25</x:v>
      </x:c>
      <x:c r="J132" s="158" t="n">
        <x:v>7</x:v>
      </x:c>
      <x:c r="K132" s="158" t="n">
        <x:v>3</x:v>
      </x:c>
      <x:c r="L132" s="155" t="str">
        <x:v>Acta técnica de lector</x:v>
      </x:c>
      <x:c r="M132" s="155" t="str">
        <x:v>Todos los requisitos tienen evidencia y versión identificada</x:v>
      </x:c>
      <x:c r="N132" s="158" t="n">
        <x:f>SUM(H132:K132)</x:f>
        <x:v>41</x:v>
      </x:c>
      <x:c r="O132" s="155" t="str">
        <x:v>Si implica participantes: autorizaciones de investigación, ética y centro vigentes; configuración evaluable</x:v>
      </x:c>
      <x:c r="P132" s="155" t="str">
        <x:v>Completar el lector del MVP</x:v>
      </x:c>
    </x:row>
    <x:row r="133" ht="62" customHeight="1">
      <x:c r="A133" s="155" t="str">
        <x:v>T263</x:v>
      </x:c>
      <x:c r="B133" s="155" t="str">
        <x:v>Pulsera</x:v>
      </x:c>
      <x:c r="C133" s="155" t="str">
        <x:v>Aceptar pulsera MVP</x:v>
      </x:c>
      <x:c r="D133" s="155" t="n">
        <x:v>12</x:v>
      </x:c>
      <x:c r="E133" s="155" t="n">
        <x:v>26</x:v>
      </x:c>
      <x:c r="F133" s="155" t="str">
        <x:v>Ing. embebidos</x:v>
      </x:c>
      <x:c r="G133" s="155" t="str">
        <x:v>T253</x:v>
      </x:c>
      <x:c r="H133" s="158" t="n">
        <x:v>5</x:v>
      </x:c>
      <x:c r="I133" s="158" t="n">
        <x:v>22</x:v>
      </x:c>
      <x:c r="J133" s="158" t="n">
        <x:v>10</x:v>
      </x:c>
      <x:c r="K133" s="158" t="n">
        <x:v>2</x:v>
      </x:c>
      <x:c r="L133" s="155" t="str">
        <x:v>Acta de aceptación técnica</x:v>
      </x:c>
      <x:c r="M133" s="155" t="str">
        <x:v>No quedan fallas críticas sin cierre</x:v>
      </x:c>
      <x:c r="N133" s="158" t="n">
        <x:f>SUM(H133:K133)</x:f>
        <x:v>39</x:v>
      </x:c>
      <x:c r="O133" s="155" t="str">
        <x:v>Si implica participantes: autorizaciones de investigación, ética y centro vigentes; configuración evaluable</x:v>
      </x:c>
      <x:c r="P133" s="155" t="str">
        <x:v>Completar la pulsera del MVP</x:v>
      </x:c>
    </x:row>
    <x:row r="134" ht="62" customHeight="1">
      <x:c r="A134" s="155" t="str">
        <x:v>T264</x:v>
      </x:c>
      <x:c r="B134" s="155" t="str">
        <x:v>Aplicación</x:v>
      </x:c>
      <x:c r="C134" s="155" t="str">
        <x:v>Aceptar aplicación MVP</x:v>
      </x:c>
      <x:c r="D134" s="155" t="n">
        <x:v>12</x:v>
      </x:c>
      <x:c r="E134" s="155" t="n">
        <x:v>26</x:v>
      </x:c>
      <x:c r="F134" s="155" t="str">
        <x:v>Ing. software</x:v>
      </x:c>
      <x:c r="G134" s="155" t="str">
        <x:v>T254</x:v>
      </x:c>
      <x:c r="H134" s="158" t="n">
        <x:v>38</x:v>
      </x:c>
      <x:c r="I134" s="158" t="n">
        <x:v>3</x:v>
      </x:c>
      <x:c r="J134" s="158" t="n">
        <x:v>8</x:v>
      </x:c>
      <x:c r="K134" s="158" t="n">
        <x:v>1</x:v>
      </x:c>
      <x:c r="L134" s="155" t="str">
        <x:v>Versión instalable identificada</x:v>
      </x:c>
      <x:c r="M134" s="155" t="str">
        <x:v>Instalación, BLE, historial y avisos aprobados; modelos limitados según evidencia</x:v>
      </x:c>
      <x:c r="N134" s="158" t="n">
        <x:f>SUM(H134:K134)</x:f>
        <x:v>50</x:v>
      </x:c>
      <x:c r="O134" s="155" t="str">
        <x:v>Si implica participantes: autorizaciones de investigación, ética y centro vigentes; configuración evaluable</x:v>
      </x:c>
      <x:c r="P134" s="155" t="str">
        <x:v>Completar la aplicación del MVP</x:v>
      </x:c>
    </x:row>
    <x:row r="135" ht="62" customHeight="1">
      <x:c r="A135" s="155" t="str">
        <x:v>X26</x:v>
      </x:c>
      <x:c r="B135" s="155" t="str">
        <x:v>Transversal</x:v>
      </x:c>
      <x:c r="C135" s="155" t="str">
        <x:v>Aceptar MVP técnico del mes 12</x:v>
      </x:c>
      <x:c r="D135" s="155" t="n">
        <x:v>12</x:v>
      </x:c>
      <x:c r="E135" s="155" t="n">
        <x:v>26</x:v>
      </x:c>
      <x:c r="F135" s="155" t="str">
        <x:v>Ing. embebidos; coordinación QA</x:v>
      </x:c>
      <x:c r="G135" s="155" t="str">
        <x:v>X25, T251, T252, T253, T254</x:v>
      </x:c>
      <x:c r="H135" s="158" t="n">
        <x:v>16</x:v>
      </x:c>
      <x:c r="I135" s="158" t="n">
        <x:v>16</x:v>
      </x:c>
      <x:c r="J135" s="158" t="n">
        <x:v>16</x:v>
      </x:c>
      <x:c r="K135" s="158" t="n">
        <x:v>16</x:v>
      </x:c>
      <x:c r="L135" s="155" t="str">
        <x:v>Acta de hito técnico</x:v>
      </x:c>
      <x:c r="M135" s="155" t="str">
        <x:v>Cierre técnico diferenciado de habilitación comercial</x:v>
      </x:c>
      <x:c r="N135" s="158" t="n">
        <x:f>SUM(H135:K135)</x:f>
        <x:v>64</x:v>
      </x:c>
      <x:c r="O135" s="155" t="str">
        <x:v>Aceptación técnica interna; no se condiciona a obtener el permiso de venta ni lo sustituye</x:v>
      </x:c>
      <x:c r="P135" s="155" t="str">
        <x:v>Revisar las entregas integradas</x:v>
      </x:c>
    </x:row>
    <x:row r="136" ht="62" customHeight="1">
      <x:c r="A136" s="155" t="str">
        <x:v>T271</x:v>
      </x:c>
      <x:c r="B136" s="155" t="str">
        <x:v>Parche descartable</x:v>
      </x:c>
      <x:c r="C136" s="155" t="str">
        <x:v>Suministrar lotes a la evaluación</x:v>
      </x:c>
      <x:c r="D136" s="155" t="n">
        <x:v>13</x:v>
      </x:c>
      <x:c r="E136" s="155" t="n">
        <x:v>27</x:v>
      </x:c>
      <x:c r="F136" s="155" t="str">
        <x:v>Técnico laboratorio</x:v>
      </x:c>
      <x:c r="G136" s="155" t="str">
        <x:v>T261, T262, T263, T264, X26</x:v>
      </x:c>
      <x:c r="H136" s="158" t="n">
        <x:v>2.2</x:v>
      </x:c>
      <x:c r="I136" s="158" t="n">
        <x:v>3.3</x:v>
      </x:c>
      <x:c r="J136" s="158" t="n">
        <x:v>8.8</x:v>
      </x:c>
      <x:c r="K136" s="158" t="n">
        <x:v>41.8</x:v>
      </x:c>
      <x:c r="L136" s="155" t="str">
        <x:v>Registro de lotes entregados</x:v>
      </x:c>
      <x:c r="M136" s="155" t="str">
        <x:v>Liberación y recepción documentadas según estudio autorizado</x:v>
      </x:c>
      <x:c r="N136" s="158" t="n">
        <x:f>SUM(H136:K136)</x:f>
        <x:v>56.099999999999994</x:v>
      </x:c>
      <x:c r="O136" s="155" t="str">
        <x:v>Si implica participantes: autorizaciones de investigación, ética y centro vigentes; configuración evaluable</x:v>
      </x:c>
      <x:c r="P136" s="155" t="str">
        <x:v>Evaluar el parche</x:v>
      </x:c>
    </x:row>
    <x:row r="137" ht="62" customHeight="1">
      <x:c r="A137" s="155" t="str">
        <x:v>T272</x:v>
      </x:c>
      <x:c r="B137" s="155" t="str">
        <x:v>Lector reutilizable</x:v>
      </x:c>
      <x:c r="C137" s="155" t="str">
        <x:v>Dar soporte a registros de evaluación</x:v>
      </x:c>
      <x:c r="D137" s="155" t="n">
        <x:v>13</x:v>
      </x:c>
      <x:c r="E137" s="155" t="n">
        <x:v>27</x:v>
      </x:c>
      <x:c r="F137" s="155" t="str">
        <x:v>Ing. embebidos</x:v>
      </x:c>
      <x:c r="G137" s="155" t="str">
        <x:v>T261, T262, T263, T264, X26</x:v>
      </x:c>
      <x:c r="H137" s="158" t="n">
        <x:v>6.6</x:v>
      </x:c>
      <x:c r="I137" s="158" t="n">
        <x:v>27.5</x:v>
      </x:c>
      <x:c r="J137" s="158" t="n">
        <x:v>7.7</x:v>
      </x:c>
      <x:c r="K137" s="158" t="n">
        <x:v>3.3</x:v>
      </x:c>
      <x:c r="L137" s="155" t="str">
        <x:v>Paquete de diagnóstico trazable</x:v>
      </x:c>
      <x:c r="M137" s="155" t="str">
        <x:v>Se conserva origen de los datos y versión utilizada</x:v>
      </x:c>
      <x:c r="N137" s="158" t="n">
        <x:f>SUM(H137:K137)</x:f>
        <x:v>45.1</x:v>
      </x:c>
      <x:c r="O137" s="155" t="str">
        <x:v>Si implica participantes: autorizaciones de investigación, ética y centro vigentes; configuración evaluable</x:v>
      </x:c>
      <x:c r="P137" s="155" t="str">
        <x:v>Evaluar el lector</x:v>
      </x:c>
    </x:row>
    <x:row r="138" ht="62" customHeight="1">
      <x:c r="A138" s="155" t="str">
        <x:v>T273</x:v>
      </x:c>
      <x:c r="B138" s="155" t="str">
        <x:v>Pulsera</x:v>
      </x:c>
      <x:c r="C138" s="155" t="str">
        <x:v>Registrar observaciones de evaluación</x:v>
      </x:c>
      <x:c r="D138" s="155" t="n">
        <x:v>13</x:v>
      </x:c>
      <x:c r="E138" s="155" t="n">
        <x:v>27</x:v>
      </x:c>
      <x:c r="F138" s="155" t="str">
        <x:v>Ing. embebidos</x:v>
      </x:c>
      <x:c r="G138" s="155" t="str">
        <x:v>T261, T262, T263, T264, X26</x:v>
      </x:c>
      <x:c r="H138" s="158" t="n">
        <x:v>5.5</x:v>
      </x:c>
      <x:c r="I138" s="158" t="n">
        <x:v>24.2</x:v>
      </x:c>
      <x:c r="J138" s="158" t="n">
        <x:v>11</x:v>
      </x:c>
      <x:c r="K138" s="158" t="n">
        <x:v>2.2</x:v>
      </x:c>
      <x:c r="L138" s="155" t="str">
        <x:v>Reporte de uso y fallas</x:v>
      </x:c>
      <x:c r="M138" s="155" t="str">
        <x:v>Cada observación identifica versión y contexto</x:v>
      </x:c>
      <x:c r="N138" s="158" t="n">
        <x:f>SUM(H138:K138)</x:f>
        <x:v>42.900000000000006</x:v>
      </x:c>
      <x:c r="O138" s="155" t="str">
        <x:v>Si implica participantes: autorizaciones de investigación, ética y centro vigentes; configuración evaluable</x:v>
      </x:c>
      <x:c r="P138" s="155" t="str">
        <x:v>Evaluar la pulsera</x:v>
      </x:c>
    </x:row>
    <x:row r="139" ht="62" customHeight="1">
      <x:c r="A139" s="155" t="str">
        <x:v>T274</x:v>
      </x:c>
      <x:c r="B139" s="155" t="str">
        <x:v>Aplicación</x:v>
      </x:c>
      <x:c r="C139" s="155" t="str">
        <x:v>Revisar registros de la evaluación</x:v>
      </x:c>
      <x:c r="D139" s="155" t="n">
        <x:v>13</x:v>
      </x:c>
      <x:c r="E139" s="155" t="n">
        <x:v>27</x:v>
      </x:c>
      <x:c r="F139" s="155" t="str">
        <x:v>Ing. software</x:v>
      </x:c>
      <x:c r="G139" s="155" t="str">
        <x:v>T261, T262, T263, T264, X26</x:v>
      </x:c>
      <x:c r="H139" s="158" t="n">
        <x:v>41.8</x:v>
      </x:c>
      <x:c r="I139" s="158" t="n">
        <x:v>3.3</x:v>
      </x:c>
      <x:c r="J139" s="158" t="n">
        <x:v>8.8</x:v>
      </x:c>
      <x:c r="K139" s="158" t="n">
        <x:v>1.1</x:v>
      </x:c>
      <x:c r="L139" s="155" t="str">
        <x:v>Conjunto de datos controlado</x:v>
      </x:c>
      <x:c r="M139" s="155" t="str">
        <x:v>Exclusiones y origen documentados; sin alterar datos originales</x:v>
      </x:c>
      <x:c r="N139" s="158" t="n">
        <x:f>SUM(H139:K139)</x:f>
        <x:v>54.99999999999999</x:v>
      </x:c>
      <x:c r="O139" s="155" t="str">
        <x:v>Si implica participantes: autorizaciones de investigación, ética y centro vigentes; configuración evaluable</x:v>
      </x:c>
      <x:c r="P139" s="155" t="str">
        <x:v>Evaluar la aplicación y los modelos</x:v>
      </x:c>
    </x:row>
    <x:row r="140" ht="62" customHeight="1">
      <x:c r="A140" s="155" t="str">
        <x:v>X27</x:v>
      </x:c>
      <x:c r="B140" s="155" t="str">
        <x:v>Transversal</x:v>
      </x:c>
      <x:c r="C140" s="155" t="str">
        <x:v>Iniciar evaluación autorizada y seguimiento de aliados</x:v>
      </x:c>
      <x:c r="D140" s="155" t="n">
        <x:v>13</x:v>
      </x:c>
      <x:c r="E140" s="155" t="n">
        <x:v>27</x:v>
      </x:c>
      <x:c r="F140" s="155" t="str">
        <x:v>Ing. embebidos; coordinación QA</x:v>
      </x:c>
      <x:c r="G140" s="155" t="str">
        <x:v>X26</x:v>
      </x:c>
      <x:c r="H140" s="158" t="n">
        <x:v>16</x:v>
      </x:c>
      <x:c r="I140" s="158" t="n">
        <x:v>16</x:v>
      </x:c>
      <x:c r="J140" s="158" t="n">
        <x:v>16</x:v>
      </x:c>
      <x:c r="K140" s="158" t="n">
        <x:v>16</x:v>
      </x:c>
      <x:c r="L140" s="155" t="str">
        <x:v>Constancias, apertura del centro y prospectos</x:v>
      </x:c>
      <x:c r="M140" s="155" t="str">
        <x:v>Aprobaciones, consentimiento y responsables disponibles antes de incluir participantes</x:v>
      </x:c>
      <x:c r="N140" s="158" t="n">
        <x:f>SUM(H140:K140)</x:f>
        <x:v>64</x:v>
      </x:c>
      <x:c r="O140" s="155" t="str"/>
      <x:c r="P140" s="155" t="str">
        <x:v>Gestionar evaluaciones y autorizaciones</x:v>
      </x:c>
    </x:row>
    <x:row r="141" ht="62" customHeight="1">
      <x:c r="A141" s="155" t="str">
        <x:v>T281</x:v>
      </x:c>
      <x:c r="B141" s="155" t="str">
        <x:v>Parche descartable</x:v>
      </x:c>
      <x:c r="C141" s="155" t="str">
        <x:v>Revisar calidad de muestras usadas</x:v>
      </x:c>
      <x:c r="D141" s="155" t="n">
        <x:v>13</x:v>
      </x:c>
      <x:c r="E141" s="155" t="n">
        <x:v>28</x:v>
      </x:c>
      <x:c r="F141" s="155" t="str">
        <x:v>Técnico laboratorio</x:v>
      </x:c>
      <x:c r="G141" s="155" t="str">
        <x:v>T271</x:v>
      </x:c>
      <x:c r="H141" s="158" t="n">
        <x:v>1.7</x:v>
      </x:c>
      <x:c r="I141" s="158" t="n">
        <x:v>2.55</x:v>
      </x:c>
      <x:c r="J141" s="158" t="n">
        <x:v>6.8</x:v>
      </x:c>
      <x:c r="K141" s="158" t="n">
        <x:v>32.3</x:v>
      </x:c>
      <x:c r="L141" s="155" t="str">
        <x:v>Informe de integridad de muestra</x:v>
      </x:c>
      <x:c r="M141" s="155" t="str">
        <x:v>Datos excluidos por calidad identificados sin ocultarlos</x:v>
      </x:c>
      <x:c r="N141" s="158" t="n">
        <x:f>SUM(H141:K141)</x:f>
        <x:v>43.349999999999994</x:v>
      </x:c>
      <x:c r="O141" s="155" t="str">
        <x:v>Si implica participantes: autorizaciones de investigación, ética y centro vigentes; configuración evaluable</x:v>
      </x:c>
      <x:c r="P141" s="155" t="str">
        <x:v>Evaluar el parche</x:v>
      </x:c>
    </x:row>
    <x:row r="142" ht="62" customHeight="1">
      <x:c r="A142" s="155" t="str">
        <x:v>T282</x:v>
      </x:c>
      <x:c r="B142" s="155" t="str">
        <x:v>Lector reutilizable</x:v>
      </x:c>
      <x:c r="C142" s="155" t="str">
        <x:v>Resolver fallas de conectividad</x:v>
      </x:c>
      <x:c r="D142" s="155" t="n">
        <x:v>13</x:v>
      </x:c>
      <x:c r="E142" s="155" t="n">
        <x:v>28</x:v>
      </x:c>
      <x:c r="F142" s="155" t="str">
        <x:v>Ing. embebidos</x:v>
      </x:c>
      <x:c r="G142" s="155" t="str">
        <x:v>T272</x:v>
      </x:c>
      <x:c r="H142" s="158" t="n">
        <x:v>5.1</x:v>
      </x:c>
      <x:c r="I142" s="158" t="n">
        <x:v>21.25</x:v>
      </x:c>
      <x:c r="J142" s="158" t="n">
        <x:v>5.95</x:v>
      </x:c>
      <x:c r="K142" s="158" t="n">
        <x:v>2.55</x:v>
      </x:c>
      <x:c r="L142" s="155" t="str">
        <x:v>Corrección evaluada y reporte</x:v>
      </x:c>
      <x:c r="M142" s="155" t="str">
        <x:v>Cambio autorizado; no altera evidencia sin análisis</x:v>
      </x:c>
      <x:c r="N142" s="158" t="n">
        <x:f>SUM(H142:K142)</x:f>
        <x:v>34.85</x:v>
      </x:c>
      <x:c r="O142" s="155" t="str">
        <x:v>Si implica participantes: autorizaciones de investigación, ética y centro vigentes; configuración evaluable</x:v>
      </x:c>
      <x:c r="P142" s="155" t="str">
        <x:v>Evaluar el lector</x:v>
      </x:c>
    </x:row>
    <x:row r="143" ht="62" customHeight="1">
      <x:c r="A143" s="155" t="str">
        <x:v>T283</x:v>
      </x:c>
      <x:c r="B143" s="155" t="str">
        <x:v>Pulsera</x:v>
      </x:c>
      <x:c r="C143" s="155" t="str">
        <x:v>Analizar señales y pérdidas de contexto</x:v>
      </x:c>
      <x:c r="D143" s="155" t="n">
        <x:v>13</x:v>
      </x:c>
      <x:c r="E143" s="155" t="n">
        <x:v>28</x:v>
      </x:c>
      <x:c r="F143" s="155" t="str">
        <x:v>Ing. embebidos</x:v>
      </x:c>
      <x:c r="G143" s="155" t="str">
        <x:v>T273</x:v>
      </x:c>
      <x:c r="H143" s="158" t="n">
        <x:v>4.25</x:v>
      </x:c>
      <x:c r="I143" s="158" t="n">
        <x:v>18.7</x:v>
      </x:c>
      <x:c r="J143" s="158" t="n">
        <x:v>8.5</x:v>
      </x:c>
      <x:c r="K143" s="158" t="n">
        <x:v>1.7</x:v>
      </x:c>
      <x:c r="L143" s="155" t="str">
        <x:v>Informe de calidad</x:v>
      </x:c>
      <x:c r="M143" s="155" t="str">
        <x:v>Intervalos por carga y mala señal distinguidos</x:v>
      </x:c>
      <x:c r="N143" s="158" t="n">
        <x:f>SUM(H143:K143)</x:f>
        <x:v>33.15</x:v>
      </x:c>
      <x:c r="O143" s="155" t="str">
        <x:v>Si implica participantes: autorizaciones de investigación, ética y centro vigentes; configuración evaluable</x:v>
      </x:c>
      <x:c r="P143" s="155" t="str">
        <x:v>Evaluar la pulsera</x:v>
      </x:c>
    </x:row>
    <x:row r="144" ht="62" customHeight="1">
      <x:c r="A144" s="155" t="str">
        <x:v>T284</x:v>
      </x:c>
      <x:c r="B144" s="155" t="str">
        <x:v>Aplicación</x:v>
      </x:c>
      <x:c r="C144" s="155" t="str">
        <x:v>Evaluar mediciones y modelos frente a referencia</x:v>
      </x:c>
      <x:c r="D144" s="155" t="n">
        <x:v>13</x:v>
      </x:c>
      <x:c r="E144" s="155" t="n">
        <x:v>28</x:v>
      </x:c>
      <x:c r="F144" s="155" t="str">
        <x:v>Ing. software</x:v>
      </x:c>
      <x:c r="G144" s="155" t="str">
        <x:v>T274</x:v>
      </x:c>
      <x:c r="H144" s="158" t="n">
        <x:v>32.3</x:v>
      </x:c>
      <x:c r="I144" s="158" t="n">
        <x:v>2.55</x:v>
      </x:c>
      <x:c r="J144" s="158" t="n">
        <x:v>6.8</x:v>
      </x:c>
      <x:c r="K144" s="158" t="n">
        <x:v>0.85</x:v>
      </x:c>
      <x:c r="L144" s="155" t="str">
        <x:v>Informe de resultados por salida</x:v>
      </x:c>
      <x:c r="M144" s="155" t="str">
        <x:v>Métricas comparadas con criterios definidos previamente</x:v>
      </x:c>
      <x:c r="N144" s="158" t="n">
        <x:f>SUM(H144:K144)</x:f>
        <x:v>42.49999999999999</x:v>
      </x:c>
      <x:c r="O144" s="155" t="str">
        <x:v>Si implica participantes: autorizaciones de investigación, ética y centro vigentes; configuración evaluable</x:v>
      </x:c>
      <x:c r="P144" s="155" t="str">
        <x:v>Evaluar la aplicación y los modelos</x:v>
      </x:c>
    </x:row>
    <x:row r="145" ht="62" customHeight="1">
      <x:c r="A145" s="155" t="str">
        <x:v>X28</x:v>
      </x:c>
      <x:c r="B145" s="155" t="str">
        <x:v>Transversal</x:v>
      </x:c>
      <x:c r="C145" s="155" t="str">
        <x:v>Revisar integridad de evidencia</x:v>
      </x:c>
      <x:c r="D145" s="155" t="n">
        <x:v>13</x:v>
      </x:c>
      <x:c r="E145" s="155" t="n">
        <x:v>28</x:v>
      </x:c>
      <x:c r="F145" s="155" t="str">
        <x:v>Ing. embebidos; coordinación QA</x:v>
      </x:c>
      <x:c r="G145" s="155" t="str">
        <x:v>X27</x:v>
      </x:c>
      <x:c r="H145" s="158" t="n">
        <x:v>16</x:v>
      </x:c>
      <x:c r="I145" s="158" t="n">
        <x:v>16</x:v>
      </x:c>
      <x:c r="J145" s="158" t="n">
        <x:v>16</x:v>
      </x:c>
      <x:c r="K145" s="158" t="n">
        <x:v>16</x:v>
      </x:c>
      <x:c r="L145" s="155" t="str">
        <x:v>Acta de control de datos</x:v>
      </x:c>
      <x:c r="M145" s="155" t="str">
        <x:v>Referencias y exclusiones trazables</x:v>
      </x:c>
      <x:c r="N145" s="158" t="n">
        <x:f>SUM(H145:K145)</x:f>
        <x:v>64</x:v>
      </x:c>
      <x:c r="O145" s="155" t="str"/>
      <x:c r="P145" s="155" t="str">
        <x:v>Gestionar evaluaciones y autorizaciones</x:v>
      </x:c>
    </x:row>
    <x:row r="146" ht="62" customHeight="1">
      <x:c r="A146" s="155" t="str">
        <x:v>T291</x:v>
      </x:c>
      <x:c r="B146" s="155" t="str">
        <x:v>Parche descartable</x:v>
      </x:c>
      <x:c r="C146" s="155" t="str">
        <x:v>Analizar desvíos del sensor</x:v>
      </x:c>
      <x:c r="D146" s="155" t="n">
        <x:v>14</x:v>
      </x:c>
      <x:c r="E146" s="155" t="n">
        <x:v>29</x:v>
      </x:c>
      <x:c r="F146" s="155" t="str">
        <x:v>Técnico laboratorio</x:v>
      </x:c>
      <x:c r="G146" s="155" t="str">
        <x:v>T281</x:v>
      </x:c>
      <x:c r="H146" s="158" t="n">
        <x:v>2</x:v>
      </x:c>
      <x:c r="I146" s="158" t="n">
        <x:v>3</x:v>
      </x:c>
      <x:c r="J146" s="158" t="n">
        <x:v>8</x:v>
      </x:c>
      <x:c r="K146" s="158" t="n">
        <x:v>38</x:v>
      </x:c>
      <x:c r="L146" s="155" t="str">
        <x:v>Registro de fallas y comparación</x:v>
      </x:c>
      <x:c r="M146" s="155" t="str">
        <x:v>Cada desvío tiene causa investigada y decisión documentada</x:v>
      </x:c>
      <x:c r="N146" s="158" t="n">
        <x:f>SUM(H146:K146)</x:f>
        <x:v>51</x:v>
      </x:c>
      <x:c r="O146" s="155" t="str">
        <x:v>Si implica participantes: autorizaciones de investigación, ética y centro vigentes; configuración evaluable</x:v>
      </x:c>
      <x:c r="P146" s="155" t="str">
        <x:v>Evaluar el parche</x:v>
      </x:c>
    </x:row>
    <x:row r="147" ht="62" customHeight="1">
      <x:c r="A147" s="155" t="str">
        <x:v>T292</x:v>
      </x:c>
      <x:c r="B147" s="155" t="str">
        <x:v>Lector reutilizable</x:v>
      </x:c>
      <x:c r="C147" s="155" t="str">
        <x:v>Analizar consumo y fallas observadas</x:v>
      </x:c>
      <x:c r="D147" s="155" t="n">
        <x:v>14</x:v>
      </x:c>
      <x:c r="E147" s="155" t="n">
        <x:v>29</x:v>
      </x:c>
      <x:c r="F147" s="155" t="str">
        <x:v>Ing. embebidos</x:v>
      </x:c>
      <x:c r="G147" s="155" t="str">
        <x:v>T282</x:v>
      </x:c>
      <x:c r="H147" s="158" t="n">
        <x:v>6</x:v>
      </x:c>
      <x:c r="I147" s="158" t="n">
        <x:v>25</x:v>
      </x:c>
      <x:c r="J147" s="158" t="n">
        <x:v>7</x:v>
      </x:c>
      <x:c r="K147" s="158" t="n">
        <x:v>3</x:v>
      </x:c>
      <x:c r="L147" s="155" t="str">
        <x:v>Informe de operación</x:v>
      </x:c>
      <x:c r="M147" s="155" t="str">
        <x:v>Se contrastan batería, reconexión y uso real</x:v>
      </x:c>
      <x:c r="N147" s="158" t="n">
        <x:f>SUM(H147:K147)</x:f>
        <x:v>41</x:v>
      </x:c>
      <x:c r="O147" s="155" t="str">
        <x:v>Si implica participantes: autorizaciones de investigación, ética y centro vigentes; configuración evaluable</x:v>
      </x:c>
      <x:c r="P147" s="155" t="str">
        <x:v>Evaluar el lector</x:v>
      </x:c>
    </x:row>
    <x:row r="148" ht="62" customHeight="1">
      <x:c r="A148" s="155" t="str">
        <x:v>T293</x:v>
      </x:c>
      <x:c r="B148" s="155" t="str">
        <x:v>Pulsera</x:v>
      </x:c>
      <x:c r="C148" s="155" t="str">
        <x:v>Revisar alertas y experiencia de uso</x:v>
      </x:c>
      <x:c r="D148" s="155" t="n">
        <x:v>14</x:v>
      </x:c>
      <x:c r="E148" s="155" t="n">
        <x:v>29</x:v>
      </x:c>
      <x:c r="F148" s="155" t="str">
        <x:v>Ing. embebidos</x:v>
      </x:c>
      <x:c r="G148" s="155" t="str">
        <x:v>T283</x:v>
      </x:c>
      <x:c r="H148" s="158" t="n">
        <x:v>5</x:v>
      </x:c>
      <x:c r="I148" s="158" t="n">
        <x:v>22</x:v>
      </x:c>
      <x:c r="J148" s="158" t="n">
        <x:v>10</x:v>
      </x:c>
      <x:c r="K148" s="158" t="n">
        <x:v>2</x:v>
      </x:c>
      <x:c r="L148" s="155" t="str">
        <x:v>Evaluación de estados visuales</x:v>
      </x:c>
      <x:c r="M148" s="155" t="str">
        <x:v>Resultado contrastado con referencia y comprensión</x:v>
      </x:c>
      <x:c r="N148" s="158" t="n">
        <x:f>SUM(H148:K148)</x:f>
        <x:v>39</x:v>
      </x:c>
      <x:c r="O148" s="155" t="str">
        <x:v>Si implica participantes: autorizaciones de investigación, ética y centro vigentes; configuración evaluable</x:v>
      </x:c>
      <x:c r="P148" s="155" t="str">
        <x:v>Evaluar la pulsera</x:v>
      </x:c>
    </x:row>
    <x:row r="149" ht="62" customHeight="1">
      <x:c r="A149" s="155" t="str">
        <x:v>T294</x:v>
      </x:c>
      <x:c r="B149" s="155" t="str">
        <x:v>Aplicación</x:v>
      </x:c>
      <x:c r="C149" s="155" t="str">
        <x:v>Evaluar semáforo y avisos</x:v>
      </x:c>
      <x:c r="D149" s="155" t="n">
        <x:v>14</x:v>
      </x:c>
      <x:c r="E149" s="155" t="n">
        <x:v>29</x:v>
      </x:c>
      <x:c r="F149" s="155" t="str">
        <x:v>Ing. software</x:v>
      </x:c>
      <x:c r="G149" s="155" t="str">
        <x:v>T284</x:v>
      </x:c>
      <x:c r="H149" s="158" t="n">
        <x:v>38</x:v>
      </x:c>
      <x:c r="I149" s="158" t="n">
        <x:v>3</x:v>
      </x:c>
      <x:c r="J149" s="158" t="n">
        <x:v>8</x:v>
      </x:c>
      <x:c r="K149" s="158" t="n">
        <x:v>1</x:v>
      </x:c>
      <x:c r="L149" s="155" t="str">
        <x:v>Informe de clasificación y uso</x:v>
      </x:c>
      <x:c r="M149" s="155" t="str">
        <x:v>Umbrales y errores contrastados; se proponen límites de uso</x:v>
      </x:c>
      <x:c r="N149" s="158" t="n">
        <x:f>SUM(H149:K149)</x:f>
        <x:v>50</x:v>
      </x:c>
      <x:c r="O149" s="155" t="str">
        <x:v>Si implica participantes: autorizaciones de investigación, ética y centro vigentes; configuración evaluable</x:v>
      </x:c>
      <x:c r="P149" s="155" t="str">
        <x:v>Evaluar la aplicación y los modelos</x:v>
      </x:c>
    </x:row>
    <x:row r="150" ht="62" customHeight="1">
      <x:c r="A150" s="155" t="str">
        <x:v>X29</x:v>
      </x:c>
      <x:c r="B150" s="155" t="str">
        <x:v>Transversal</x:v>
      </x:c>
      <x:c r="C150" s="155" t="str">
        <x:v>Cerrar actividades de evaluación previstas</x:v>
      </x:c>
      <x:c r="D150" s="155" t="n">
        <x:v>14</x:v>
      </x:c>
      <x:c r="E150" s="155" t="n">
        <x:v>29</x:v>
      </x:c>
      <x:c r="F150" s="155" t="str">
        <x:v>Ing. embebidos; coordinación QA</x:v>
      </x:c>
      <x:c r="G150" s="155" t="str">
        <x:v>X28</x:v>
      </x:c>
      <x:c r="H150" s="158" t="n">
        <x:v>16</x:v>
      </x:c>
      <x:c r="I150" s="158" t="n">
        <x:v>16</x:v>
      </x:c>
      <x:c r="J150" s="158" t="n">
        <x:v>16</x:v>
      </x:c>
      <x:c r="K150" s="158" t="n">
        <x:v>16</x:v>
      </x:c>
      <x:c r="L150" s="155" t="str">
        <x:v>Informe del centro</x:v>
      </x:c>
      <x:c r="M150" s="155" t="str">
        <x:v>Cierre sujeto al diseño y aprobaciones del estudio</x:v>
      </x:c>
      <x:c r="N150" s="158" t="n">
        <x:f>SUM(H150:K150)</x:f>
        <x:v>64</x:v>
      </x:c>
      <x:c r="O150" s="155" t="str"/>
      <x:c r="P150" s="155" t="str">
        <x:v>Gestionar evaluaciones y autorizaciones</x:v>
      </x:c>
    </x:row>
    <x:row r="151" ht="62" customHeight="1">
      <x:c r="A151" s="155" t="str">
        <x:v>T301</x:v>
      </x:c>
      <x:c r="B151" s="155" t="str">
        <x:v>Parche descartable</x:v>
      </x:c>
      <x:c r="C151" s="155" t="str">
        <x:v>Evaluar impacto de correcciones</x:v>
      </x:c>
      <x:c r="D151" s="155" t="n">
        <x:v>14</x:v>
      </x:c>
      <x:c r="E151" s="155" t="n">
        <x:v>30</x:v>
      </x:c>
      <x:c r="F151" s="155" t="str">
        <x:v>Técnico laboratorio</x:v>
      </x:c>
      <x:c r="G151" s="155" t="str">
        <x:v>T291</x:v>
      </x:c>
      <x:c r="H151" s="158" t="n">
        <x:v>2.2</x:v>
      </x:c>
      <x:c r="I151" s="158" t="n">
        <x:v>3.3</x:v>
      </x:c>
      <x:c r="J151" s="158" t="n">
        <x:v>8.8</x:v>
      </x:c>
      <x:c r="K151" s="158" t="n">
        <x:v>41.8</x:v>
      </x:c>
      <x:c r="L151" s="155" t="str">
        <x:v>Análisis de comparabilidad</x:v>
      </x:c>
      <x:c r="M151" s="155" t="str">
        <x:v>Se determina si el cambio requiere repetir evidencia</x:v>
      </x:c>
      <x:c r="N151" s="158" t="n">
        <x:f>SUM(H151:K151)</x:f>
        <x:v>56.099999999999994</x:v>
      </x:c>
      <x:c r="O151" s="155" t="str">
        <x:v>Si implica participantes: autorizaciones de investigación, ética y centro vigentes; configuración evaluable</x:v>
      </x:c>
      <x:c r="P151" s="155" t="str">
        <x:v>Evaluar el parche</x:v>
      </x:c>
    </x:row>
    <x:row r="152" ht="62" customHeight="1">
      <x:c r="A152" s="155" t="str">
        <x:v>T302</x:v>
      </x:c>
      <x:c r="B152" s="155" t="str">
        <x:v>Lector reutilizable</x:v>
      </x:c>
      <x:c r="C152" s="155" t="str">
        <x:v>Controlar cambios de electrónica</x:v>
      </x:c>
      <x:c r="D152" s="155" t="n">
        <x:v>14</x:v>
      </x:c>
      <x:c r="E152" s="155" t="n">
        <x:v>30</x:v>
      </x:c>
      <x:c r="F152" s="155" t="str">
        <x:v>Ing. embebidos</x:v>
      </x:c>
      <x:c r="G152" s="155" t="str">
        <x:v>T292</x:v>
      </x:c>
      <x:c r="H152" s="158" t="n">
        <x:v>6.6</x:v>
      </x:c>
      <x:c r="I152" s="158" t="n">
        <x:v>27.5</x:v>
      </x:c>
      <x:c r="J152" s="158" t="n">
        <x:v>7.7</x:v>
      </x:c>
      <x:c r="K152" s="158" t="n">
        <x:v>3.3</x:v>
      </x:c>
      <x:c r="L152" s="155" t="str">
        <x:v>Registro de impacto y regresión</x:v>
      </x:c>
      <x:c r="M152" s="155" t="str">
        <x:v>Se decide qué ensayos deben repetirse</x:v>
      </x:c>
      <x:c r="N152" s="158" t="n">
        <x:f>SUM(H152:K152)</x:f>
        <x:v>45.1</x:v>
      </x:c>
      <x:c r="O152" s="155" t="str">
        <x:v>Si implica participantes: autorizaciones de investigación, ética y centro vigentes; configuración evaluable</x:v>
      </x:c>
      <x:c r="P152" s="155" t="str">
        <x:v>Evaluar el lector</x:v>
      </x:c>
    </x:row>
    <x:row r="153" ht="62" customHeight="1">
      <x:c r="A153" s="155" t="str">
        <x:v>T303</x:v>
      </x:c>
      <x:c r="B153" s="155" t="str">
        <x:v>Pulsera</x:v>
      </x:c>
      <x:c r="C153" s="155" t="str">
        <x:v>Controlar cambios de pulsera</x:v>
      </x:c>
      <x:c r="D153" s="155" t="n">
        <x:v>14</x:v>
      </x:c>
      <x:c r="E153" s="155" t="n">
        <x:v>30</x:v>
      </x:c>
      <x:c r="F153" s="155" t="str">
        <x:v>Ing. embebidos</x:v>
      </x:c>
      <x:c r="G153" s="155" t="str">
        <x:v>T293</x:v>
      </x:c>
      <x:c r="H153" s="158" t="n">
        <x:v>5.5</x:v>
      </x:c>
      <x:c r="I153" s="158" t="n">
        <x:v>24.2</x:v>
      </x:c>
      <x:c r="J153" s="158" t="n">
        <x:v>11</x:v>
      </x:c>
      <x:c r="K153" s="158" t="n">
        <x:v>2.2</x:v>
      </x:c>
      <x:c r="L153" s="155" t="str">
        <x:v>Registro de comparabilidad</x:v>
      </x:c>
      <x:c r="M153" s="155" t="str">
        <x:v>Se define evidencia a repetir antes de liberar</x:v>
      </x:c>
      <x:c r="N153" s="158" t="n">
        <x:f>SUM(H153:K153)</x:f>
        <x:v>42.900000000000006</x:v>
      </x:c>
      <x:c r="O153" s="155" t="str">
        <x:v>Si implica participantes: autorizaciones de investigación, ética y centro vigentes; configuración evaluable</x:v>
      </x:c>
      <x:c r="P153" s="155" t="str">
        <x:v>Evaluar la pulsera</x:v>
      </x:c>
    </x:row>
    <x:row r="154" ht="62" customHeight="1">
      <x:c r="A154" s="155" t="str">
        <x:v>T304</x:v>
      </x:c>
      <x:c r="B154" s="155" t="str">
        <x:v>Aplicación</x:v>
      </x:c>
      <x:c r="C154" s="155" t="str">
        <x:v>Revisar impacto de cambios de modelo</x:v>
      </x:c>
      <x:c r="D154" s="155" t="n">
        <x:v>14</x:v>
      </x:c>
      <x:c r="E154" s="155" t="n">
        <x:v>30</x:v>
      </x:c>
      <x:c r="F154" s="155" t="str">
        <x:v>Ing. software</x:v>
      </x:c>
      <x:c r="G154" s="155" t="str">
        <x:v>T294</x:v>
      </x:c>
      <x:c r="H154" s="158" t="n">
        <x:v>41.8</x:v>
      </x:c>
      <x:c r="I154" s="158" t="n">
        <x:v>3.3</x:v>
      </x:c>
      <x:c r="J154" s="158" t="n">
        <x:v>8.8</x:v>
      </x:c>
      <x:c r="K154" s="158" t="n">
        <x:v>1.1</x:v>
      </x:c>
      <x:c r="L154" s="155" t="str">
        <x:v>Registro de versión y validación</x:v>
      </x:c>
      <x:c r="M154" s="155" t="str">
        <x:v>Sin ajustar con el conjunto reservado para evaluación final</x:v>
      </x:c>
      <x:c r="N154" s="158" t="n">
        <x:f>SUM(H154:K154)</x:f>
        <x:v>54.99999999999999</x:v>
      </x:c>
      <x:c r="O154" s="155" t="str">
        <x:v>Si implica participantes: autorizaciones de investigación, ética y centro vigentes; configuración evaluable</x:v>
      </x:c>
      <x:c r="P154" s="155" t="str">
        <x:v>Evaluar la aplicación y los modelos</x:v>
      </x:c>
    </x:row>
    <x:row r="155" ht="62" customHeight="1">
      <x:c r="A155" s="155" t="str">
        <x:v>X30</x:v>
      </x:c>
      <x:c r="B155" s="155" t="str">
        <x:v>Transversal</x:v>
      </x:c>
      <x:c r="C155" s="155" t="str">
        <x:v>Resolver observaciones y analizar cambios</x:v>
      </x:c>
      <x:c r="D155" s="155" t="n">
        <x:v>14</x:v>
      </x:c>
      <x:c r="E155" s="155" t="n">
        <x:v>30</x:v>
      </x:c>
      <x:c r="F155" s="155" t="str">
        <x:v>Ing. embebidos; coordinación QA</x:v>
      </x:c>
      <x:c r="G155" s="155" t="str">
        <x:v>X29</x:v>
      </x:c>
      <x:c r="H155" s="158" t="n">
        <x:v>16</x:v>
      </x:c>
      <x:c r="I155" s="158" t="n">
        <x:v>16</x:v>
      </x:c>
      <x:c r="J155" s="158" t="n">
        <x:v>16</x:v>
      </x:c>
      <x:c r="K155" s="158" t="n">
        <x:v>16</x:v>
      </x:c>
      <x:c r="L155" s="155" t="str">
        <x:v>Registro de acciones</x:v>
      </x:c>
      <x:c r="M155" s="155" t="str">
        <x:v>Se define si hace falta evidencia adicional</x:v>
      </x:c>
      <x:c r="N155" s="158" t="n">
        <x:f>SUM(H155:K155)</x:f>
        <x:v>64</x:v>
      </x:c>
      <x:c r="O155" s="155" t="str"/>
      <x:c r="P155" s="155" t="str">
        <x:v>Gestionar evaluaciones y autorizaciones</x:v>
      </x:c>
    </x:row>
    <x:row r="156" ht="62" customHeight="1">
      <x:c r="A156" s="155" t="str">
        <x:v>T311</x:v>
      </x:c>
      <x:c r="B156" s="155" t="str">
        <x:v>Parche descartable</x:v>
      </x:c>
      <x:c r="C156" s="155" t="str">
        <x:v>Repetir controles analíticos</x:v>
      </x:c>
      <x:c r="D156" s="155" t="n">
        <x:v>15</x:v>
      </x:c>
      <x:c r="E156" s="155" t="n">
        <x:v>31</x:v>
      </x:c>
      <x:c r="F156" s="155" t="str">
        <x:v>Técnico laboratorio</x:v>
      </x:c>
      <x:c r="G156" s="155" t="str">
        <x:v>T301</x:v>
      </x:c>
      <x:c r="H156" s="158" t="n">
        <x:v>1.7</x:v>
      </x:c>
      <x:c r="I156" s="158" t="n">
        <x:v>2.55</x:v>
      </x:c>
      <x:c r="J156" s="158" t="n">
        <x:v>6.8</x:v>
      </x:c>
      <x:c r="K156" s="158" t="n">
        <x:v>32.3</x:v>
      </x:c>
      <x:c r="L156" s="155" t="str">
        <x:v>Informe de regresión del parche</x:v>
      </x:c>
      <x:c r="M156" s="155" t="str">
        <x:v>Se cumplen criterios definidos o se bloquea la liberación</x:v>
      </x:c>
      <x:c r="N156" s="158" t="n">
        <x:f>SUM(H156:K156)</x:f>
        <x:v>43.349999999999994</x:v>
      </x:c>
      <x:c r="O156" s="155" t="str">
        <x:v>Laboratorio externo: agenda y emisión estimadas 2–4 semanas; no son horas internas</x:v>
      </x:c>
      <x:c r="P156" s="155" t="str">
        <x:v>Evaluar el parche</x:v>
      </x:c>
    </x:row>
    <x:row r="157" ht="62" customHeight="1">
      <x:c r="A157" s="155" t="str">
        <x:v>T312</x:v>
      </x:c>
      <x:c r="B157" s="155" t="str">
        <x:v>Lector reutilizable</x:v>
      </x:c>
      <x:c r="C157" s="155" t="str">
        <x:v>Ejecutar regresión final del lector</x:v>
      </x:c>
      <x:c r="D157" s="155" t="n">
        <x:v>15</x:v>
      </x:c>
      <x:c r="E157" s="155" t="n">
        <x:v>31</x:v>
      </x:c>
      <x:c r="F157" s="155" t="str">
        <x:v>Ing. embebidos</x:v>
      </x:c>
      <x:c r="G157" s="155" t="str">
        <x:v>T302</x:v>
      </x:c>
      <x:c r="H157" s="158" t="n">
        <x:v>5.1</x:v>
      </x:c>
      <x:c r="I157" s="158" t="n">
        <x:v>21.25</x:v>
      </x:c>
      <x:c r="J157" s="158" t="n">
        <x:v>5.95</x:v>
      </x:c>
      <x:c r="K157" s="158" t="n">
        <x:v>2.55</x:v>
      </x:c>
      <x:c r="L157" s="155" t="str">
        <x:v>Informe de ensayos completo</x:v>
      </x:c>
      <x:c r="M157" s="155" t="str">
        <x:v>Adquisición, BLE, memoria, carga y acople verificados</x:v>
      </x:c>
      <x:c r="N157" s="158" t="n">
        <x:f>SUM(H157:K157)</x:f>
        <x:v>34.85</x:v>
      </x:c>
      <x:c r="O157" s="155" t="str">
        <x:v>Versión corregida y banco disponibles; nueva espera externa solo si el cambio exige repetir un ensayo especializado</x:v>
      </x:c>
      <x:c r="P157" s="155" t="str">
        <x:v>Evaluar el lector</x:v>
      </x:c>
    </x:row>
    <x:row r="158" ht="62" customHeight="1">
      <x:c r="A158" s="155" t="str">
        <x:v>T313</x:v>
      </x:c>
      <x:c r="B158" s="155" t="str">
        <x:v>Pulsera</x:v>
      </x:c>
      <x:c r="C158" s="155" t="str">
        <x:v>Repetir ensayos de la versión final</x:v>
      </x:c>
      <x:c r="D158" s="155" t="n">
        <x:v>15</x:v>
      </x:c>
      <x:c r="E158" s="155" t="n">
        <x:v>31</x:v>
      </x:c>
      <x:c r="F158" s="155" t="str">
        <x:v>Ing. embebidos</x:v>
      </x:c>
      <x:c r="G158" s="155" t="str">
        <x:v>T303</x:v>
      </x:c>
      <x:c r="H158" s="158" t="n">
        <x:v>4.25</x:v>
      </x:c>
      <x:c r="I158" s="158" t="n">
        <x:v>18.7</x:v>
      </x:c>
      <x:c r="J158" s="158" t="n">
        <x:v>8.5</x:v>
      </x:c>
      <x:c r="K158" s="158" t="n">
        <x:v>1.7</x:v>
      </x:c>
      <x:c r="L158" s="155" t="str">
        <x:v>Reporte de regresión</x:v>
      </x:c>
      <x:c r="M158" s="155" t="str">
        <x:v>Cambios no degradan carga, señalización ni protección</x:v>
      </x:c>
      <x:c r="N158" s="158" t="n">
        <x:f>SUM(H158:K158)</x:f>
        <x:v>33.15</x:v>
      </x:c>
      <x:c r="O158" s="155" t="str">
        <x:v>Laboratorio externo: agenda y emisión estimadas 2–4 semanas; no son horas internas</x:v>
      </x:c>
      <x:c r="P158" s="155" t="str">
        <x:v>Evaluar la pulsera</x:v>
      </x:c>
    </x:row>
    <x:row r="159" ht="62" customHeight="1">
      <x:c r="A159" s="155" t="str">
        <x:v>T314</x:v>
      </x:c>
      <x:c r="B159" s="155" t="str">
        <x:v>Aplicación</x:v>
      </x:c>
      <x:c r="C159" s="155" t="str">
        <x:v>Ejecutar evaluación independiente reservada</x:v>
      </x:c>
      <x:c r="D159" s="155" t="n">
        <x:v>15</x:v>
      </x:c>
      <x:c r="E159" s="155" t="n">
        <x:v>31</x:v>
      </x:c>
      <x:c r="F159" s="155" t="str">
        <x:v>Ing. software</x:v>
      </x:c>
      <x:c r="G159" s="155" t="str">
        <x:v>T304</x:v>
      </x:c>
      <x:c r="H159" s="158" t="n">
        <x:v>32.3</x:v>
      </x:c>
      <x:c r="I159" s="158" t="n">
        <x:v>2.55</x:v>
      </x:c>
      <x:c r="J159" s="158" t="n">
        <x:v>6.8</x:v>
      </x:c>
      <x:c r="K159" s="158" t="n">
        <x:v>0.85</x:v>
      </x:c>
      <x:c r="L159" s="155" t="str">
        <x:v>Informe final de desempeño</x:v>
      </x:c>
      <x:c r="M159" s="155" t="str">
        <x:v>Se reporta resultado de cada horizonte sin combinar métricas</x:v>
      </x:c>
      <x:c r="N159" s="158" t="n">
        <x:f>SUM(H159:K159)</x:f>
        <x:v>42.49999999999999</x:v>
      </x:c>
      <x:c r="O159" s="155" t="str">
        <x:v>Datos reservados y acceso aprobado disponibles; evaluación del modelo interna, independiente del conjunto de entrenamiento</x:v>
      </x:c>
      <x:c r="P159" s="155" t="str">
        <x:v>Evaluar la aplicación y los modelos</x:v>
      </x:c>
    </x:row>
    <x:row r="160" ht="62" customHeight="1">
      <x:c r="A160" s="155" t="str">
        <x:v>X31</x:v>
      </x:c>
      <x:c r="B160" s="155" t="str">
        <x:v>Transversal</x:v>
      </x:c>
      <x:c r="C160" s="155" t="str">
        <x:v>Consolidar resultados clínicos y técnicos</x:v>
      </x:c>
      <x:c r="D160" s="155" t="n">
        <x:v>15</x:v>
      </x:c>
      <x:c r="E160" s="155" t="n">
        <x:v>31</x:v>
      </x:c>
      <x:c r="F160" s="155" t="str">
        <x:v>Ing. embebidos; coordinación QA</x:v>
      </x:c>
      <x:c r="G160" s="155" t="str">
        <x:v>X30</x:v>
      </x:c>
      <x:c r="H160" s="158" t="n">
        <x:v>16</x:v>
      </x:c>
      <x:c r="I160" s="158" t="n">
        <x:v>16</x:v>
      </x:c>
      <x:c r="J160" s="158" t="n">
        <x:v>16</x:v>
      </x:c>
      <x:c r="K160" s="158" t="n">
        <x:v>16</x:v>
      </x:c>
      <x:c r="L160" s="155" t="str">
        <x:v>Dossier de evaluación</x:v>
      </x:c>
      <x:c r="M160" s="155" t="str">
        <x:v>Limitaciones y funciones habilitables explícitas</x:v>
      </x:c>
      <x:c r="N160" s="158" t="n">
        <x:f>SUM(H160:K160)</x:f>
        <x:v>64</x:v>
      </x:c>
      <x:c r="O160" s="155" t="str"/>
      <x:c r="P160" s="155" t="str">
        <x:v>Gestionar evaluaciones y autorizaciones</x:v>
      </x:c>
    </x:row>
    <x:row r="161" ht="62" customHeight="1">
      <x:c r="A161" s="155" t="str">
        <x:v>T321</x:v>
      </x:c>
      <x:c r="B161" s="155" t="str">
        <x:v>Parche descartable</x:v>
      </x:c>
      <x:c r="C161" s="155" t="str">
        <x:v>Consolidar evidencia del parche</x:v>
      </x:c>
      <x:c r="D161" s="155" t="n">
        <x:v>15</x:v>
      </x:c>
      <x:c r="E161" s="155" t="n">
        <x:v>32</x:v>
      </x:c>
      <x:c r="F161" s="155" t="str">
        <x:v>Técnico laboratorio</x:v>
      </x:c>
      <x:c r="G161" s="155" t="str">
        <x:v>T311</x:v>
      </x:c>
      <x:c r="H161" s="158" t="n">
        <x:v>2</x:v>
      </x:c>
      <x:c r="I161" s="158" t="n">
        <x:v>3</x:v>
      </x:c>
      <x:c r="J161" s="158" t="n">
        <x:v>8</x:v>
      </x:c>
      <x:c r="K161" s="158" t="n">
        <x:v>38</x:v>
      </x:c>
      <x:c r="L161" s="155" t="str">
        <x:v>Anexo analítico del expediente</x:v>
      </x:c>
      <x:c r="M161" s="155" t="str">
        <x:v>Resultados y lotes coinciden con la versión presentada</x:v>
      </x:c>
      <x:c r="N161" s="158" t="n">
        <x:f>SUM(H161:K161)</x:f>
        <x:v>51</x:v>
      </x:c>
      <x:c r="O161" s="155" t="str">
        <x:v>Informes del parche completos antes de consolidar; no se agrega otro plazo de laboratorio a la escritura del expediente</x:v>
      </x:c>
      <x:c r="P161" s="155" t="str">
        <x:v>Evaluar el parche</x:v>
      </x:c>
    </x:row>
    <x:row r="162" ht="62" customHeight="1">
      <x:c r="A162" s="155" t="str">
        <x:v>T322</x:v>
      </x:c>
      <x:c r="B162" s="155" t="str">
        <x:v>Lector reutilizable</x:v>
      </x:c>
      <x:c r="C162" s="155" t="str">
        <x:v>Consolidar expediente del lector</x:v>
      </x:c>
      <x:c r="D162" s="155" t="n">
        <x:v>15</x:v>
      </x:c>
      <x:c r="E162" s="155" t="n">
        <x:v>32</x:v>
      </x:c>
      <x:c r="F162" s="155" t="str">
        <x:v>Ing. embebidos</x:v>
      </x:c>
      <x:c r="G162" s="155" t="str">
        <x:v>T312</x:v>
      </x:c>
      <x:c r="H162" s="158" t="n">
        <x:v>6</x:v>
      </x:c>
      <x:c r="I162" s="158" t="n">
        <x:v>25</x:v>
      </x:c>
      <x:c r="J162" s="158" t="n">
        <x:v>7</x:v>
      </x:c>
      <x:c r="K162" s="158" t="n">
        <x:v>3</x:v>
      </x:c>
      <x:c r="L162" s="155" t="str">
        <x:v>Anexo técnico con versiones</x:v>
      </x:c>
      <x:c r="M162" s="155" t="str">
        <x:v>Equipo evaluado y diseño presentado son trazables</x:v>
      </x:c>
      <x:c r="N162" s="158" t="n">
        <x:f>SUM(H162:K162)</x:f>
        <x:v>41</x:v>
      </x:c>
      <x:c r="O162" s="155" t="str">
        <x:v>Resultados finales del lector disponibles; cualquier informe externo pendiente condiciona el cierre</x:v>
      </x:c>
      <x:c r="P162" s="155" t="str">
        <x:v>Evaluar el lector</x:v>
      </x:c>
    </x:row>
    <x:row r="163" ht="62" customHeight="1">
      <x:c r="A163" s="155" t="str">
        <x:v>T323</x:v>
      </x:c>
      <x:c r="B163" s="155" t="str">
        <x:v>Pulsera</x:v>
      </x:c>
      <x:c r="C163" s="155" t="str">
        <x:v>Consolidar expediente de pulsera</x:v>
      </x:c>
      <x:c r="D163" s="155" t="n">
        <x:v>15</x:v>
      </x:c>
      <x:c r="E163" s="155" t="n">
        <x:v>32</x:v>
      </x:c>
      <x:c r="F163" s="155" t="str">
        <x:v>Ing. embebidos</x:v>
      </x:c>
      <x:c r="G163" s="155" t="str">
        <x:v>T313</x:v>
      </x:c>
      <x:c r="H163" s="158" t="n">
        <x:v>5</x:v>
      </x:c>
      <x:c r="I163" s="158" t="n">
        <x:v>22</x:v>
      </x:c>
      <x:c r="J163" s="158" t="n">
        <x:v>10</x:v>
      </x:c>
      <x:c r="K163" s="158" t="n">
        <x:v>2</x:v>
      </x:c>
      <x:c r="L163" s="155" t="str">
        <x:v>Anexo de seguridad y desempeño</x:v>
      </x:c>
      <x:c r="M163" s="155" t="str">
        <x:v>Configuración presentada coincide con evaluada</x:v>
      </x:c>
      <x:c r="N163" s="158" t="n">
        <x:f>SUM(H163:K163)</x:f>
        <x:v>39</x:v>
      </x:c>
      <x:c r="O163" s="155" t="str">
        <x:v>Resultados finales de pulsera disponibles; cualquier informe externo pendiente condiciona el cierre</x:v>
      </x:c>
      <x:c r="P163" s="155" t="str">
        <x:v>Evaluar la pulsera</x:v>
      </x:c>
    </x:row>
    <x:row r="164" ht="62" customHeight="1">
      <x:c r="A164" s="155" t="str">
        <x:v>T324</x:v>
      </x:c>
      <x:c r="B164" s="155" t="str">
        <x:v>Aplicación</x:v>
      </x:c>
      <x:c r="C164" s="155" t="str">
        <x:v>Consolidar expediente de software</x:v>
      </x:c>
      <x:c r="D164" s="155" t="n">
        <x:v>15</x:v>
      </x:c>
      <x:c r="E164" s="155" t="n">
        <x:v>32</x:v>
      </x:c>
      <x:c r="F164" s="155" t="str">
        <x:v>Ing. software</x:v>
      </x:c>
      <x:c r="G164" s="155" t="str">
        <x:v>T314</x:v>
      </x:c>
      <x:c r="H164" s="158" t="n">
        <x:v>38</x:v>
      </x:c>
      <x:c r="I164" s="158" t="n">
        <x:v>3</x:v>
      </x:c>
      <x:c r="J164" s="158" t="n">
        <x:v>8</x:v>
      </x:c>
      <x:c r="K164" s="158" t="n">
        <x:v>1</x:v>
      </x:c>
      <x:c r="L164" s="155" t="str">
        <x:v>Descripción de versión y pruebas</x:v>
      </x:c>
      <x:c r="M164" s="155" t="str">
        <x:v>Requisitos, riesgos y evidencia trazables</x:v>
      </x:c>
      <x:c r="N164" s="158" t="n">
        <x:f>SUM(H164:K164)</x:f>
        <x:v>50</x:v>
      </x:c>
      <x:c r="O164" s="155" t="str">
        <x:v>Resultados de software y modelos disponibles; no se agrega espera de laboratorio para redactar el expediente</x:v>
      </x:c>
      <x:c r="P164" s="155" t="str">
        <x:v>Evaluar la aplicación y los modelos</x:v>
      </x:c>
    </x:row>
    <x:row r="165" ht="62" customHeight="1">
      <x:c r="A165" s="155" t="str">
        <x:v>X32</x:v>
      </x:c>
      <x:c r="B165" s="155" t="str">
        <x:v>Transversal</x:v>
      </x:c>
      <x:c r="C165" s="155" t="str">
        <x:v>Revisar expediente comercial</x:v>
      </x:c>
      <x:c r="D165" s="155" t="n">
        <x:v>15</x:v>
      </x:c>
      <x:c r="E165" s="155" t="n">
        <x:v>32</x:v>
      </x:c>
      <x:c r="F165" s="155" t="str">
        <x:v>Ing. embebidos; coordinación QA</x:v>
      </x:c>
      <x:c r="G165" s="155" t="str">
        <x:v>X31, T311, T312, T313, T314</x:v>
      </x:c>
      <x:c r="H165" s="158" t="n">
        <x:v>16</x:v>
      </x:c>
      <x:c r="I165" s="158" t="n">
        <x:v>16</x:v>
      </x:c>
      <x:c r="J165" s="158" t="n">
        <x:v>16</x:v>
      </x:c>
      <x:c r="K165" s="158" t="n">
        <x:v>16</x:v>
      </x:c>
      <x:c r="L165" s="155" t="str">
        <x:v>Expediente completo para presentación</x:v>
      </x:c>
      <x:c r="M165" s="155" t="str">
        <x:v>Versiones, fabricante/importador y software identificados</x:v>
      </x:c>
      <x:c r="N165" s="158" t="n">
        <x:f>SUM(H165:K165)</x:f>
        <x:v>64</x:v>
      </x:c>
      <x:c r="O165" s="155" t="str"/>
      <x:c r="P165" s="155" t="str">
        <x:v>Gestionar evaluaciones y autorizaciones</x:v>
      </x:c>
    </x:row>
    <x:row r="166" ht="62" customHeight="1">
      <x:c r="A166" s="155" t="str">
        <x:v>T331</x:v>
      </x:c>
      <x:c r="B166" s="155" t="str">
        <x:v>Parche descartable</x:v>
      </x:c>
      <x:c r="C166" s="155" t="str">
        <x:v>Preparar proceso de producción</x:v>
      </x:c>
      <x:c r="D166" s="155" t="n">
        <x:v>16</x:v>
      </x:c>
      <x:c r="E166" s="155" t="n">
        <x:v>33</x:v>
      </x:c>
      <x:c r="F166" s="155" t="str">
        <x:v>Técnico laboratorio</x:v>
      </x:c>
      <x:c r="G166" s="155" t="str">
        <x:v>T321, T322, T323, T324, X32</x:v>
      </x:c>
      <x:c r="H166" s="158" t="n">
        <x:v>2.2</x:v>
      </x:c>
      <x:c r="I166" s="158" t="n">
        <x:v>3.3</x:v>
      </x:c>
      <x:c r="J166" s="158" t="n">
        <x:v>8.8</x:v>
      </x:c>
      <x:c r="K166" s="158" t="n">
        <x:v>41.8</x:v>
      </x:c>
      <x:c r="L166" s="155" t="str">
        <x:v>Instrucciones y criterios de lote</x:v>
      </x:c>
      <x:c r="M166" s="155" t="str">
        <x:v>Proceso y recepción aprobados para la versión final</x:v>
      </x:c>
      <x:c r="N166" s="158" t="n">
        <x:f>SUM(H166:K166)</x:f>
        <x:v>56.099999999999994</x:v>
      </x:c>
      <x:c r="O166" s="155" t="str"/>
      <x:c r="P166" s="155" t="str">
        <x:v>Recibir consumibles controlados</x:v>
      </x:c>
    </x:row>
    <x:row r="167" ht="62" customHeight="1">
      <x:c r="A167" s="155" t="str">
        <x:v>T332</x:v>
      </x:c>
      <x:c r="B167" s="155" t="str">
        <x:v>Lector reutilizable</x:v>
      </x:c>
      <x:c r="C167" s="155" t="str">
        <x:v>Diseñar útiles de programación y prueba</x:v>
      </x:c>
      <x:c r="D167" s="155" t="n">
        <x:v>16</x:v>
      </x:c>
      <x:c r="E167" s="155" t="n">
        <x:v>33</x:v>
      </x:c>
      <x:c r="F167" s="155" t="str">
        <x:v>Ing. embebidos</x:v>
      </x:c>
      <x:c r="G167" s="155" t="str">
        <x:v>T321, T322, T323, T324, X32</x:v>
      </x:c>
      <x:c r="H167" s="158" t="n">
        <x:v>6.6</x:v>
      </x:c>
      <x:c r="I167" s="158" t="n">
        <x:v>27.5</x:v>
      </x:c>
      <x:c r="J167" s="158" t="n">
        <x:v>7.7</x:v>
      </x:c>
      <x:c r="K167" s="158" t="n">
        <x:v>3.3</x:v>
      </x:c>
      <x:c r="L167" s="155" t="str">
        <x:v>Útil y secuencia de test</x:v>
      </x:c>
      <x:c r="M167" s="155" t="str">
        <x:v>Detecta fallas inducidas de montaje y comunicación</x:v>
      </x:c>
      <x:c r="N167" s="158" t="n">
        <x:f>SUM(H167:K167)</x:f>
        <x:v>45.1</x:v>
      </x:c>
      <x:c r="O167" s="155" t="str"/>
      <x:c r="P167" s="155" t="str">
        <x:v>Recibir lectores listos para usar</x:v>
      </x:c>
    </x:row>
    <x:row r="168" ht="62" customHeight="1">
      <x:c r="A168" s="155" t="str">
        <x:v>T333</x:v>
      </x:c>
      <x:c r="B168" s="155" t="str">
        <x:v>Pulsera</x:v>
      </x:c>
      <x:c r="C168" s="155" t="str">
        <x:v>Preparar útil de fabricación</x:v>
      </x:c>
      <x:c r="D168" s="155" t="n">
        <x:v>16</x:v>
      </x:c>
      <x:c r="E168" s="155" t="n">
        <x:v>33</x:v>
      </x:c>
      <x:c r="F168" s="155" t="str">
        <x:v>Ing. embebidos</x:v>
      </x:c>
      <x:c r="G168" s="155" t="str">
        <x:v>T321, T322, T323, T324, X32</x:v>
      </x:c>
      <x:c r="H168" s="158" t="n">
        <x:v>5.5</x:v>
      </x:c>
      <x:c r="I168" s="158" t="n">
        <x:v>24.2</x:v>
      </x:c>
      <x:c r="J168" s="158" t="n">
        <x:v>11</x:v>
      </x:c>
      <x:c r="K168" s="158" t="n">
        <x:v>2.2</x:v>
      </x:c>
      <x:c r="L168" s="155" t="str">
        <x:v>Fixture y procedimiento</x:v>
      </x:c>
      <x:c r="M168" s="155" t="str">
        <x:v>Sensores, LED y BLE pueden probarse en recepción</x:v>
      </x:c>
      <x:c r="N168" s="158" t="n">
        <x:f>SUM(H168:K168)</x:f>
        <x:v>42.900000000000006</x:v>
      </x:c>
      <x:c r="O168" s="155" t="str"/>
      <x:c r="P168" s="155" t="str">
        <x:v>Recibir una pulsera lista para usar</x:v>
      </x:c>
    </x:row>
    <x:row r="169" ht="62" customHeight="1">
      <x:c r="A169" s="155" t="str">
        <x:v>T334</x:v>
      </x:c>
      <x:c r="B169" s="155" t="str">
        <x:v>Aplicación</x:v>
      </x:c>
      <x:c r="C169" s="155" t="str">
        <x:v>Preparar distribución y soporte</x:v>
      </x:c>
      <x:c r="D169" s="155" t="n">
        <x:v>16</x:v>
      </x:c>
      <x:c r="E169" s="155" t="n">
        <x:v>33</x:v>
      </x:c>
      <x:c r="F169" s="155" t="str">
        <x:v>Ing. software</x:v>
      </x:c>
      <x:c r="G169" s="155" t="str">
        <x:v>T321, T322, T323, T324, X32</x:v>
      </x:c>
      <x:c r="H169" s="158" t="n">
        <x:v>41.8</x:v>
      </x:c>
      <x:c r="I169" s="158" t="n">
        <x:v>3.3</x:v>
      </x:c>
      <x:c r="J169" s="158" t="n">
        <x:v>8.8</x:v>
      </x:c>
      <x:c r="K169" s="158" t="n">
        <x:v>1.1</x:v>
      </x:c>
      <x:c r="L169" s="155" t="str">
        <x:v>Paquete instalable y procedimiento</x:v>
      </x:c>
      <x:c r="M169" s="155" t="str">
        <x:v>Versionado, recuperación y atención definidos</x:v>
      </x:c>
      <x:c r="N169" s="158" t="n">
        <x:f>SUM(H169:K169)</x:f>
        <x:v>54.99999999999999</x:v>
      </x:c>
      <x:c r="O169" s="155" t="str"/>
      <x:c r="P169" s="155" t="str">
        <x:v>Instalar la aplicación y recibir soporte</x:v>
      </x:c>
    </x:row>
    <x:row r="170" ht="62" customHeight="1">
      <x:c r="A170" s="155" t="str">
        <x:v>X33</x:v>
      </x:c>
      <x:c r="B170" s="155" t="str">
        <x:v>Transversal</x:v>
      </x:c>
      <x:c r="C170" s="155" t="str">
        <x:v>Gestionar registro y requisitos del establecimiento</x:v>
      </x:c>
      <x:c r="D170" s="155" t="n">
        <x:v>16</x:v>
      </x:c>
      <x:c r="E170" s="155" t="n">
        <x:v>33</x:v>
      </x:c>
      <x:c r="F170" s="155" t="str">
        <x:v>Ing. embebidos; coordinación QA</x:v>
      </x:c>
      <x:c r="G170" s="155" t="str">
        <x:v>X32</x:v>
      </x:c>
      <x:c r="H170" s="158" t="n">
        <x:v>16</x:v>
      </x:c>
      <x:c r="I170" s="158" t="n">
        <x:v>16</x:v>
      </x:c>
      <x:c r="J170" s="158" t="n">
        <x:v>16</x:v>
      </x:c>
      <x:c r="K170" s="158" t="n">
        <x:v>16</x:v>
      </x:c>
      <x:c r="L170" s="155" t="str">
        <x:v>Constancias y pendientes</x:v>
      </x:c>
      <x:c r="M170" s="155" t="str">
        <x:v>Registro del producto separado de habilitación del operador</x:v>
      </x:c>
      <x:c r="N170" s="158" t="n">
        <x:f>SUM(H170:K170)</x:f>
        <x:v>64</x:v>
      </x:c>
      <x:c r="O170" s="155" t="str">
        <x:v>Registro comercial y establecimiento: ventana M16–18 estimada; responder observaciones</x:v>
      </x:c>
      <x:c r="P170" s="155" t="str">
        <x:v>Gestionar evaluaciones y autorizaciones</x:v>
      </x:c>
    </x:row>
    <x:row r="171" ht="62" customHeight="1">
      <x:c r="A171" s="155" t="str">
        <x:v>T341</x:v>
      </x:c>
      <x:c r="B171" s="155" t="str">
        <x:v>Parche descartable</x:v>
      </x:c>
      <x:c r="C171" s="155" t="str">
        <x:v>Verificar capacidad del proveedor</x:v>
      </x:c>
      <x:c r="D171" s="155" t="n">
        <x:v>16</x:v>
      </x:c>
      <x:c r="E171" s="155" t="n">
        <x:v>34</x:v>
      </x:c>
      <x:c r="F171" s="155" t="str">
        <x:v>Técnico laboratorio</x:v>
      </x:c>
      <x:c r="G171" s="155" t="str">
        <x:v>T331</x:v>
      </x:c>
      <x:c r="H171" s="158" t="n">
        <x:v>1.7</x:v>
      </x:c>
      <x:c r="I171" s="158" t="n">
        <x:v>2.55</x:v>
      </x:c>
      <x:c r="J171" s="158" t="n">
        <x:v>6.8</x:v>
      </x:c>
      <x:c r="K171" s="158" t="n">
        <x:v>32.3</x:v>
      </x:c>
      <x:c r="L171" s="155" t="str">
        <x:v>Reporte de lote de preparación</x:v>
      </x:c>
      <x:c r="M171" s="155" t="str">
        <x:v>Proveedor demuestra el control acordado antes de la orden comercial</x:v>
      </x:c>
      <x:c r="N171" s="158" t="n">
        <x:f>SUM(H171:K171)</x:f>
        <x:v>43.349999999999994</x:v>
      </x:c>
      <x:c r="O171" s="155" t="str"/>
      <x:c r="P171" s="155" t="str">
        <x:v>Recibir consumibles controlados</x:v>
      </x:c>
    </x:row>
    <x:row r="172" ht="62" customHeight="1">
      <x:c r="A172" s="155" t="str">
        <x:v>T342</x:v>
      </x:c>
      <x:c r="B172" s="155" t="str">
        <x:v>Lector reutilizable</x:v>
      </x:c>
      <x:c r="C172" s="155" t="str">
        <x:v>Calificar la prueba de fin de línea</x:v>
      </x:c>
      <x:c r="D172" s="155" t="n">
        <x:v>16</x:v>
      </x:c>
      <x:c r="E172" s="155" t="n">
        <x:v>34</x:v>
      </x:c>
      <x:c r="F172" s="155" t="str">
        <x:v>Ing. embebidos</x:v>
      </x:c>
      <x:c r="G172" s="155" t="str">
        <x:v>T332</x:v>
      </x:c>
      <x:c r="H172" s="158" t="n">
        <x:v>5.1</x:v>
      </x:c>
      <x:c r="I172" s="158" t="n">
        <x:v>21.25</x:v>
      </x:c>
      <x:c r="J172" s="158" t="n">
        <x:v>5.95</x:v>
      </x:c>
      <x:c r="K172" s="158" t="n">
        <x:v>2.55</x:v>
      </x:c>
      <x:c r="L172" s="155" t="str">
        <x:v>Reporte de validación del útil</x:v>
      </x:c>
      <x:c r="M172" s="155" t="str">
        <x:v>Unidades conformes y falladas se clasifican correctamente</x:v>
      </x:c>
      <x:c r="N172" s="158" t="n">
        <x:f>SUM(H172:K172)</x:f>
        <x:v>34.85</x:v>
      </x:c>
      <x:c r="O172" s="155" t="str"/>
      <x:c r="P172" s="155" t="str">
        <x:v>Recibir lectores listos para usar</x:v>
      </x:c>
    </x:row>
    <x:row r="173" ht="62" customHeight="1">
      <x:c r="A173" s="155" t="str">
        <x:v>T343</x:v>
      </x:c>
      <x:c r="B173" s="155" t="str">
        <x:v>Pulsera</x:v>
      </x:c>
      <x:c r="C173" s="155" t="str">
        <x:v>Validar control de pulsera</x:v>
      </x:c>
      <x:c r="D173" s="155" t="n">
        <x:v>16</x:v>
      </x:c>
      <x:c r="E173" s="155" t="n">
        <x:v>34</x:v>
      </x:c>
      <x:c r="F173" s="155" t="str">
        <x:v>Ing. embebidos</x:v>
      </x:c>
      <x:c r="G173" s="155" t="str">
        <x:v>T333</x:v>
      </x:c>
      <x:c r="H173" s="158" t="n">
        <x:v>4.25</x:v>
      </x:c>
      <x:c r="I173" s="158" t="n">
        <x:v>18.7</x:v>
      </x:c>
      <x:c r="J173" s="158" t="n">
        <x:v>8.5</x:v>
      </x:c>
      <x:c r="K173" s="158" t="n">
        <x:v>1.7</x:v>
      </x:c>
      <x:c r="L173" s="155" t="str">
        <x:v>Informe de fin de línea</x:v>
      </x:c>
      <x:c r="M173" s="155" t="str">
        <x:v>Se detectan fallas inducidas y se registra resultado</x:v>
      </x:c>
      <x:c r="N173" s="158" t="n">
        <x:f>SUM(H173:K173)</x:f>
        <x:v>33.15</x:v>
      </x:c>
      <x:c r="O173" s="155" t="str"/>
      <x:c r="P173" s="155" t="str">
        <x:v>Recibir una pulsera lista para usar</x:v>
      </x:c>
    </x:row>
    <x:row r="174" ht="62" customHeight="1">
      <x:c r="A174" s="155" t="str">
        <x:v>T344</x:v>
      </x:c>
      <x:c r="B174" s="155" t="str">
        <x:v>Aplicación</x:v>
      </x:c>
      <x:c r="C174" s="155" t="str">
        <x:v>Ensayar instalación y actualización</x:v>
      </x:c>
      <x:c r="D174" s="155" t="n">
        <x:v>16</x:v>
      </x:c>
      <x:c r="E174" s="155" t="n">
        <x:v>34</x:v>
      </x:c>
      <x:c r="F174" s="155" t="str">
        <x:v>Ing. software</x:v>
      </x:c>
      <x:c r="G174" s="155" t="str">
        <x:v>T334</x:v>
      </x:c>
      <x:c r="H174" s="158" t="n">
        <x:v>32.3</x:v>
      </x:c>
      <x:c r="I174" s="158" t="n">
        <x:v>2.55</x:v>
      </x:c>
      <x:c r="J174" s="158" t="n">
        <x:v>6.8</x:v>
      </x:c>
      <x:c r="K174" s="158" t="n">
        <x:v>0.85</x:v>
      </x:c>
      <x:c r="L174" s="155" t="str">
        <x:v>Reporte de despliegue</x:v>
      </x:c>
      <x:c r="M174" s="155" t="str">
        <x:v>Se mantiene el historial y existe procedimiento de recuperación</x:v>
      </x:c>
      <x:c r="N174" s="158" t="n">
        <x:f>SUM(H174:K174)</x:f>
        <x:v>42.49999999999999</x:v>
      </x:c>
      <x:c r="O174" s="155" t="str"/>
      <x:c r="P174" s="155" t="str">
        <x:v>Instalar la aplicación y recibir soporte</x:v>
      </x:c>
    </x:row>
    <x:row r="175" ht="62" customHeight="1">
      <x:c r="A175" s="155" t="str">
        <x:v>X34</x:v>
      </x:c>
      <x:c r="B175" s="155" t="str">
        <x:v>Transversal</x:v>
      </x:c>
      <x:c r="C175" s="155" t="str">
        <x:v>Preparar lote y contratos de soporte</x:v>
      </x:c>
      <x:c r="D175" s="155" t="n">
        <x:v>16</x:v>
      </x:c>
      <x:c r="E175" s="155" t="n">
        <x:v>34</x:v>
      </x:c>
      <x:c r="F175" s="155" t="str">
        <x:v>Ing. embebidos; coordinación QA</x:v>
      </x:c>
      <x:c r="G175" s="155" t="str">
        <x:v>X33, T331, T332, T333, T334</x:v>
      </x:c>
      <x:c r="H175" s="158" t="n">
        <x:v>16</x:v>
      </x:c>
      <x:c r="I175" s="158" t="n">
        <x:v>16</x:v>
      </x:c>
      <x:c r="J175" s="158" t="n">
        <x:v>16</x:v>
      </x:c>
      <x:c r="K175" s="158" t="n">
        <x:v>16</x:v>
      </x:c>
      <x:c r="L175" s="155" t="str">
        <x:v>Órdenes y acuerdos condicionados</x:v>
      </x:c>
      <x:c r="M175" s="155" t="str">
        <x:v>Ordenar el lote al aprobar las verificaciones de proveedores y útiles de S34; el gasto previo no habilita ventas</x:v>
      </x:c>
      <x:c r="N175" s="158" t="n">
        <x:f>SUM(H175:K175)</x:f>
        <x:v>64</x:v>
      </x:c>
      <x:c r="O175" s="155" t="str">
        <x:v>Plazo de proveedor 2–4 semanas desde la orden condicionada. Contratos y compras no habilitan ventas</x:v>
      </x:c>
      <x:c r="P175" s="155" t="str">
        <x:v>Preparar la atención comercial</x:v>
      </x:c>
    </x:row>
    <x:row r="176" ht="62" customHeight="1">
      <x:c r="A176" s="155" t="str">
        <x:v>T351</x:v>
      </x:c>
      <x:c r="B176" s="155" t="str">
        <x:v>Parche descartable</x:v>
      </x:c>
      <x:c r="C176" s="155" t="str">
        <x:v>Recibir muestras del lote comercial</x:v>
      </x:c>
      <x:c r="D176" s="155" t="n">
        <x:v>17</x:v>
      </x:c>
      <x:c r="E176" s="155" t="n">
        <x:v>35</x:v>
      </x:c>
      <x:c r="F176" s="155" t="str">
        <x:v>Técnico laboratorio</x:v>
      </x:c>
      <x:c r="G176" s="155" t="str">
        <x:v>T341, T342, T343, T344, X34</x:v>
      </x:c>
      <x:c r="H176" s="158" t="n">
        <x:v>2</x:v>
      </x:c>
      <x:c r="I176" s="158" t="n">
        <x:v>3</x:v>
      </x:c>
      <x:c r="J176" s="158" t="n">
        <x:v>8</x:v>
      </x:c>
      <x:c r="K176" s="158" t="n">
        <x:v>38</x:v>
      </x:c>
      <x:c r="L176" s="155" t="str">
        <x:v>Registro de recepción y controles</x:v>
      </x:c>
      <x:c r="M176" s="155" t="str">
        <x:v>Se aplica muestreo y rechazo establecidos; no se mezcla con ensayo</x:v>
      </x:c>
      <x:c r="N176" s="158" t="n">
        <x:f>SUM(H176:K176)</x:f>
        <x:v>51</x:v>
      </x:c>
      <x:c r="O176" s="155" t="str">
        <x:v>Recepción de proveedor: plazo estimado 2–4 semanas; confirmar al ordenar</x:v>
      </x:c>
      <x:c r="P176" s="155" t="str">
        <x:v>Recibir consumibles controlados</x:v>
      </x:c>
    </x:row>
    <x:row r="177" ht="62" customHeight="1">
      <x:c r="A177" s="155" t="str">
        <x:v>T352</x:v>
      </x:c>
      <x:c r="B177" s="155" t="str">
        <x:v>Lector reutilizable</x:v>
      </x:c>
      <x:c r="C177" s="155" t="str">
        <x:v>Recibir lectores e iniciar programación y prueba del lote</x:v>
      </x:c>
      <x:c r="D177" s="155" t="n">
        <x:v>17</x:v>
      </x:c>
      <x:c r="E177" s="155" t="n">
        <x:v>35</x:v>
      </x:c>
      <x:c r="F177" s="155" t="str">
        <x:v>Ing. embebidos</x:v>
      </x:c>
      <x:c r="G177" s="155" t="str">
        <x:v>T341, T342, T343, T344, X34</x:v>
      </x:c>
      <x:c r="H177" s="158" t="n">
        <x:v>3</x:v>
      </x:c>
      <x:c r="I177" s="158" t="n">
        <x:v>25</x:v>
      </x:c>
      <x:c r="J177" s="158" t="n">
        <x:v>37</x:v>
      </x:c>
      <x:c r="K177" s="158" t="n">
        <x:v>3</x:v>
      </x:c>
      <x:c r="L177" s="155" t="str">
        <x:v>Registro de recepción y seriales</x:v>
      </x:c>
      <x:c r="M177" s="155" t="str">
        <x:v>Recepción trazable; avance de programación registrado por serial</x:v>
      </x:c>
      <x:c r="N177" s="158" t="n">
        <x:f>SUM(H177:K177)</x:f>
        <x:v>68</x:v>
      </x:c>
      <x:c r="O177" s="155" t="str">
        <x:v>Recepción de proveedor: plazo estimado 2–4 semanas; confirmar al ordenar</x:v>
      </x:c>
      <x:c r="P177" s="155" t="str">
        <x:v>Recibir lectores listos para usar</x:v>
      </x:c>
    </x:row>
    <x:row r="178" ht="62" customHeight="1">
      <x:c r="A178" s="155" t="str">
        <x:v>T353</x:v>
      </x:c>
      <x:c r="B178" s="155" t="str">
        <x:v>Pulsera</x:v>
      </x:c>
      <x:c r="C178" s="155" t="str">
        <x:v>Recibir pulseras del lote</x:v>
      </x:c>
      <x:c r="D178" s="155" t="n">
        <x:v>17</x:v>
      </x:c>
      <x:c r="E178" s="155" t="n">
        <x:v>35</x:v>
      </x:c>
      <x:c r="F178" s="155" t="str">
        <x:v>Ing. embebidos</x:v>
      </x:c>
      <x:c r="G178" s="155" t="str">
        <x:v>T341, T342, T343, T344, X34</x:v>
      </x:c>
      <x:c r="H178" s="158" t="n">
        <x:v>5</x:v>
      </x:c>
      <x:c r="I178" s="158" t="n">
        <x:v>22</x:v>
      </x:c>
      <x:c r="J178" s="158" t="n">
        <x:v>10</x:v>
      </x:c>
      <x:c r="K178" s="158" t="n">
        <x:v>2</x:v>
      </x:c>
      <x:c r="L178" s="155" t="str">
        <x:v>Registro de unidades y lotes</x:v>
      </x:c>
      <x:c r="M178" s="155" t="str">
        <x:v>Recepción trazable y discrepancias registradas</x:v>
      </x:c>
      <x:c r="N178" s="158" t="n">
        <x:f>SUM(H178:K178)</x:f>
        <x:v>39</x:v>
      </x:c>
      <x:c r="O178" s="155" t="str">
        <x:v>Recepción de proveedor: plazo estimado 2–4 semanas; confirmar al ordenar</x:v>
      </x:c>
      <x:c r="P178" s="155" t="str">
        <x:v>Recibir una pulsera lista para usar</x:v>
      </x:c>
    </x:row>
    <x:row r="179" ht="62" customHeight="1">
      <x:c r="A179" s="155" t="str">
        <x:v>T354</x:v>
      </x:c>
      <x:c r="B179" s="155" t="str">
        <x:v>Aplicación</x:v>
      </x:c>
      <x:c r="C179" s="155" t="str">
        <x:v>Preparar capacitación de aliados</x:v>
      </x:c>
      <x:c r="D179" s="155" t="n">
        <x:v>17</x:v>
      </x:c>
      <x:c r="E179" s="155" t="n">
        <x:v>35</x:v>
      </x:c>
      <x:c r="F179" s="155" t="str">
        <x:v>Ing. software</x:v>
      </x:c>
      <x:c r="G179" s="155" t="str">
        <x:v>T341, T342, T343, T344, X34</x:v>
      </x:c>
      <x:c r="H179" s="158" t="n">
        <x:v>38</x:v>
      </x:c>
      <x:c r="I179" s="158" t="n">
        <x:v>3</x:v>
      </x:c>
      <x:c r="J179" s="158" t="n">
        <x:v>8</x:v>
      </x:c>
      <x:c r="K179" s="158" t="n">
        <x:v>1</x:v>
      </x:c>
      <x:c r="L179" s="155" t="str">
        <x:v>Material y demostración</x:v>
      </x:c>
      <x:c r="M179" s="155" t="str">
        <x:v>Se explican uso autorizado, recambio y límites</x:v>
      </x:c>
      <x:c r="N179" s="158" t="n">
        <x:f>SUM(H179:K179)</x:f>
        <x:v>50</x:v>
      </x:c>
      <x:c r="O179" s="155" t="str">
        <x:v>Materiales y versión de demostración disponibles; coordinar agenda de aliados, sin depender de una nueva entrega de proveedor</x:v>
      </x:c>
      <x:c r="P179" s="155" t="str">
        <x:v>Instalar la aplicación y recibir soporte</x:v>
      </x:c>
    </x:row>
    <x:row r="180" ht="62" customHeight="1">
      <x:c r="A180" s="155" t="str">
        <x:v>X35</x:v>
      </x:c>
      <x:c r="B180" s="155" t="str">
        <x:v>Transversal</x:v>
      </x:c>
      <x:c r="C180" s="155" t="str">
        <x:v>Responder observaciones de registro</x:v>
      </x:c>
      <x:c r="D180" s="155" t="n">
        <x:v>17</x:v>
      </x:c>
      <x:c r="E180" s="155" t="n">
        <x:v>35</x:v>
      </x:c>
      <x:c r="F180" s="155" t="str">
        <x:v>Ing. embebidos; coordinación QA</x:v>
      </x:c>
      <x:c r="G180" s="155" t="str">
        <x:v>X34</x:v>
      </x:c>
      <x:c r="H180" s="158" t="n">
        <x:v>16</x:v>
      </x:c>
      <x:c r="I180" s="158" t="n">
        <x:v>16</x:v>
      </x:c>
      <x:c r="J180" s="158" t="n">
        <x:v>16</x:v>
      </x:c>
      <x:c r="K180" s="158" t="n">
        <x:v>16</x:v>
      </x:c>
      <x:c r="L180" s="155" t="str">
        <x:v>Evidencia complementaria</x:v>
      </x:c>
      <x:c r="M180" s="155" t="str">
        <x:v>Cada observación tiene respuesta y estado</x:v>
      </x:c>
      <x:c r="N180" s="158" t="n">
        <x:f>SUM(H180:K180)</x:f>
        <x:v>64</x:v>
      </x:c>
      <x:c r="O180" s="155" t="str">
        <x:v>Registro comercial y establecimiento: ventana M16–18 estimada; responder observaciones</x:v>
      </x:c>
      <x:c r="P180" s="155" t="str">
        <x:v>Gestionar evaluaciones y autorizaciones</x:v>
      </x:c>
    </x:row>
    <x:row r="181" ht="62" customHeight="1">
      <x:c r="A181" s="155" t="str">
        <x:v>T361</x:v>
      </x:c>
      <x:c r="B181" s="155" t="str">
        <x:v>Parche descartable</x:v>
      </x:c>
      <x:c r="C181" s="155" t="str">
        <x:v>Liberar consumibles iniciales</x:v>
      </x:c>
      <x:c r="D181" s="155" t="n">
        <x:v>17</x:v>
      </x:c>
      <x:c r="E181" s="155" t="n">
        <x:v>36</x:v>
      </x:c>
      <x:c r="F181" s="155" t="str">
        <x:v>Técnico laboratorio</x:v>
      </x:c>
      <x:c r="G181" s="155" t="str">
        <x:v>T351</x:v>
      </x:c>
      <x:c r="H181" s="158" t="n">
        <x:v>1</x:v>
      </x:c>
      <x:c r="I181" s="158" t="n">
        <x:v>2</x:v>
      </x:c>
      <x:c r="J181" s="158" t="n">
        <x:v>5</x:v>
      </x:c>
      <x:c r="K181" s="158" t="n">
        <x:v>55</x:v>
      </x:c>
      <x:c r="L181" s="155" t="str">
        <x:v>Lista de consumibles aceptados</x:v>
      </x:c>
      <x:c r="M181" s="155" t="str">
        <x:v>Dos parches por kit aceptado, con lote y vencimiento</x:v>
      </x:c>
      <x:c r="N181" s="158" t="n">
        <x:f>SUM(H181:K181)</x:f>
        <x:v>63</x:v>
      </x:c>
      <x:c r="O181" s="155" t="str">
        <x:v>Consumibles recibidos y controles disponibles; no se repite la espera de recepción del lote</x:v>
      </x:c>
      <x:c r="P181" s="155" t="str">
        <x:v>Recibir consumibles controlados</x:v>
      </x:c>
    </x:row>
    <x:row r="182" ht="62" customHeight="1">
      <x:c r="A182" s="155" t="str">
        <x:v>T362</x:v>
      </x:c>
      <x:c r="B182" s="155" t="str">
        <x:v>Lector reutilizable</x:v>
      </x:c>
      <x:c r="C182" s="155" t="str">
        <x:v>Programar y probar lectores del lote</x:v>
      </x:c>
      <x:c r="D182" s="155" t="n">
        <x:v>17</x:v>
      </x:c>
      <x:c r="E182" s="155" t="n">
        <x:v>36</x:v>
      </x:c>
      <x:c r="F182" s="155" t="str">
        <x:v>Ing. embebidos</x:v>
      </x:c>
      <x:c r="G182" s="155" t="str">
        <x:v>T352</x:v>
      </x:c>
      <x:c r="H182" s="158" t="n">
        <x:v>3</x:v>
      </x:c>
      <x:c r="I182" s="158" t="n">
        <x:v>20</x:v>
      </x:c>
      <x:c r="J182" s="158" t="n">
        <x:v>28</x:v>
      </x:c>
      <x:c r="K182" s="158" t="n">
        <x:v>3</x:v>
      </x:c>
      <x:c r="L182" s="155" t="str">
        <x:v>Registros de fin de línea</x:v>
      </x:c>
      <x:c r="M182" s="155" t="str">
        <x:v>Dos lectores aceptados por kit, sin seriales repetidos</x:v>
      </x:c>
      <x:c r="N182" s="158" t="n">
        <x:f>SUM(H182:K182)</x:f>
        <x:v>54</x:v>
      </x:c>
      <x:c r="O182" s="155" t="str">
        <x:v>Lectores recibidos en T352; continuación del mismo lote, sin un segundo plazo de proveedor</x:v>
      </x:c>
      <x:c r="P182" s="155" t="str">
        <x:v>Recibir lectores listos para usar</x:v>
      </x:c>
    </x:row>
    <x:row r="183" ht="62" customHeight="1">
      <x:c r="A183" s="155" t="str">
        <x:v>T363</x:v>
      </x:c>
      <x:c r="B183" s="155" t="str">
        <x:v>Pulsera</x:v>
      </x:c>
      <x:c r="C183" s="155" t="str">
        <x:v>Programar y calibrar unidades</x:v>
      </x:c>
      <x:c r="D183" s="155" t="n">
        <x:v>17</x:v>
      </x:c>
      <x:c r="E183" s="155" t="n">
        <x:v>36</x:v>
      </x:c>
      <x:c r="F183" s="155" t="str">
        <x:v>Ing. embebidos</x:v>
      </x:c>
      <x:c r="G183" s="155" t="str">
        <x:v>T353</x:v>
      </x:c>
      <x:c r="H183" s="158" t="n">
        <x:v>0</x:v>
      </x:c>
      <x:c r="I183" s="158" t="n">
        <x:v>15</x:v>
      </x:c>
      <x:c r="J183" s="158" t="n">
        <x:v>22</x:v>
      </x:c>
      <x:c r="K183" s="158" t="n">
        <x:v>3</x:v>
      </x:c>
      <x:c r="L183" s="155" t="str">
        <x:v>Registro por serial</x:v>
      </x:c>
      <x:c r="M183" s="155" t="str">
        <x:v>Una pulsera aceptada por kit</x:v>
      </x:c>
      <x:c r="N183" s="158" t="n">
        <x:f>SUM(H183:K183)</x:f>
        <x:v>40</x:v>
      </x:c>
      <x:c r="O183" s="155" t="str">
        <x:v>Pulseras recibidas en T353; sin un segundo plazo de proveedor</x:v>
      </x:c>
      <x:c r="P183" s="155" t="str">
        <x:v>Recibir una pulsera lista para usar</x:v>
      </x:c>
    </x:row>
    <x:row r="184" ht="62" customHeight="1">
      <x:c r="A184" s="155" t="str">
        <x:v>T364</x:v>
      </x:c>
      <x:c r="B184" s="155" t="str">
        <x:v>Aplicación</x:v>
      </x:c>
      <x:c r="C184" s="155" t="str">
        <x:v>Probar alta, activación y cambio de propietario</x:v>
      </x:c>
      <x:c r="D184" s="155" t="n">
        <x:v>17</x:v>
      </x:c>
      <x:c r="E184" s="155" t="n">
        <x:v>36</x:v>
      </x:c>
      <x:c r="F184" s="155" t="str">
        <x:v>Ing. software</x:v>
      </x:c>
      <x:c r="G184" s="155" t="str">
        <x:v>T354</x:v>
      </x:c>
      <x:c r="H184" s="158" t="n">
        <x:v>41.8</x:v>
      </x:c>
      <x:c r="I184" s="158" t="n">
        <x:v>3.3</x:v>
      </x:c>
      <x:c r="J184" s="158" t="n">
        <x:v>8.8</x:v>
      </x:c>
      <x:c r="K184" s="158" t="n">
        <x:v>1.1</x:v>
      </x:c>
      <x:c r="L184" s="155" t="str">
        <x:v>Registro de alta y ayuda</x:v>
      </x:c>
      <x:c r="M184" s="155" t="str">
        <x:v>Kit completo se vincula y consulta correctamente; correo verificado, kit legítimo, recuperación de cuenta y transferencia</x:v>
      </x:c>
      <x:c r="N184" s="158" t="n">
        <x:f>SUM(H184:K184)</x:f>
        <x:v>54.99999999999999</x:v>
      </x:c>
      <x:c r="O184" s="155" t="str">
        <x:v>Cuentas y kits de prueba recibidos disponibles; no requiere una nueva compra</x:v>
      </x:c>
      <x:c r="P184" s="155" t="str">
        <x:v>Instalar la aplicación y recibir soporte</x:v>
      </x:c>
    </x:row>
    <x:row r="185" ht="62" customHeight="1">
      <x:c r="A185" s="155" t="str">
        <x:v>X36</x:v>
      </x:c>
      <x:c r="B185" s="155" t="str">
        <x:v>Transversal</x:v>
      </x:c>
      <x:c r="C185" s="155" t="str">
        <x:v>Coordinar recepción y capacitación</x:v>
      </x:c>
      <x:c r="D185" s="155" t="n">
        <x:v>17</x:v>
      </x:c>
      <x:c r="E185" s="155" t="n">
        <x:v>36</x:v>
      </x:c>
      <x:c r="F185" s="155" t="str">
        <x:v>Ing. embebidos; coordinación QA</x:v>
      </x:c>
      <x:c r="G185" s="155" t="str">
        <x:v>X35</x:v>
      </x:c>
      <x:c r="H185" s="158" t="n">
        <x:v>16</x:v>
      </x:c>
      <x:c r="I185" s="158" t="n">
        <x:v>16</x:v>
      </x:c>
      <x:c r="J185" s="158" t="n">
        <x:v>16</x:v>
      </x:c>
      <x:c r="K185" s="158" t="n">
        <x:v>16</x:v>
      </x:c>
      <x:c r="L185" s="155" t="str">
        <x:v>Registro de lote y aliados</x:v>
      </x:c>
      <x:c r="M185" s="155" t="str">
        <x:v>Mercadería aceptada y material coherente con el uso previsto</x:v>
      </x:c>
      <x:c r="N185" s="158" t="n">
        <x:f>SUM(H185:K185)</x:f>
        <x:v>64</x:v>
      </x:c>
      <x:c r="O185" s="155" t="str">
        <x:v>Recepción de los equipos del lote y disponibilidad de aliados para capacitación</x:v>
      </x:c>
      <x:c r="P185" s="155" t="str">
        <x:v>Preparar la atención comercial</x:v>
      </x:c>
    </x:row>
    <x:row r="186" ht="62" customHeight="1">
      <x:c r="A186" s="155" t="str">
        <x:v>T371</x:v>
      </x:c>
      <x:c r="B186" s="155" t="str">
        <x:v>Parche descartable</x:v>
      </x:c>
      <x:c r="C186" s="155" t="str">
        <x:v>Cerrar control del lote inicial</x:v>
      </x:c>
      <x:c r="D186" s="155" t="n">
        <x:v>18</x:v>
      </x:c>
      <x:c r="E186" s="155" t="n">
        <x:v>37</x:v>
      </x:c>
      <x:c r="F186" s="155" t="str">
        <x:v>Técnico laboratorio</x:v>
      </x:c>
      <x:c r="G186" s="155" t="str">
        <x:v>T361</x:v>
      </x:c>
      <x:c r="H186" s="158" t="n">
        <x:v>1.13</x:v>
      </x:c>
      <x:c r="I186" s="158" t="n">
        <x:v>1.7</x:v>
      </x:c>
      <x:c r="J186" s="158" t="n">
        <x:v>4.53</x:v>
      </x:c>
      <x:c r="K186" s="158" t="n">
        <x:v>21.53</x:v>
      </x:c>
      <x:c r="L186" s="155" t="str">
        <x:v>Acta de control de lote</x:v>
      </x:c>
      <x:c r="M186" s="155" t="str">
        <x:v>Cantidad aceptada y merma conciliadas con inventario</x:v>
      </x:c>
      <x:c r="N186" s="158" t="n">
        <x:f>SUM(H186:K186)</x:f>
        <x:v>28.89</x:v>
      </x:c>
      <x:c r="O186" s="155" t="str"/>
      <x:c r="P186" s="155" t="str">
        <x:v>Recibir consumibles controlados</x:v>
      </x:c>
    </x:row>
    <x:row r="187" ht="62" customHeight="1">
      <x:c r="A187" s="155" t="str">
        <x:v>T372</x:v>
      </x:c>
      <x:c r="B187" s="155" t="str">
        <x:v>Lector reutilizable</x:v>
      </x:c>
      <x:c r="C187" s="155" t="str">
        <x:v>Corregir o descartar unidades falladas</x:v>
      </x:c>
      <x:c r="D187" s="155" t="n">
        <x:v>18</x:v>
      </x:c>
      <x:c r="E187" s="155" t="n">
        <x:v>37</x:v>
      </x:c>
      <x:c r="F187" s="155" t="str">
        <x:v>Ing. embebidos</x:v>
      </x:c>
      <x:c r="G187" s="155" t="str">
        <x:v>T362</x:v>
      </x:c>
      <x:c r="H187" s="158" t="n">
        <x:v>3.4</x:v>
      </x:c>
      <x:c r="I187" s="158" t="n">
        <x:v>14.17</x:v>
      </x:c>
      <x:c r="J187" s="158" t="n">
        <x:v>3.97</x:v>
      </x:c>
      <x:c r="K187" s="158" t="n">
        <x:v>1.7</x:v>
      </x:c>
      <x:c r="L187" s="155" t="str">
        <x:v>Registro de retrabajo y merma</x:v>
      </x:c>
      <x:c r="M187" s="155" t="str">
        <x:v>Toda unidad rechazada conserva motivo y destino</x:v>
      </x:c>
      <x:c r="N187" s="158" t="n">
        <x:f>SUM(H187:K187)</x:f>
        <x:v>23.24</x:v>
      </x:c>
      <x:c r="O187" s="155" t="str"/>
      <x:c r="P187" s="155" t="str">
        <x:v>Recibir lectores listos para usar</x:v>
      </x:c>
    </x:row>
    <x:row r="188" ht="62" customHeight="1">
      <x:c r="A188" s="155" t="str">
        <x:v>T373</x:v>
      </x:c>
      <x:c r="B188" s="155" t="str">
        <x:v>Pulsera</x:v>
      </x:c>
      <x:c r="C188" s="155" t="str">
        <x:v>Resolver fallas del lote</x:v>
      </x:c>
      <x:c r="D188" s="155" t="n">
        <x:v>18</x:v>
      </x:c>
      <x:c r="E188" s="155" t="n">
        <x:v>37</x:v>
      </x:c>
      <x:c r="F188" s="155" t="str">
        <x:v>Ing. embebidos</x:v>
      </x:c>
      <x:c r="G188" s="155" t="str">
        <x:v>T363</x:v>
      </x:c>
      <x:c r="H188" s="158" t="n">
        <x:v>2.83</x:v>
      </x:c>
      <x:c r="I188" s="158" t="n">
        <x:v>12.47</x:v>
      </x:c>
      <x:c r="J188" s="158" t="n">
        <x:v>5.67</x:v>
      </x:c>
      <x:c r="K188" s="158" t="n">
        <x:v>1.13</x:v>
      </x:c>
      <x:c r="L188" s="155" t="str">
        <x:v>Retrabajo y descarte registrados</x:v>
      </x:c>
      <x:c r="M188" s="155" t="str">
        <x:v>No se libera una unidad sin prueba final</x:v>
      </x:c>
      <x:c r="N188" s="158" t="n">
        <x:f>SUM(H188:K188)</x:f>
        <x:v>22.099999999999998</x:v>
      </x:c>
      <x:c r="O188" s="155" t="str"/>
      <x:c r="P188" s="155" t="str">
        <x:v>Recibir una pulsera lista para usar</x:v>
      </x:c>
    </x:row>
    <x:row r="189" ht="62" customHeight="1">
      <x:c r="A189" s="155" t="str">
        <x:v>T374</x:v>
      </x:c>
      <x:c r="B189" s="155" t="str">
        <x:v>Aplicación</x:v>
      </x:c>
      <x:c r="C189" s="155" t="str">
        <x:v>Cerrar incidencias previas al lanzamiento</x:v>
      </x:c>
      <x:c r="D189" s="155" t="n">
        <x:v>18</x:v>
      </x:c>
      <x:c r="E189" s="155" t="n">
        <x:v>37</x:v>
      </x:c>
      <x:c r="F189" s="155" t="str">
        <x:v>Ing. software</x:v>
      </x:c>
      <x:c r="G189" s="155" t="str">
        <x:v>T364</x:v>
      </x:c>
      <x:c r="H189" s="158" t="n">
        <x:v>21.53</x:v>
      </x:c>
      <x:c r="I189" s="158" t="n">
        <x:v>1.7</x:v>
      </x:c>
      <x:c r="J189" s="158" t="n">
        <x:v>4.53</x:v>
      </x:c>
      <x:c r="K189" s="158" t="n">
        <x:v>0.57</x:v>
      </x:c>
      <x:c r="L189" s="155" t="str">
        <x:v>Lista de incidencias y versión</x:v>
      </x:c>
      <x:c r="M189" s="155" t="str">
        <x:v>No se abre venta con defectos críticos sin resolver</x:v>
      </x:c>
      <x:c r="N189" s="158" t="n">
        <x:f>SUM(H189:K189)</x:f>
        <x:v>28.330000000000002</x:v>
      </x:c>
      <x:c r="O189" s="155" t="str"/>
      <x:c r="P189" s="155" t="str">
        <x:v>Instalar la aplicación y recibir soporte</x:v>
      </x:c>
    </x:row>
    <x:row r="190" ht="62" customHeight="1">
      <x:c r="A190" s="155" t="str">
        <x:v>X37</x:v>
      </x:c>
      <x:c r="B190" s="155" t="str">
        <x:v>Transversal</x:v>
      </x:c>
      <x:c r="C190" s="155" t="str">
        <x:v>Revisar avance de QA e inventario del lote</x:v>
      </x:c>
      <x:c r="D190" s="155" t="n">
        <x:v>18</x:v>
      </x:c>
      <x:c r="E190" s="155" t="n">
        <x:v>37</x:v>
      </x:c>
      <x:c r="F190" s="155" t="str">
        <x:v>Ing. embebidos; coordinación QA</x:v>
      </x:c>
      <x:c r="G190" s="155" t="str">
        <x:v>X36, T361, T362, T363, T364</x:v>
      </x:c>
      <x:c r="H190" s="158" t="n">
        <x:v>10.67</x:v>
      </x:c>
      <x:c r="I190" s="158" t="n">
        <x:v>10.67</x:v>
      </x:c>
      <x:c r="J190" s="158" t="n">
        <x:v>10.67</x:v>
      </x:c>
      <x:c r="K190" s="158" t="n">
        <x:v>10.67</x:v>
      </x:c>
      <x:c r="L190" s="155" t="str">
        <x:v>Inventario provisional y pendientes de QA</x:v>
      </x:c>
      <x:c r="M190" s="155" t="str">
        <x:v>Registrar unidades aprobadas y pendientes; el cierre de 100 kits requiere terminar retrabajo y controles de S37–S38</x:v>
      </x:c>
      <x:c r="N190" s="158" t="n">
        <x:f>SUM(H190:K190)</x:f>
        <x:v>42.68</x:v>
      </x:c>
      <x:c r="O190" s="155" t="str">
        <x:v>Resultados de QA e inventario provisional disponibles; la autorización comercial se revisa por separado</x:v>
      </x:c>
      <x:c r="P190" s="155" t="str">
        <x:v>Preparar la atención comercial</x:v>
      </x:c>
    </x:row>
    <x:row r="191" ht="62" customHeight="1">
      <x:c r="A191" s="155" t="str">
        <x:v>T381</x:v>
      </x:c>
      <x:c r="B191" s="155" t="str">
        <x:v>Parche descartable</x:v>
      </x:c>
      <x:c r="C191" s="155" t="str">
        <x:v>Verificar empaque e instrucciones</x:v>
      </x:c>
      <x:c r="D191" s="155" t="n">
        <x:v>18</x:v>
      </x:c>
      <x:c r="E191" s="155" t="n">
        <x:v>38</x:v>
      </x:c>
      <x:c r="F191" s="155" t="str">
        <x:v>Técnico laboratorio</x:v>
      </x:c>
      <x:c r="G191" s="155" t="str">
        <x:v>T371</x:v>
      </x:c>
      <x:c r="H191" s="158" t="n">
        <x:v>1.33</x:v>
      </x:c>
      <x:c r="I191" s="158" t="n">
        <x:v>2</x:v>
      </x:c>
      <x:c r="J191" s="158" t="n">
        <x:v>5.33</x:v>
      </x:c>
      <x:c r="K191" s="158" t="n">
        <x:v>25.33</x:v>
      </x:c>
      <x:c r="L191" s="155" t="str">
        <x:v>Registro de revisión del kit</x:v>
      </x:c>
      <x:c r="M191" s="155" t="str">
        <x:v>Sobres, identificación y recambio coherentes con el producto</x:v>
      </x:c>
      <x:c r="N191" s="158" t="n">
        <x:f>SUM(H191:K191)</x:f>
        <x:v>33.989999999999995</x:v>
      </x:c>
      <x:c r="O191" s="155" t="str"/>
      <x:c r="P191" s="155" t="str">
        <x:v>Recibir consumibles controlados</x:v>
      </x:c>
    </x:row>
    <x:row r="192" ht="62" customHeight="1">
      <x:c r="A192" s="155" t="str">
        <x:v>T382</x:v>
      </x:c>
      <x:c r="B192" s="155" t="str">
        <x:v>Lector reutilizable</x:v>
      </x:c>
      <x:c r="C192" s="155" t="str">
        <x:v>Verificar conjunto lector y accesorios</x:v>
      </x:c>
      <x:c r="D192" s="155" t="n">
        <x:v>18</x:v>
      </x:c>
      <x:c r="E192" s="155" t="n">
        <x:v>38</x:v>
      </x:c>
      <x:c r="F192" s="155" t="str">
        <x:v>Ing. embebidos</x:v>
      </x:c>
      <x:c r="G192" s="155" t="str">
        <x:v>T372</x:v>
      </x:c>
      <x:c r="H192" s="158" t="n">
        <x:v>4</x:v>
      </x:c>
      <x:c r="I192" s="158" t="n">
        <x:v>16.67</x:v>
      </x:c>
      <x:c r="J192" s="158" t="n">
        <x:v>4.67</x:v>
      </x:c>
      <x:c r="K192" s="158" t="n">
        <x:v>2</x:v>
      </x:c>
      <x:c r="L192" s="155" t="str">
        <x:v>Lista de verificación del kit</x:v>
      </x:c>
      <x:c r="M192" s="155" t="str">
        <x:v>Ambos lectores cargan por turnos con la fuente comercial de un puerto y los cables del kit</x:v>
      </x:c>
      <x:c r="N192" s="158" t="n">
        <x:f>SUM(H192:K192)</x:f>
        <x:v>27.340000000000003</x:v>
      </x:c>
      <x:c r="O192" s="155" t="str"/>
      <x:c r="P192" s="155" t="str">
        <x:v>Recibir lectores listos para usar</x:v>
      </x:c>
    </x:row>
    <x:row r="193" ht="62" customHeight="1">
      <x:c r="A193" s="155" t="str">
        <x:v>T383</x:v>
      </x:c>
      <x:c r="B193" s="155" t="str">
        <x:v>Pulsera</x:v>
      </x:c>
      <x:c r="C193" s="155" t="str">
        <x:v>Verificar carga con accesorios del kit</x:v>
      </x:c>
      <x:c r="D193" s="155" t="n">
        <x:v>18</x:v>
      </x:c>
      <x:c r="E193" s="155" t="n">
        <x:v>38</x:v>
      </x:c>
      <x:c r="F193" s="155" t="str">
        <x:v>Ing. embebidos</x:v>
      </x:c>
      <x:c r="G193" s="155" t="str">
        <x:v>T373</x:v>
      </x:c>
      <x:c r="H193" s="158" t="n">
        <x:v>3.33</x:v>
      </x:c>
      <x:c r="I193" s="158" t="n">
        <x:v>14.67</x:v>
      </x:c>
      <x:c r="J193" s="158" t="n">
        <x:v>6.67</x:v>
      </x:c>
      <x:c r="K193" s="158" t="n">
        <x:v>1.33</x:v>
      </x:c>
      <x:c r="L193" s="155" t="str">
        <x:v>Reporte de compatibilidad</x:v>
      </x:c>
      <x:c r="M193" s="155" t="str">
        <x:v>La pulsera carga con la fuente comercial de un puerto y ambos cables, dentro de los límites de corriente y temperatura</x:v>
      </x:c>
      <x:c r="N193" s="158" t="n">
        <x:f>SUM(H193:K193)</x:f>
        <x:v>26</x:v>
      </x:c>
      <x:c r="O193" s="155" t="str"/>
      <x:c r="P193" s="155" t="str">
        <x:v>Recibir una pulsera lista para usar</x:v>
      </x:c>
    </x:row>
    <x:row r="194" ht="62" customHeight="1">
      <x:c r="A194" s="155" t="str">
        <x:v>T384</x:v>
      </x:c>
      <x:c r="B194" s="155" t="str">
        <x:v>Aplicación</x:v>
      </x:c>
      <x:c r="C194" s="155" t="str">
        <x:v>Verificar versión y mensajes autorizados</x:v>
      </x:c>
      <x:c r="D194" s="155" t="n">
        <x:v>18</x:v>
      </x:c>
      <x:c r="E194" s="155" t="n">
        <x:v>38</x:v>
      </x:c>
      <x:c r="F194" s="155" t="str">
        <x:v>Ing. software</x:v>
      </x:c>
      <x:c r="G194" s="155" t="str">
        <x:v>T374</x:v>
      </x:c>
      <x:c r="H194" s="158" t="n">
        <x:v>25.33</x:v>
      </x:c>
      <x:c r="I194" s="158" t="n">
        <x:v>2</x:v>
      </x:c>
      <x:c r="J194" s="158" t="n">
        <x:v>5.33</x:v>
      </x:c>
      <x:c r="K194" s="158" t="n">
        <x:v>0.67</x:v>
      </x:c>
      <x:c r="L194" s="155" t="str">
        <x:v>Aplicación candidata comercial</x:v>
      </x:c>
      <x:c r="M194" s="155" t="str">
        <x:v>Contenido coincide con uso autorizado y documentación; cuenta habilitada solo con kit activado y configuración inicial completa</x:v>
      </x:c>
      <x:c r="N194" s="158" t="n">
        <x:f>SUM(H194:K194)</x:f>
        <x:v>33.33</x:v>
      </x:c>
      <x:c r="O194" s="155" t="str"/>
      <x:c r="P194" s="155" t="str">
        <x:v>Instalar la aplicación y recibir soporte</x:v>
      </x:c>
    </x:row>
    <x:row r="195" ht="62" customHeight="1">
      <x:c r="A195" s="155" t="str">
        <x:v>X38</x:v>
      </x:c>
      <x:c r="B195" s="155" t="str">
        <x:v>Transversal</x:v>
      </x:c>
      <x:c r="C195" s="155" t="str">
        <x:v>Revisar autorizaciones y decisión de lanzamiento</x:v>
      </x:c>
      <x:c r="D195" s="155" t="n">
        <x:v>18</x:v>
      </x:c>
      <x:c r="E195" s="155" t="n">
        <x:v>38</x:v>
      </x:c>
      <x:c r="F195" s="155" t="str">
        <x:v>Ing. embebidos; coordinación QA</x:v>
      </x:c>
      <x:c r="G195" s="155" t="str">
        <x:v>X37, T371, T372, T373, T374</x:v>
      </x:c>
      <x:c r="H195" s="158" t="n">
        <x:v>10.67</x:v>
      </x:c>
      <x:c r="I195" s="158" t="n">
        <x:v>10.67</x:v>
      </x:c>
      <x:c r="J195" s="158" t="n">
        <x:v>10.67</x:v>
      </x:c>
      <x:c r="K195" s="158" t="n">
        <x:v>10.67</x:v>
      </x:c>
      <x:c r="L195" s="155" t="str">
        <x:v>Acta de autorizaciones y pendientes de liberación</x:v>
      </x:c>
      <x:c r="M195" s="155" t="str">
        <x:v>Autorizaciones revisadas; decisión final sujeta al cierre de controles de kit de S38. Sin autorización se desplazan ventas y se recalcula caja</x:v>
      </x:c>
      <x:c r="N195" s="158" t="n">
        <x:f>SUM(H195:K195)</x:f>
        <x:v>42.68</x:v>
      </x:c>
      <x:c r="O195" s="155" t="str">
        <x:v>Registro comercial y establecimiento: ventana M16–18 estimada; responder observaciones</x:v>
      </x:c>
      <x:c r="P195" s="155" t="str">
        <x:v>Gestionar evaluaciones y autorizaciones</x:v>
      </x:c>
    </x:row>
    <x:row r="196" ht="62" customHeight="1">
      <x:c r="A196" s="155" t="str">
        <x:v>T391</x:v>
      </x:c>
      <x:c r="B196" s="155" t="str">
        <x:v>Parche descartable</x:v>
      </x:c>
      <x:c r="C196" s="155" t="str">
        <x:v>Liberar documentación del parche</x:v>
      </x:c>
      <x:c r="D196" s="155" t="n">
        <x:v>18</x:v>
      </x:c>
      <x:c r="E196" s="155" t="n">
        <x:v>39</x:v>
      </x:c>
      <x:c r="F196" s="155" t="str">
        <x:v>Técnico laboratorio</x:v>
      </x:c>
      <x:c r="G196" s="155" t="str">
        <x:v>T381, T382, T383, T384, X38</x:v>
      </x:c>
      <x:c r="H196" s="158" t="n">
        <x:v>1.47</x:v>
      </x:c>
      <x:c r="I196" s="158" t="n">
        <x:v>2.2</x:v>
      </x:c>
      <x:c r="J196" s="158" t="n">
        <x:v>5.87</x:v>
      </x:c>
      <x:c r="K196" s="158" t="n">
        <x:v>27.87</x:v>
      </x:c>
      <x:c r="L196" s="155" t="str">
        <x:v>Versión final y trazabilidad</x:v>
      </x:c>
      <x:c r="M196" s="155" t="str">
        <x:v>No se despachan unidades sin liberación comercial del sistema; cierre coordinado con X39 antes de despacho o publicación</x:v>
      </x:c>
      <x:c r="N196" s="158" t="n">
        <x:f>SUM(H196:K196)</x:f>
        <x:v>37.41</x:v>
      </x:c>
      <x:c r="O196" s="155" t="str">
        <x:v>Liberación comercial del sistema y requisitos del operador completos</x:v>
      </x:c>
      <x:c r="P196" s="155" t="str">
        <x:v>Recibir consumibles controlados</x:v>
      </x:c>
    </x:row>
    <x:row r="197" ht="62" customHeight="1">
      <x:c r="A197" s="155" t="str">
        <x:v>T392</x:v>
      </x:c>
      <x:c r="B197" s="155" t="str">
        <x:v>Lector reutilizable</x:v>
      </x:c>
      <x:c r="C197" s="155" t="str">
        <x:v>Liberar lectores del lote inicial</x:v>
      </x:c>
      <x:c r="D197" s="155" t="n">
        <x:v>18</x:v>
      </x:c>
      <x:c r="E197" s="155" t="n">
        <x:v>39</x:v>
      </x:c>
      <x:c r="F197" s="155" t="str">
        <x:v>Ing. embebidos</x:v>
      </x:c>
      <x:c r="G197" s="155" t="str">
        <x:v>T381, T382, T383, T384, X38</x:v>
      </x:c>
      <x:c r="H197" s="158" t="n">
        <x:v>4.4</x:v>
      </x:c>
      <x:c r="I197" s="158" t="n">
        <x:v>18.33</x:v>
      </x:c>
      <x:c r="J197" s="158" t="n">
        <x:v>5.13</x:v>
      </x:c>
      <x:c r="K197" s="158" t="n">
        <x:v>2.2</x:v>
      </x:c>
      <x:c r="L197" s="155" t="str">
        <x:v>Acta de liberación</x:v>
      </x:c>
      <x:c r="M197" s="155" t="str">
        <x:v>Cantidad aceptada conciliada; despacho condicionado a autorización; cierre coordinado con X39 antes de despacho o publicación</x:v>
      </x:c>
      <x:c r="N197" s="158" t="n">
        <x:f>SUM(H197:K197)</x:f>
        <x:v>30.059999999999995</x:v>
      </x:c>
      <x:c r="O197" s="155" t="str">
        <x:v>Liberación comercial del sistema y requisitos del operador completos</x:v>
      </x:c>
      <x:c r="P197" s="155" t="str">
        <x:v>Recibir lectores listos para usar</x:v>
      </x:c>
    </x:row>
    <x:row r="198" ht="62" customHeight="1">
      <x:c r="A198" s="155" t="str">
        <x:v>T393</x:v>
      </x:c>
      <x:c r="B198" s="155" t="str">
        <x:v>Pulsera</x:v>
      </x:c>
      <x:c r="C198" s="155" t="str">
        <x:v>Liberar pulseras comerciales</x:v>
      </x:c>
      <x:c r="D198" s="155" t="n">
        <x:v>18</x:v>
      </x:c>
      <x:c r="E198" s="155" t="n">
        <x:v>39</x:v>
      </x:c>
      <x:c r="F198" s="155" t="str">
        <x:v>Ing. embebidos</x:v>
      </x:c>
      <x:c r="G198" s="155" t="str">
        <x:v>T381, T382, T383, T384, X38</x:v>
      </x:c>
      <x:c r="H198" s="158" t="n">
        <x:v>3.67</x:v>
      </x:c>
      <x:c r="I198" s="158" t="n">
        <x:v>16.13</x:v>
      </x:c>
      <x:c r="J198" s="158" t="n">
        <x:v>7.33</x:v>
      </x:c>
      <x:c r="K198" s="158" t="n">
        <x:v>1.47</x:v>
      </x:c>
      <x:c r="L198" s="155" t="str">
        <x:v>Acta de liberación</x:v>
      </x:c>
      <x:c r="M198" s="155" t="str">
        <x:v>Cantidad aceptada y documentación conciliadas; cierre coordinado con X39 antes de despacho o publicación</x:v>
      </x:c>
      <x:c r="N198" s="158" t="n">
        <x:f>SUM(H198:K198)</x:f>
        <x:v>28.599999999999994</x:v>
      </x:c>
      <x:c r="O198" s="155" t="str">
        <x:v>Liberación comercial del sistema y requisitos del operador completos</x:v>
      </x:c>
      <x:c r="P198" s="155" t="str">
        <x:v>Recibir una pulsera lista para usar</x:v>
      </x:c>
    </x:row>
    <x:row r="199" ht="62" customHeight="1">
      <x:c r="A199" s="155" t="str">
        <x:v>T394</x:v>
      </x:c>
      <x:c r="B199" s="155" t="str">
        <x:v>Aplicación</x:v>
      </x:c>
      <x:c r="C199" s="155" t="str">
        <x:v>Liberar aplicación comercial</x:v>
      </x:c>
      <x:c r="D199" s="155" t="n">
        <x:v>18</x:v>
      </x:c>
      <x:c r="E199" s="155" t="n">
        <x:v>39</x:v>
      </x:c>
      <x:c r="F199" s="155" t="str">
        <x:v>Ing. software</x:v>
      </x:c>
      <x:c r="G199" s="155" t="str">
        <x:v>T381, T382, T383, T384, X38</x:v>
      </x:c>
      <x:c r="H199" s="158" t="n">
        <x:v>27.87</x:v>
      </x:c>
      <x:c r="I199" s="158" t="n">
        <x:v>2.2</x:v>
      </x:c>
      <x:c r="J199" s="158" t="n">
        <x:v>5.87</x:v>
      </x:c>
      <x:c r="K199" s="158" t="n">
        <x:v>0.73</x:v>
      </x:c>
      <x:c r="L199" s="155" t="str">
        <x:v>Versión distribuible y acta</x:v>
      </x:c>
      <x:c r="M199" s="155" t="str">
        <x:v>Publicación y ventas sujetas al cierre regulatorio; cierre coordinado con X39 antes de despacho o publicación</x:v>
      </x:c>
      <x:c r="N199" s="158" t="n">
        <x:f>SUM(H199:K199)</x:f>
        <x:v>36.669999999999995</x:v>
      </x:c>
      <x:c r="O199" s="155" t="str">
        <x:v>Liberación comercial del sistema y requisitos del operador completos</x:v>
      </x:c>
      <x:c r="P199" s="155" t="str">
        <x:v>Instalar la aplicación y recibir soporte</x:v>
      </x:c>
    </x:row>
    <x:row r="200" ht="62" customHeight="1">
      <x:c r="A200" s="155" t="str">
        <x:v>X39</x:v>
      </x:c>
      <x:c r="B200" s="155" t="str">
        <x:v>Transversal</x:v>
      </x:c>
      <x:c r="C200" s="155" t="str">
        <x:v>Cerrar programa y transferir soporte</x:v>
      </x:c>
      <x:c r="D200" s="155" t="n">
        <x:v>18</x:v>
      </x:c>
      <x:c r="E200" s="155" t="n">
        <x:v>39</x:v>
      </x:c>
      <x:c r="F200" s="155" t="str">
        <x:v>Ing. embebidos; coordinación QA</x:v>
      </x:c>
      <x:c r="G200" s="155" t="str">
        <x:v>X38, T381, T382, T383, T384</x:v>
      </x:c>
      <x:c r="H200" s="158" t="n">
        <x:v>10.67</x:v>
      </x:c>
      <x:c r="I200" s="158" t="n">
        <x:v>10.67</x:v>
      </x:c>
      <x:c r="J200" s="158" t="n">
        <x:v>10.67</x:v>
      </x:c>
      <x:c r="K200" s="158" t="n">
        <x:v>10.67</x:v>
      </x:c>
      <x:c r="L200" s="155" t="str">
        <x:v>Acta de liberación comercial y transferencia de soporte</x:v>
      </x:c>
      <x:c r="M200" s="155" t="str">
        <x:v>100 kits aprobados, documentación y seguimiento entregados; cierre de controles de S38 y autorizaciones vigentes antes de vender</x:v>
      </x:c>
      <x:c r="N200" s="158" t="n">
        <x:f>SUM(H200:K200)</x:f>
        <x:v>42.68</x:v>
      </x:c>
      <x:c r="O200" s="155" t="str">
        <x:v>Autorizaciones de comercialización y requisitos del operador completos; controles de S38 cerrados</x:v>
      </x:c>
      <x:c r="P200" s="155" t="str">
        <x:v>Preparar la atención comercial</x:v>
      </x:c>
    </x:row>
  </x:sheetData>
  <x:pageMargins left="0.7" right="0.7" top="0.75" bottom="0.75" header="0.3" footer="0.3"/>
  <x:tableParts count="1">
    <x:tablePart xmlns:r="http://schemas.openxmlformats.org/officeDocument/2006/relationships" r:id="R900665c363a4467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4" max="24" width="24" hidden="0" customWidth="1"/>
    <x:col min="25" max="25" width="24" hidden="0" customWidth="1"/>
  </x:cols>
  <x:sheetData>
    <x:row r="1" ht="42" customHeight="1">
      <x:c r="A1" s="150" t="str">
        <x:v>Mes</x:v>
      </x:c>
      <x:c r="B1" s="150" t="str">
        <x:v>Año</x:v>
      </x:c>
      <x:c r="C1" s="150" t="str">
        <x:v>Kits venta</x:v>
      </x:c>
      <x:c r="D1" s="150" t="str">
        <x:v>Clientes</x:v>
      </x:c>
      <x:c r="E1" s="150" t="str">
        <x:v>Recambios</x:v>
      </x:c>
      <x:c r="F1" s="150" t="str">
        <x:v>Demos</x:v>
      </x:c>
      <x:c r="G1" s="150" t="str">
        <x:v>Kits aceptados al stock</x:v>
      </x:c>
      <x:c r="H1" s="150" t="str">
        <x:v>Kits brutos del lote</x:v>
      </x:c>
      <x:c r="I1" s="150" t="str">
        <x:v>Stock final</x:v>
      </x:c>
      <x:c r="J1" s="150" t="str">
        <x:v>Ingresos</x:v>
      </x:c>
      <x:c r="K1" s="150" t="str">
        <x:v>Fabricación kit</x:v>
      </x:c>
      <x:c r="L1" s="150" t="str">
        <x:v>Importación</x:v>
      </x:c>
      <x:c r="M1" s="150" t="str">
        <x:v>Costo recambios</x:v>
      </x:c>
      <x:c r="N1" s="150" t="str">
        <x:v>Nómina</x:v>
      </x:c>
      <x:c r="O1" s="150" t="str">
        <x:v>Infraestructura/nube</x:v>
      </x:c>
      <x:c r="P1" s="150" t="str">
        <x:v>Técnica/clínica</x:v>
      </x:c>
      <x:c r="Q1" s="150" t="str">
        <x:v>Reserva</x:v>
      </x:c>
      <x:c r="R1" s="150" t="str">
        <x:v>Comercial/soporte</x:v>
      </x:c>
      <x:c r="S1" s="150" t="str">
        <x:v>Egresos</x:v>
      </x:c>
      <x:c r="T1" s="150" t="str">
        <x:v>Flujo sin capital</x:v>
      </x:c>
      <x:c r="U1" s="150" t="str">
        <x:v>Acumulado</x:v>
      </x:c>
      <x:c r="V1" s="150" t="str">
        <x:v>Descontado</x:v>
      </x:c>
      <x:c r="X1" t="str">
        <x:v>Escenario comercial</x:v>
      </x:c>
      <x:c r="Y1" s="176" t="str">
        <x:f>'Plan comercial'!E2</x:f>
        <x:v>Base</x:v>
      </x:c>
    </x:row>
    <x:row r="2" ht="42" customHeight="1">
      <x:c r="A2" s="147" t="n">
        <x:f>1</x:f>
        <x:v>1</x:v>
      </x:c>
      <x:c r="B2" s="147" t="n">
        <x:f>ROUNDUP(A2/12,0)</x:f>
        <x:v>1</x:v>
      </x:c>
      <x:c r="C2" s="152" t="n">
        <x:f>IF(A2&gt;='Supuestos'!$B$2,CHOOSE(MIN(3,1+INT((A2-'Supuestos'!$B$2)/12)),'Supuestos'!$B$34,'Supuestos'!$B$35,'Supuestos'!$B$36)/12,0)</x:f>
        <x:v>0</x:v>
      </x:c>
      <x:c r="D2" s="152" t="n">
        <x:f>0+C2</x:f>
        <x:v>0</x:v>
      </x:c>
      <x:c r="E2" s="152" t="n">
        <x:f>MAX(0,D2*'Supuestos'!$B$18-2*C2)</x:f>
        <x:v>0</x:v>
      </x:c>
      <x:c r="F2" s="152" t="n">
        <x:f>IF(A2&gt;='Supuestos'!$B$2,CHOOSE(MIN(3,1+INT((A2-'Supuestos'!$B$2)/12)),'Supuestos'!$B$37,'Supuestos'!$B$38,'Supuestos'!$B$39)/12,0)</x:f>
        <x:v>0</x:v>
      </x:c>
      <x:c r="G2" s="152" t="n">
        <x:f>IF(A2='Supuestos'!$B$2-1,'Supuestos'!$B$51,IF(A2&gt;='Supuestos'!$B$2,ROUNDUP(ROUND(MAX(0,C2+F2-0),8),0),0))</x:f>
        <x:v>0</x:v>
      </x:c>
      <x:c r="H2" s="152" t="n">
        <x:f>ROUNDUP(ROUND(G2/(1-'Supuestos'!$B$14),8),0)</x:f>
        <x:v>0</x:v>
      </x:c>
      <x:c r="I2" s="152" t="n">
        <x:f>0+G2-C2-F2</x:f>
        <x:v>0</x:v>
      </x:c>
      <x:c r="J2" s="152" t="n">
        <x:f>C2*'Supuestos'!$B$15+E2*'Supuestos'!$B$16</x:f>
        <x:v>0</x:v>
      </x:c>
      <x:c r="K2" s="152" t="n">
        <x:f>(IF(A2='Supuestos'!$B$2-3,ROUNDUP('Supuestos'!$B$51/(1-'Supuestos'!$B$14),0),0)+IF(A2='Supuestos'!$B$2-1,0,H2))*((2*SUM('Supuestos'!B19:B20)+SUM('Supuestos'!B21:B22)+2*SUM('Supuestos'!B23:B24)+'Supuestos'!B25)-IF(A2&lt;='Supuestos'!$B$3,(2*'Supuestos'!B20+'Supuestos'!B22+2*'Supuestos'!B24),0))</x:f>
        <x:v>0</x:v>
      </x:c>
      <x:c r="L2" s="152" t="n">
        <x:f>(IF(A2='Supuestos'!$B$2-2,ROUNDUP('Supuestos'!$B$51/(1-'Supuestos'!$B$14),0),0)+IF(A2='Supuestos'!$B$2-1,0,H2))*(((2*'Supuestos'!B19+'Supuestos'!B21+'Supuestos'!B25)+'Supuestos'!$B$26+'Supuestos'!$B$27)*'Supuestos'!$B$28+'Supuestos'!$B$26+'Supuestos'!$B$27+'Supuestos'!$B$29)+IF(A2='Supuestos'!$B$2-1,'Supuestos'!$B$30,0)</x:f>
        <x:v>0</x:v>
      </x:c>
      <x:c r="M2" s="152" t="n">
        <x:f>E2*(('Supuestos'!$B$23+'Supuestos'!$B$24)/(1-'Supuestos'!$B$14)+'Supuestos'!$B$31)</x:f>
        <x:v>0</x:v>
      </x:c>
      <x:c r="N2" s="152" t="n">
        <x:f>IF(A2&lt;='Supuestos'!$B$3,'Supuestos'!$B$4,0)</x:f>
        <x:v>11200</x:v>
      </x:c>
      <x:c r="O2" s="152" t="n">
        <x:f>'Supuestos'!$B$5+'Supuestos'!$B$6</x:f>
        <x:v>2500</x:v>
      </x:c>
      <x:c r="P2" s="152" t="n">
        <x:f>IF(AND(A2&gt;=2,A2&lt;=12),'Supuestos'!$B$7/11,0)+IF(AND(A2&gt;=3,A2&lt;=12),SUM('Supuestos'!$B$8:$B$10)/10,0)+IF(AND(A2&gt;=7,A2&lt;='Supuestos'!$B$3),SUM('Supuestos'!$B$11:$B$12)/('Supuestos'!$B$3-6),0)</x:f>
        <x:v>0</x:v>
      </x:c>
      <x:c r="Q2" s="152" t="n">
        <x:f>(P2+'Supuestos'!$B$6)*'Supuestos'!$B$13</x:f>
        <x:v>50</x:v>
      </x:c>
      <x:c r="R2" s="152" t="n">
        <x:f>J2*'Supuestos'!$B$32+IF(A2&gt;='Supuestos'!$B$2,CHOOSE(MIN(3,1+INT((A2-'Supuestos'!$B$2)/12)),'Supuestos'!$B$45,'Supuestos'!$B$46,'Supuestos'!$B$47)+CHOOSE(MIN(3,1+INT((A2-'Supuestos'!$B$2)/12)),'Supuestos'!$B$48,'Supuestos'!$B$49,'Supuestos'!$B$50)+CHOOSE(MIN(3,1+INT((A2-'Supuestos'!$B$2)/12)),'Supuestos'!$B$40,'Supuestos'!$B$41,'Supuestos'!$B$42)/12+D2*'Supuestos'!$B$43/100*'Supuestos'!$B$44,0)</x:f>
        <x:v>0</x:v>
      </x:c>
      <x:c r="S2" s="152" t="n">
        <x:f>SUM(K2:R2)</x:f>
        <x:v>13750</x:v>
      </x:c>
      <x:c r="T2" s="152" t="n">
        <x:f>J2-S2</x:f>
        <x:v>-13750</x:v>
      </x:c>
      <x:c r="U2" s="152" t="n">
        <x:f>T2+0</x:f>
        <x:v>-13750</x:v>
      </x:c>
      <x:c r="V2" s="152" t="n">
        <x:f>T2/(1+'Supuestos'!$B$33)^(A2/12)</x:f>
        <x:v>-13542.66890983722</x:v>
      </x:c>
    </x:row>
    <x:row r="3" ht="42" customHeight="1">
      <x:c r="A3" s="147" t="n">
        <x:f>2</x:f>
        <x:v>2</x:v>
      </x:c>
      <x:c r="B3" s="147" t="n">
        <x:f>ROUNDUP(A3/12,0)</x:f>
        <x:v>1</x:v>
      </x:c>
      <x:c r="C3" s="152" t="n">
        <x:f>IF(A3&gt;='Supuestos'!$B$2,CHOOSE(MIN(3,1+INT((A3-'Supuestos'!$B$2)/12)),'Supuestos'!$B$34,'Supuestos'!$B$35,'Supuestos'!$B$36)/12,0)</x:f>
        <x:v>0</x:v>
      </x:c>
      <x:c r="D3" s="152" t="n">
        <x:f>D2*'Supuestos'!$B$17+C3</x:f>
        <x:v>0</x:v>
      </x:c>
      <x:c r="E3" s="152" t="n">
        <x:f>MAX(0,D3*'Supuestos'!$B$18-2*C3)</x:f>
        <x:v>0</x:v>
      </x:c>
      <x:c r="F3" s="152" t="n">
        <x:f>IF(A3&gt;='Supuestos'!$B$2,CHOOSE(MIN(3,1+INT((A3-'Supuestos'!$B$2)/12)),'Supuestos'!$B$37,'Supuestos'!$B$38,'Supuestos'!$B$39)/12,0)</x:f>
        <x:v>0</x:v>
      </x:c>
      <x:c r="G3" s="152" t="n">
        <x:f>IF(A3='Supuestos'!$B$2-1,'Supuestos'!$B$51,IF(A3&gt;='Supuestos'!$B$2,ROUNDUP(ROUND(MAX(0,C3+F3-I2),8),0),0))</x:f>
        <x:v>0</x:v>
      </x:c>
      <x:c r="H3" s="152" t="n">
        <x:f>ROUNDUP(ROUND(G3/(1-'Supuestos'!$B$14),8),0)</x:f>
        <x:v>0</x:v>
      </x:c>
      <x:c r="I3" s="152" t="n">
        <x:f>I2+G3-C3-F3</x:f>
        <x:v>0</x:v>
      </x:c>
      <x:c r="J3" s="152" t="n">
        <x:f>C3*'Supuestos'!$B$15+E3*'Supuestos'!$B$16</x:f>
        <x:v>0</x:v>
      </x:c>
      <x:c r="K3" s="152" t="n">
        <x:f>(IF(A3='Supuestos'!$B$2-3,ROUNDUP('Supuestos'!$B$51/(1-'Supuestos'!$B$14),0),0)+IF(A3='Supuestos'!$B$2-1,0,H3))*((2*SUM('Supuestos'!B19:B20)+SUM('Supuestos'!B21:B22)+2*SUM('Supuestos'!B23:B24)+'Supuestos'!B25)-IF(A3&lt;='Supuestos'!$B$3,(2*'Supuestos'!B20+'Supuestos'!B22+2*'Supuestos'!B24),0))</x:f>
        <x:v>0</x:v>
      </x:c>
      <x:c r="L3" s="152" t="n">
        <x:f>(IF(A3='Supuestos'!$B$2-2,ROUNDUP('Supuestos'!$B$51/(1-'Supuestos'!$B$14),0),0)+IF(A3='Supuestos'!$B$2-1,0,H3))*(((2*'Supuestos'!B19+'Supuestos'!B21+'Supuestos'!B25)+'Supuestos'!$B$26+'Supuestos'!$B$27)*'Supuestos'!$B$28+'Supuestos'!$B$26+'Supuestos'!$B$27+'Supuestos'!$B$29)+IF(A3='Supuestos'!$B$2-1,'Supuestos'!$B$30,0)</x:f>
        <x:v>0</x:v>
      </x:c>
      <x:c r="M3" s="152" t="n">
        <x:f>E3*(('Supuestos'!$B$23+'Supuestos'!$B$24)/(1-'Supuestos'!$B$14)+'Supuestos'!$B$31)</x:f>
        <x:v>0</x:v>
      </x:c>
      <x:c r="N3" s="152" t="n">
        <x:f>IF(A3&lt;='Supuestos'!$B$3,'Supuestos'!$B$4,0)</x:f>
        <x:v>11200</x:v>
      </x:c>
      <x:c r="O3" s="152" t="n">
        <x:f>'Supuestos'!$B$5+'Supuestos'!$B$6</x:f>
        <x:v>2500</x:v>
      </x:c>
      <x:c r="P3" s="152" t="n">
        <x:f>IF(AND(A3&gt;=2,A3&lt;=12),'Supuestos'!$B$7/11,0)+IF(AND(A3&gt;=3,A3&lt;=12),SUM('Supuestos'!$B$8:$B$10)/10,0)+IF(AND(A3&gt;=7,A3&lt;='Supuestos'!$B$3),SUM('Supuestos'!$B$11:$B$12)/('Supuestos'!$B$3-6),0)</x:f>
        <x:v>1090.909090909091</x:v>
      </x:c>
      <x:c r="Q3" s="152" t="n">
        <x:f>(P3+'Supuestos'!$B$6)*'Supuestos'!$B$13</x:f>
        <x:v>159.09090909090912</x:v>
      </x:c>
      <x:c r="R3" s="152" t="n">
        <x:f>J3*'Supuestos'!$B$32+IF(A3&gt;='Supuestos'!$B$2,CHOOSE(MIN(3,1+INT((A3-'Supuestos'!$B$2)/12)),'Supuestos'!$B$45,'Supuestos'!$B$46,'Supuestos'!$B$47)+CHOOSE(MIN(3,1+INT((A3-'Supuestos'!$B$2)/12)),'Supuestos'!$B$48,'Supuestos'!$B$49,'Supuestos'!$B$50)+CHOOSE(MIN(3,1+INT((A3-'Supuestos'!$B$2)/12)),'Supuestos'!$B$40,'Supuestos'!$B$41,'Supuestos'!$B$42)/12+D3*'Supuestos'!$B$43/100*'Supuestos'!$B$44,0)</x:f>
        <x:v>0</x:v>
      </x:c>
      <x:c r="S3" s="152" t="n">
        <x:f>SUM(K3:R3)</x:f>
        <x:v>14950.000000000002</x:v>
      </x:c>
      <x:c r="T3" s="152" t="n">
        <x:f>J3-S3</x:f>
        <x:v>-14950.000000000002</x:v>
      </x:c>
      <x:c r="U3" s="152" t="n">
        <x:f>T3+U2</x:f>
        <x:v>-28700</x:v>
      </x:c>
      <x:c r="V3" s="152" t="n">
        <x:f>T3/(1+'Supuestos'!$B$33)^(A3/12)</x:f>
        <x:v>-14502.548225914717</x:v>
      </x:c>
    </x:row>
    <x:row r="4" ht="42" customHeight="1">
      <x:c r="A4" s="147" t="n">
        <x:f>3</x:f>
        <x:v>3</x:v>
      </x:c>
      <x:c r="B4" s="147" t="n">
        <x:f>ROUNDUP(A4/12,0)</x:f>
        <x:v>1</x:v>
      </x:c>
      <x:c r="C4" s="152" t="n">
        <x:f>IF(A4&gt;='Supuestos'!$B$2,CHOOSE(MIN(3,1+INT((A4-'Supuestos'!$B$2)/12)),'Supuestos'!$B$34,'Supuestos'!$B$35,'Supuestos'!$B$36)/12,0)</x:f>
        <x:v>0</x:v>
      </x:c>
      <x:c r="D4" s="152" t="n">
        <x:f>D3*'Supuestos'!$B$17+C4</x:f>
        <x:v>0</x:v>
      </x:c>
      <x:c r="E4" s="152" t="n">
        <x:f>MAX(0,D4*'Supuestos'!$B$18-2*C4)</x:f>
        <x:v>0</x:v>
      </x:c>
      <x:c r="F4" s="152" t="n">
        <x:f>IF(A4&gt;='Supuestos'!$B$2,CHOOSE(MIN(3,1+INT((A4-'Supuestos'!$B$2)/12)),'Supuestos'!$B$37,'Supuestos'!$B$38,'Supuestos'!$B$39)/12,0)</x:f>
        <x:v>0</x:v>
      </x:c>
      <x:c r="G4" s="152" t="n">
        <x:f>IF(A4='Supuestos'!$B$2-1,'Supuestos'!$B$51,IF(A4&gt;='Supuestos'!$B$2,ROUNDUP(ROUND(MAX(0,C4+F4-I3),8),0),0))</x:f>
        <x:v>0</x:v>
      </x:c>
      <x:c r="H4" s="152" t="n">
        <x:f>ROUNDUP(ROUND(G4/(1-'Supuestos'!$B$14),8),0)</x:f>
        <x:v>0</x:v>
      </x:c>
      <x:c r="I4" s="152" t="n">
        <x:f>I3+G4-C4-F4</x:f>
        <x:v>0</x:v>
      </x:c>
      <x:c r="J4" s="152" t="n">
        <x:f>C4*'Supuestos'!$B$15+E4*'Supuestos'!$B$16</x:f>
        <x:v>0</x:v>
      </x:c>
      <x:c r="K4" s="152" t="n">
        <x:f>(IF(A4='Supuestos'!$B$2-3,ROUNDUP('Supuestos'!$B$51/(1-'Supuestos'!$B$14),0),0)+IF(A4='Supuestos'!$B$2-1,0,H4))*((2*SUM('Supuestos'!B19:B20)+SUM('Supuestos'!B21:B22)+2*SUM('Supuestos'!B23:B24)+'Supuestos'!B25)-IF(A4&lt;='Supuestos'!$B$3,(2*'Supuestos'!B20+'Supuestos'!B22+2*'Supuestos'!B24),0))</x:f>
        <x:v>0</x:v>
      </x:c>
      <x:c r="L4" s="152" t="n">
        <x:f>(IF(A4='Supuestos'!$B$2-2,ROUNDUP('Supuestos'!$B$51/(1-'Supuestos'!$B$14),0),0)+IF(A4='Supuestos'!$B$2-1,0,H4))*(((2*'Supuestos'!B19+'Supuestos'!B21+'Supuestos'!B25)+'Supuestos'!$B$26+'Supuestos'!$B$27)*'Supuestos'!$B$28+'Supuestos'!$B$26+'Supuestos'!$B$27+'Supuestos'!$B$29)+IF(A4='Supuestos'!$B$2-1,'Supuestos'!$B$30,0)</x:f>
        <x:v>0</x:v>
      </x:c>
      <x:c r="M4" s="152" t="n">
        <x:f>E4*(('Supuestos'!$B$23+'Supuestos'!$B$24)/(1-'Supuestos'!$B$14)+'Supuestos'!$B$31)</x:f>
        <x:v>0</x:v>
      </x:c>
      <x:c r="N4" s="152" t="n">
        <x:f>IF(A4&lt;='Supuestos'!$B$3,'Supuestos'!$B$4,0)</x:f>
        <x:v>11200</x:v>
      </x:c>
      <x:c r="O4" s="152" t="n">
        <x:f>'Supuestos'!$B$5+'Supuestos'!$B$6</x:f>
        <x:v>2500</x:v>
      </x:c>
      <x:c r="P4" s="152" t="n">
        <x:f>IF(AND(A4&gt;=2,A4&lt;=12),'Supuestos'!$B$7/11,0)+IF(AND(A4&gt;=3,A4&lt;=12),SUM('Supuestos'!$B$8:$B$10)/10,0)+IF(AND(A4&gt;=7,A4&lt;='Supuestos'!$B$3),SUM('Supuestos'!$B$11:$B$12)/('Supuestos'!$B$3-6),0)</x:f>
        <x:v>4090.909090909091</x:v>
      </x:c>
      <x:c r="Q4" s="152" t="n">
        <x:f>(P4+'Supuestos'!$B$6)*'Supuestos'!$B$13</x:f>
        <x:v>459.0909090909091</x:v>
      </x:c>
      <x:c r="R4" s="152" t="n">
        <x:f>J4*'Supuestos'!$B$32+IF(A4&gt;='Supuestos'!$B$2,CHOOSE(MIN(3,1+INT((A4-'Supuestos'!$B$2)/12)),'Supuestos'!$B$45,'Supuestos'!$B$46,'Supuestos'!$B$47)+CHOOSE(MIN(3,1+INT((A4-'Supuestos'!$B$2)/12)),'Supuestos'!$B$48,'Supuestos'!$B$49,'Supuestos'!$B$50)+CHOOSE(MIN(3,1+INT((A4-'Supuestos'!$B$2)/12)),'Supuestos'!$B$40,'Supuestos'!$B$41,'Supuestos'!$B$42)/12+D4*'Supuestos'!$B$43/100*'Supuestos'!$B$44,0)</x:f>
        <x:v>0</x:v>
      </x:c>
      <x:c r="S4" s="152" t="n">
        <x:f>SUM(K4:R4)</x:f>
        <x:v>18250</x:v>
      </x:c>
      <x:c r="T4" s="152" t="n">
        <x:f>J4-S4</x:f>
        <x:v>-18250</x:v>
      </x:c>
      <x:c r="U4" s="152" t="n">
        <x:f>T4+U3</x:f>
        <x:v>-46950</x:v>
      </x:c>
      <x:c r="V4" s="152" t="n">
        <x:f>T4/(1+'Supuestos'!$B$33)^(A4/12)</x:f>
        <x:v>-17436.830957729693</x:v>
      </x:c>
    </x:row>
    <x:row r="5" ht="42" customHeight="1">
      <x:c r="A5" s="147" t="n">
        <x:f>4</x:f>
        <x:v>4</x:v>
      </x:c>
      <x:c r="B5" s="147" t="n">
        <x:f>ROUNDUP(A5/12,0)</x:f>
        <x:v>1</x:v>
      </x:c>
      <x:c r="C5" s="152" t="n">
        <x:f>IF(A5&gt;='Supuestos'!$B$2,CHOOSE(MIN(3,1+INT((A5-'Supuestos'!$B$2)/12)),'Supuestos'!$B$34,'Supuestos'!$B$35,'Supuestos'!$B$36)/12,0)</x:f>
        <x:v>0</x:v>
      </x:c>
      <x:c r="D5" s="152" t="n">
        <x:f>D4*'Supuestos'!$B$17+C5</x:f>
        <x:v>0</x:v>
      </x:c>
      <x:c r="E5" s="152" t="n">
        <x:f>MAX(0,D5*'Supuestos'!$B$18-2*C5)</x:f>
        <x:v>0</x:v>
      </x:c>
      <x:c r="F5" s="152" t="n">
        <x:f>IF(A5&gt;='Supuestos'!$B$2,CHOOSE(MIN(3,1+INT((A5-'Supuestos'!$B$2)/12)),'Supuestos'!$B$37,'Supuestos'!$B$38,'Supuestos'!$B$39)/12,0)</x:f>
        <x:v>0</x:v>
      </x:c>
      <x:c r="G5" s="152" t="n">
        <x:f>IF(A5='Supuestos'!$B$2-1,'Supuestos'!$B$51,IF(A5&gt;='Supuestos'!$B$2,ROUNDUP(ROUND(MAX(0,C5+F5-I4),8),0),0))</x:f>
        <x:v>0</x:v>
      </x:c>
      <x:c r="H5" s="152" t="n">
        <x:f>ROUNDUP(ROUND(G5/(1-'Supuestos'!$B$14),8),0)</x:f>
        <x:v>0</x:v>
      </x:c>
      <x:c r="I5" s="152" t="n">
        <x:f>I4+G5-C5-F5</x:f>
        <x:v>0</x:v>
      </x:c>
      <x:c r="J5" s="152" t="n">
        <x:f>C5*'Supuestos'!$B$15+E5*'Supuestos'!$B$16</x:f>
        <x:v>0</x:v>
      </x:c>
      <x:c r="K5" s="152" t="n">
        <x:f>(IF(A5='Supuestos'!$B$2-3,ROUNDUP('Supuestos'!$B$51/(1-'Supuestos'!$B$14),0),0)+IF(A5='Supuestos'!$B$2-1,0,H5))*((2*SUM('Supuestos'!B19:B20)+SUM('Supuestos'!B21:B22)+2*SUM('Supuestos'!B23:B24)+'Supuestos'!B25)-IF(A5&lt;='Supuestos'!$B$3,(2*'Supuestos'!B20+'Supuestos'!B22+2*'Supuestos'!B24),0))</x:f>
        <x:v>0</x:v>
      </x:c>
      <x:c r="L5" s="152" t="n">
        <x:f>(IF(A5='Supuestos'!$B$2-2,ROUNDUP('Supuestos'!$B$51/(1-'Supuestos'!$B$14),0),0)+IF(A5='Supuestos'!$B$2-1,0,H5))*(((2*'Supuestos'!B19+'Supuestos'!B21+'Supuestos'!B25)+'Supuestos'!$B$26+'Supuestos'!$B$27)*'Supuestos'!$B$28+'Supuestos'!$B$26+'Supuestos'!$B$27+'Supuestos'!$B$29)+IF(A5='Supuestos'!$B$2-1,'Supuestos'!$B$30,0)</x:f>
        <x:v>0</x:v>
      </x:c>
      <x:c r="M5" s="152" t="n">
        <x:f>E5*(('Supuestos'!$B$23+'Supuestos'!$B$24)/(1-'Supuestos'!$B$14)+'Supuestos'!$B$31)</x:f>
        <x:v>0</x:v>
      </x:c>
      <x:c r="N5" s="152" t="n">
        <x:f>IF(A5&lt;='Supuestos'!$B$3,'Supuestos'!$B$4,0)</x:f>
        <x:v>11200</x:v>
      </x:c>
      <x:c r="O5" s="152" t="n">
        <x:f>'Supuestos'!$B$5+'Supuestos'!$B$6</x:f>
        <x:v>2500</x:v>
      </x:c>
      <x:c r="P5" s="152" t="n">
        <x:f>IF(AND(A5&gt;=2,A5&lt;=12),'Supuestos'!$B$7/11,0)+IF(AND(A5&gt;=3,A5&lt;=12),SUM('Supuestos'!$B$8:$B$10)/10,0)+IF(AND(A5&gt;=7,A5&lt;='Supuestos'!$B$3),SUM('Supuestos'!$B$11:$B$12)/('Supuestos'!$B$3-6),0)</x:f>
        <x:v>4090.909090909091</x:v>
      </x:c>
      <x:c r="Q5" s="152" t="n">
        <x:f>(P5+'Supuestos'!$B$6)*'Supuestos'!$B$13</x:f>
        <x:v>459.0909090909091</x:v>
      </x:c>
      <x:c r="R5" s="152" t="n">
        <x:f>J5*'Supuestos'!$B$32+IF(A5&gt;='Supuestos'!$B$2,CHOOSE(MIN(3,1+INT((A5-'Supuestos'!$B$2)/12)),'Supuestos'!$B$45,'Supuestos'!$B$46,'Supuestos'!$B$47)+CHOOSE(MIN(3,1+INT((A5-'Supuestos'!$B$2)/12)),'Supuestos'!$B$48,'Supuestos'!$B$49,'Supuestos'!$B$50)+CHOOSE(MIN(3,1+INT((A5-'Supuestos'!$B$2)/12)),'Supuestos'!$B$40,'Supuestos'!$B$41,'Supuestos'!$B$42)/12+D5*'Supuestos'!$B$43/100*'Supuestos'!$B$44,0)</x:f>
        <x:v>0</x:v>
      </x:c>
      <x:c r="S5" s="152" t="n">
        <x:f>SUM(K5:R5)</x:f>
        <x:v>18250</x:v>
      </x:c>
      <x:c r="T5" s="152" t="n">
        <x:f>J5-S5</x:f>
        <x:v>-18250</x:v>
      </x:c>
      <x:c r="U5" s="152" t="n">
        <x:f>T5+U4</x:f>
        <x:v>-65200</x:v>
      </x:c>
      <x:c r="V5" s="152" t="n">
        <x:f>T5/(1+'Supuestos'!$B$33)^(A5/12)</x:f>
        <x:v>-17173.90752707877</x:v>
      </x:c>
    </x:row>
    <x:row r="6" ht="42" customHeight="1">
      <x:c r="A6" s="147" t="n">
        <x:f>5</x:f>
        <x:v>5</x:v>
      </x:c>
      <x:c r="B6" s="147" t="n">
        <x:f>ROUNDUP(A6/12,0)</x:f>
        <x:v>1</x:v>
      </x:c>
      <x:c r="C6" s="152" t="n">
        <x:f>IF(A6&gt;='Supuestos'!$B$2,CHOOSE(MIN(3,1+INT((A6-'Supuestos'!$B$2)/12)),'Supuestos'!$B$34,'Supuestos'!$B$35,'Supuestos'!$B$36)/12,0)</x:f>
        <x:v>0</x:v>
      </x:c>
      <x:c r="D6" s="152" t="n">
        <x:f>D5*'Supuestos'!$B$17+C6</x:f>
        <x:v>0</x:v>
      </x:c>
      <x:c r="E6" s="152" t="n">
        <x:f>MAX(0,D6*'Supuestos'!$B$18-2*C6)</x:f>
        <x:v>0</x:v>
      </x:c>
      <x:c r="F6" s="152" t="n">
        <x:f>IF(A6&gt;='Supuestos'!$B$2,CHOOSE(MIN(3,1+INT((A6-'Supuestos'!$B$2)/12)),'Supuestos'!$B$37,'Supuestos'!$B$38,'Supuestos'!$B$39)/12,0)</x:f>
        <x:v>0</x:v>
      </x:c>
      <x:c r="G6" s="152" t="n">
        <x:f>IF(A6='Supuestos'!$B$2-1,'Supuestos'!$B$51,IF(A6&gt;='Supuestos'!$B$2,ROUNDUP(ROUND(MAX(0,C6+F6-I5),8),0),0))</x:f>
        <x:v>0</x:v>
      </x:c>
      <x:c r="H6" s="152" t="n">
        <x:f>ROUNDUP(ROUND(G6/(1-'Supuestos'!$B$14),8),0)</x:f>
        <x:v>0</x:v>
      </x:c>
      <x:c r="I6" s="152" t="n">
        <x:f>I5+G6-C6-F6</x:f>
        <x:v>0</x:v>
      </x:c>
      <x:c r="J6" s="152" t="n">
        <x:f>C6*'Supuestos'!$B$15+E6*'Supuestos'!$B$16</x:f>
        <x:v>0</x:v>
      </x:c>
      <x:c r="K6" s="152" t="n">
        <x:f>(IF(A6='Supuestos'!$B$2-3,ROUNDUP('Supuestos'!$B$51/(1-'Supuestos'!$B$14),0),0)+IF(A6='Supuestos'!$B$2-1,0,H6))*((2*SUM('Supuestos'!B19:B20)+SUM('Supuestos'!B21:B22)+2*SUM('Supuestos'!B23:B24)+'Supuestos'!B25)-IF(A6&lt;='Supuestos'!$B$3,(2*'Supuestos'!B20+'Supuestos'!B22+2*'Supuestos'!B24),0))</x:f>
        <x:v>0</x:v>
      </x:c>
      <x:c r="L6" s="152" t="n">
        <x:f>(IF(A6='Supuestos'!$B$2-2,ROUNDUP('Supuestos'!$B$51/(1-'Supuestos'!$B$14),0),0)+IF(A6='Supuestos'!$B$2-1,0,H6))*(((2*'Supuestos'!B19+'Supuestos'!B21+'Supuestos'!B25)+'Supuestos'!$B$26+'Supuestos'!$B$27)*'Supuestos'!$B$28+'Supuestos'!$B$26+'Supuestos'!$B$27+'Supuestos'!$B$29)+IF(A6='Supuestos'!$B$2-1,'Supuestos'!$B$30,0)</x:f>
        <x:v>0</x:v>
      </x:c>
      <x:c r="M6" s="152" t="n">
        <x:f>E6*(('Supuestos'!$B$23+'Supuestos'!$B$24)/(1-'Supuestos'!$B$14)+'Supuestos'!$B$31)</x:f>
        <x:v>0</x:v>
      </x:c>
      <x:c r="N6" s="152" t="n">
        <x:f>IF(A6&lt;='Supuestos'!$B$3,'Supuestos'!$B$4,0)</x:f>
        <x:v>11200</x:v>
      </x:c>
      <x:c r="O6" s="152" t="n">
        <x:f>'Supuestos'!$B$5+'Supuestos'!$B$6</x:f>
        <x:v>2500</x:v>
      </x:c>
      <x:c r="P6" s="152" t="n">
        <x:f>IF(AND(A6&gt;=2,A6&lt;=12),'Supuestos'!$B$7/11,0)+IF(AND(A6&gt;=3,A6&lt;=12),SUM('Supuestos'!$B$8:$B$10)/10,0)+IF(AND(A6&gt;=7,A6&lt;='Supuestos'!$B$3),SUM('Supuestos'!$B$11:$B$12)/('Supuestos'!$B$3-6),0)</x:f>
        <x:v>4090.909090909091</x:v>
      </x:c>
      <x:c r="Q6" s="152" t="n">
        <x:f>(P6+'Supuestos'!$B$6)*'Supuestos'!$B$13</x:f>
        <x:v>459.0909090909091</x:v>
      </x:c>
      <x:c r="R6" s="152" t="n">
        <x:f>J6*'Supuestos'!$B$32+IF(A6&gt;='Supuestos'!$B$2,CHOOSE(MIN(3,1+INT((A6-'Supuestos'!$B$2)/12)),'Supuestos'!$B$45,'Supuestos'!$B$46,'Supuestos'!$B$47)+CHOOSE(MIN(3,1+INT((A6-'Supuestos'!$B$2)/12)),'Supuestos'!$B$48,'Supuestos'!$B$49,'Supuestos'!$B$50)+CHOOSE(MIN(3,1+INT((A6-'Supuestos'!$B$2)/12)),'Supuestos'!$B$40,'Supuestos'!$B$41,'Supuestos'!$B$42)/12+D6*'Supuestos'!$B$43/100*'Supuestos'!$B$44,0)</x:f>
        <x:v>0</x:v>
      </x:c>
      <x:c r="S6" s="152" t="n">
        <x:f>SUM(K6:R6)</x:f>
        <x:v>18250</x:v>
      </x:c>
      <x:c r="T6" s="152" t="n">
        <x:f>J6-S6</x:f>
        <x:v>-18250</x:v>
      </x:c>
      <x:c r="U6" s="152" t="n">
        <x:f>T6+U5</x:f>
        <x:v>-83450</x:v>
      </x:c>
      <x:c r="V6" s="152" t="n">
        <x:f>T6/(1+'Supuestos'!$B$33)^(A6/12)</x:f>
        <x:v>-16914.948620173753</x:v>
      </x:c>
    </x:row>
    <x:row r="7" ht="42" customHeight="1">
      <x:c r="A7" s="147" t="n">
        <x:f>6</x:f>
        <x:v>6</x:v>
      </x:c>
      <x:c r="B7" s="147" t="n">
        <x:f>ROUNDUP(A7/12,0)</x:f>
        <x:v>1</x:v>
      </x:c>
      <x:c r="C7" s="152" t="n">
        <x:f>IF(A7&gt;='Supuestos'!$B$2,CHOOSE(MIN(3,1+INT((A7-'Supuestos'!$B$2)/12)),'Supuestos'!$B$34,'Supuestos'!$B$35,'Supuestos'!$B$36)/12,0)</x:f>
        <x:v>0</x:v>
      </x:c>
      <x:c r="D7" s="152" t="n">
        <x:f>D6*'Supuestos'!$B$17+C7</x:f>
        <x:v>0</x:v>
      </x:c>
      <x:c r="E7" s="152" t="n">
        <x:f>MAX(0,D7*'Supuestos'!$B$18-2*C7)</x:f>
        <x:v>0</x:v>
      </x:c>
      <x:c r="F7" s="152" t="n">
        <x:f>IF(A7&gt;='Supuestos'!$B$2,CHOOSE(MIN(3,1+INT((A7-'Supuestos'!$B$2)/12)),'Supuestos'!$B$37,'Supuestos'!$B$38,'Supuestos'!$B$39)/12,0)</x:f>
        <x:v>0</x:v>
      </x:c>
      <x:c r="G7" s="152" t="n">
        <x:f>IF(A7='Supuestos'!$B$2-1,'Supuestos'!$B$51,IF(A7&gt;='Supuestos'!$B$2,ROUNDUP(ROUND(MAX(0,C7+F7-I6),8),0),0))</x:f>
        <x:v>0</x:v>
      </x:c>
      <x:c r="H7" s="152" t="n">
        <x:f>ROUNDUP(ROUND(G7/(1-'Supuestos'!$B$14),8),0)</x:f>
        <x:v>0</x:v>
      </x:c>
      <x:c r="I7" s="152" t="n">
        <x:f>I6+G7-C7-F7</x:f>
        <x:v>0</x:v>
      </x:c>
      <x:c r="J7" s="152" t="n">
        <x:f>C7*'Supuestos'!$B$15+E7*'Supuestos'!$B$16</x:f>
        <x:v>0</x:v>
      </x:c>
      <x:c r="K7" s="152" t="n">
        <x:f>(IF(A7='Supuestos'!$B$2-3,ROUNDUP('Supuestos'!$B$51/(1-'Supuestos'!$B$14),0),0)+IF(A7='Supuestos'!$B$2-1,0,H7))*((2*SUM('Supuestos'!B19:B20)+SUM('Supuestos'!B21:B22)+2*SUM('Supuestos'!B23:B24)+'Supuestos'!B25)-IF(A7&lt;='Supuestos'!$B$3,(2*'Supuestos'!B20+'Supuestos'!B22+2*'Supuestos'!B24),0))</x:f>
        <x:v>0</x:v>
      </x:c>
      <x:c r="L7" s="152" t="n">
        <x:f>(IF(A7='Supuestos'!$B$2-2,ROUNDUP('Supuestos'!$B$51/(1-'Supuestos'!$B$14),0),0)+IF(A7='Supuestos'!$B$2-1,0,H7))*(((2*'Supuestos'!B19+'Supuestos'!B21+'Supuestos'!B25)+'Supuestos'!$B$26+'Supuestos'!$B$27)*'Supuestos'!$B$28+'Supuestos'!$B$26+'Supuestos'!$B$27+'Supuestos'!$B$29)+IF(A7='Supuestos'!$B$2-1,'Supuestos'!$B$30,0)</x:f>
        <x:v>0</x:v>
      </x:c>
      <x:c r="M7" s="152" t="n">
        <x:f>E7*(('Supuestos'!$B$23+'Supuestos'!$B$24)/(1-'Supuestos'!$B$14)+'Supuestos'!$B$31)</x:f>
        <x:v>0</x:v>
      </x:c>
      <x:c r="N7" s="152" t="n">
        <x:f>IF(A7&lt;='Supuestos'!$B$3,'Supuestos'!$B$4,0)</x:f>
        <x:v>11200</x:v>
      </x:c>
      <x:c r="O7" s="152" t="n">
        <x:f>'Supuestos'!$B$5+'Supuestos'!$B$6</x:f>
        <x:v>2500</x:v>
      </x:c>
      <x:c r="P7" s="152" t="n">
        <x:f>IF(AND(A7&gt;=2,A7&lt;=12),'Supuestos'!$B$7/11,0)+IF(AND(A7&gt;=3,A7&lt;=12),SUM('Supuestos'!$B$8:$B$10)/10,0)+IF(AND(A7&gt;=7,A7&lt;='Supuestos'!$B$3),SUM('Supuestos'!$B$11:$B$12)/('Supuestos'!$B$3-6),0)</x:f>
        <x:v>4090.909090909091</x:v>
      </x:c>
      <x:c r="Q7" s="152" t="n">
        <x:f>(P7+'Supuestos'!$B$6)*'Supuestos'!$B$13</x:f>
        <x:v>459.0909090909091</x:v>
      </x:c>
      <x:c r="R7" s="152" t="n">
        <x:f>J7*'Supuestos'!$B$32+IF(A7&gt;='Supuestos'!$B$2,CHOOSE(MIN(3,1+INT((A7-'Supuestos'!$B$2)/12)),'Supuestos'!$B$45,'Supuestos'!$B$46,'Supuestos'!$B$47)+CHOOSE(MIN(3,1+INT((A7-'Supuestos'!$B$2)/12)),'Supuestos'!$B$48,'Supuestos'!$B$49,'Supuestos'!$B$50)+CHOOSE(MIN(3,1+INT((A7-'Supuestos'!$B$2)/12)),'Supuestos'!$B$40,'Supuestos'!$B$41,'Supuestos'!$B$42)/12+D7*'Supuestos'!$B$43/100*'Supuestos'!$B$44,0)</x:f>
        <x:v>0</x:v>
      </x:c>
      <x:c r="S7" s="152" t="n">
        <x:f>SUM(K7:R7)</x:f>
        <x:v>18250</x:v>
      </x:c>
      <x:c r="T7" s="152" t="n">
        <x:f>J7-S7</x:f>
        <x:v>-18250</x:v>
      </x:c>
      <x:c r="U7" s="152" t="n">
        <x:f>T7+U6</x:f>
        <x:v>-101700</x:v>
      </x:c>
      <x:c r="V7" s="152" t="n">
        <x:f>T7/(1+'Supuestos'!$B$33)^(A7/12)</x:f>
        <x:v>-16659.894457448805</x:v>
      </x:c>
    </x:row>
    <x:row r="8" ht="42" customHeight="1">
      <x:c r="A8" s="147" t="n">
        <x:f>7</x:f>
        <x:v>7</x:v>
      </x:c>
      <x:c r="B8" s="147" t="n">
        <x:f>ROUNDUP(A8/12,0)</x:f>
        <x:v>1</x:v>
      </x:c>
      <x:c r="C8" s="152" t="n">
        <x:f>IF(A8&gt;='Supuestos'!$B$2,CHOOSE(MIN(3,1+INT((A8-'Supuestos'!$B$2)/12)),'Supuestos'!$B$34,'Supuestos'!$B$35,'Supuestos'!$B$36)/12,0)</x:f>
        <x:v>0</x:v>
      </x:c>
      <x:c r="D8" s="152" t="n">
        <x:f>D7*'Supuestos'!$B$17+C8</x:f>
        <x:v>0</x:v>
      </x:c>
      <x:c r="E8" s="152" t="n">
        <x:f>MAX(0,D8*'Supuestos'!$B$18-2*C8)</x:f>
        <x:v>0</x:v>
      </x:c>
      <x:c r="F8" s="152" t="n">
        <x:f>IF(A8&gt;='Supuestos'!$B$2,CHOOSE(MIN(3,1+INT((A8-'Supuestos'!$B$2)/12)),'Supuestos'!$B$37,'Supuestos'!$B$38,'Supuestos'!$B$39)/12,0)</x:f>
        <x:v>0</x:v>
      </x:c>
      <x:c r="G8" s="152" t="n">
        <x:f>IF(A8='Supuestos'!$B$2-1,'Supuestos'!$B$51,IF(A8&gt;='Supuestos'!$B$2,ROUNDUP(ROUND(MAX(0,C8+F8-I7),8),0),0))</x:f>
        <x:v>0</x:v>
      </x:c>
      <x:c r="H8" s="152" t="n">
        <x:f>ROUNDUP(ROUND(G8/(1-'Supuestos'!$B$14),8),0)</x:f>
        <x:v>0</x:v>
      </x:c>
      <x:c r="I8" s="152" t="n">
        <x:f>I7+G8-C8-F8</x:f>
        <x:v>0</x:v>
      </x:c>
      <x:c r="J8" s="152" t="n">
        <x:f>C8*'Supuestos'!$B$15+E8*'Supuestos'!$B$16</x:f>
        <x:v>0</x:v>
      </x:c>
      <x:c r="K8" s="152" t="n">
        <x:f>(IF(A8='Supuestos'!$B$2-3,ROUNDUP('Supuestos'!$B$51/(1-'Supuestos'!$B$14),0),0)+IF(A8='Supuestos'!$B$2-1,0,H8))*((2*SUM('Supuestos'!B19:B20)+SUM('Supuestos'!B21:B22)+2*SUM('Supuestos'!B23:B24)+'Supuestos'!B25)-IF(A8&lt;='Supuestos'!$B$3,(2*'Supuestos'!B20+'Supuestos'!B22+2*'Supuestos'!B24),0))</x:f>
        <x:v>0</x:v>
      </x:c>
      <x:c r="L8" s="152" t="n">
        <x:f>(IF(A8='Supuestos'!$B$2-2,ROUNDUP('Supuestos'!$B$51/(1-'Supuestos'!$B$14),0),0)+IF(A8='Supuestos'!$B$2-1,0,H8))*(((2*'Supuestos'!B19+'Supuestos'!B21+'Supuestos'!B25)+'Supuestos'!$B$26+'Supuestos'!$B$27)*'Supuestos'!$B$28+'Supuestos'!$B$26+'Supuestos'!$B$27+'Supuestos'!$B$29)+IF(A8='Supuestos'!$B$2-1,'Supuestos'!$B$30,0)</x:f>
        <x:v>0</x:v>
      </x:c>
      <x:c r="M8" s="152" t="n">
        <x:f>E8*(('Supuestos'!$B$23+'Supuestos'!$B$24)/(1-'Supuestos'!$B$14)+'Supuestos'!$B$31)</x:f>
        <x:v>0</x:v>
      </x:c>
      <x:c r="N8" s="152" t="n">
        <x:f>IF(A8&lt;='Supuestos'!$B$3,'Supuestos'!$B$4,0)</x:f>
        <x:v>11200</x:v>
      </x:c>
      <x:c r="O8" s="152" t="n">
        <x:f>'Supuestos'!$B$5+'Supuestos'!$B$6</x:f>
        <x:v>2500</x:v>
      </x:c>
      <x:c r="P8" s="152" t="n">
        <x:f>IF(AND(A8&gt;=2,A8&lt;=12),'Supuestos'!$B$7/11,0)+IF(AND(A8&gt;=3,A8&lt;=12),SUM('Supuestos'!$B$8:$B$10)/10,0)+IF(AND(A8&gt;=7,A8&lt;='Supuestos'!$B$3),SUM('Supuestos'!$B$11:$B$12)/('Supuestos'!$B$3-6),0)</x:f>
        <x:v>7424.242424242424</x:v>
      </x:c>
      <x:c r="Q8" s="152" t="n">
        <x:f>(P8+'Supuestos'!$B$6)*'Supuestos'!$B$13</x:f>
        <x:v>792.4242424242425</x:v>
      </x:c>
      <x:c r="R8" s="152" t="n">
        <x:f>J8*'Supuestos'!$B$32+IF(A8&gt;='Supuestos'!$B$2,CHOOSE(MIN(3,1+INT((A8-'Supuestos'!$B$2)/12)),'Supuestos'!$B$45,'Supuestos'!$B$46,'Supuestos'!$B$47)+CHOOSE(MIN(3,1+INT((A8-'Supuestos'!$B$2)/12)),'Supuestos'!$B$48,'Supuestos'!$B$49,'Supuestos'!$B$50)+CHOOSE(MIN(3,1+INT((A8-'Supuestos'!$B$2)/12)),'Supuestos'!$B$40,'Supuestos'!$B$41,'Supuestos'!$B$42)/12+D8*'Supuestos'!$B$43/100*'Supuestos'!$B$44,0)</x:f>
        <x:v>0</x:v>
      </x:c>
      <x:c r="S8" s="152" t="n">
        <x:f>SUM(K8:R8)</x:f>
        <x:v>21916.666666666668</x:v>
      </x:c>
      <x:c r="T8" s="152" t="n">
        <x:f>J8-S8</x:f>
        <x:v>-21916.666666666668</x:v>
      </x:c>
      <x:c r="U8" s="152" t="n">
        <x:f>T8+U7</x:f>
        <x:v>-123616.66666666667</x:v>
      </x:c>
      <x:c r="V8" s="152" t="n">
        <x:f>T8/(1+'Supuestos'!$B$33)^(A8/12)</x:f>
        <x:v>-19705.40849439473</x:v>
      </x:c>
    </x:row>
    <x:row r="9" ht="42" customHeight="1">
      <x:c r="A9" s="147" t="n">
        <x:f>8</x:f>
        <x:v>8</x:v>
      </x:c>
      <x:c r="B9" s="147" t="n">
        <x:f>ROUNDUP(A9/12,0)</x:f>
        <x:v>1</x:v>
      </x:c>
      <x:c r="C9" s="152" t="n">
        <x:f>IF(A9&gt;='Supuestos'!$B$2,CHOOSE(MIN(3,1+INT((A9-'Supuestos'!$B$2)/12)),'Supuestos'!$B$34,'Supuestos'!$B$35,'Supuestos'!$B$36)/12,0)</x:f>
        <x:v>0</x:v>
      </x:c>
      <x:c r="D9" s="152" t="n">
        <x:f>D8*'Supuestos'!$B$17+C9</x:f>
        <x:v>0</x:v>
      </x:c>
      <x:c r="E9" s="152" t="n">
        <x:f>MAX(0,D9*'Supuestos'!$B$18-2*C9)</x:f>
        <x:v>0</x:v>
      </x:c>
      <x:c r="F9" s="152" t="n">
        <x:f>IF(A9&gt;='Supuestos'!$B$2,CHOOSE(MIN(3,1+INT((A9-'Supuestos'!$B$2)/12)),'Supuestos'!$B$37,'Supuestos'!$B$38,'Supuestos'!$B$39)/12,0)</x:f>
        <x:v>0</x:v>
      </x:c>
      <x:c r="G9" s="152" t="n">
        <x:f>IF(A9='Supuestos'!$B$2-1,'Supuestos'!$B$51,IF(A9&gt;='Supuestos'!$B$2,ROUNDUP(ROUND(MAX(0,C9+F9-I8),8),0),0))</x:f>
        <x:v>0</x:v>
      </x:c>
      <x:c r="H9" s="152" t="n">
        <x:f>ROUNDUP(ROUND(G9/(1-'Supuestos'!$B$14),8),0)</x:f>
        <x:v>0</x:v>
      </x:c>
      <x:c r="I9" s="152" t="n">
        <x:f>I8+G9-C9-F9</x:f>
        <x:v>0</x:v>
      </x:c>
      <x:c r="J9" s="152" t="n">
        <x:f>C9*'Supuestos'!$B$15+E9*'Supuestos'!$B$16</x:f>
        <x:v>0</x:v>
      </x:c>
      <x:c r="K9" s="152" t="n">
        <x:f>(IF(A9='Supuestos'!$B$2-3,ROUNDUP('Supuestos'!$B$51/(1-'Supuestos'!$B$14),0),0)+IF(A9='Supuestos'!$B$2-1,0,H9))*((2*SUM('Supuestos'!B19:B20)+SUM('Supuestos'!B21:B22)+2*SUM('Supuestos'!B23:B24)+'Supuestos'!B25)-IF(A9&lt;='Supuestos'!$B$3,(2*'Supuestos'!B20+'Supuestos'!B22+2*'Supuestos'!B24),0))</x:f>
        <x:v>0</x:v>
      </x:c>
      <x:c r="L9" s="152" t="n">
        <x:f>(IF(A9='Supuestos'!$B$2-2,ROUNDUP('Supuestos'!$B$51/(1-'Supuestos'!$B$14),0),0)+IF(A9='Supuestos'!$B$2-1,0,H9))*(((2*'Supuestos'!B19+'Supuestos'!B21+'Supuestos'!B25)+'Supuestos'!$B$26+'Supuestos'!$B$27)*'Supuestos'!$B$28+'Supuestos'!$B$26+'Supuestos'!$B$27+'Supuestos'!$B$29)+IF(A9='Supuestos'!$B$2-1,'Supuestos'!$B$30,0)</x:f>
        <x:v>0</x:v>
      </x:c>
      <x:c r="M9" s="152" t="n">
        <x:f>E9*(('Supuestos'!$B$23+'Supuestos'!$B$24)/(1-'Supuestos'!$B$14)+'Supuestos'!$B$31)</x:f>
        <x:v>0</x:v>
      </x:c>
      <x:c r="N9" s="152" t="n">
        <x:f>IF(A9&lt;='Supuestos'!$B$3,'Supuestos'!$B$4,0)</x:f>
        <x:v>11200</x:v>
      </x:c>
      <x:c r="O9" s="152" t="n">
        <x:f>'Supuestos'!$B$5+'Supuestos'!$B$6</x:f>
        <x:v>2500</x:v>
      </x:c>
      <x:c r="P9" s="152" t="n">
        <x:f>IF(AND(A9&gt;=2,A9&lt;=12),'Supuestos'!$B$7/11,0)+IF(AND(A9&gt;=3,A9&lt;=12),SUM('Supuestos'!$B$8:$B$10)/10,0)+IF(AND(A9&gt;=7,A9&lt;='Supuestos'!$B$3),SUM('Supuestos'!$B$11:$B$12)/('Supuestos'!$B$3-6),0)</x:f>
        <x:v>7424.242424242424</x:v>
      </x:c>
      <x:c r="Q9" s="152" t="n">
        <x:f>(P9+'Supuestos'!$B$6)*'Supuestos'!$B$13</x:f>
        <x:v>792.4242424242425</x:v>
      </x:c>
      <x:c r="R9" s="152" t="n">
        <x:f>J9*'Supuestos'!$B$32+IF(A9&gt;='Supuestos'!$B$2,CHOOSE(MIN(3,1+INT((A9-'Supuestos'!$B$2)/12)),'Supuestos'!$B$45,'Supuestos'!$B$46,'Supuestos'!$B$47)+CHOOSE(MIN(3,1+INT((A9-'Supuestos'!$B$2)/12)),'Supuestos'!$B$48,'Supuestos'!$B$49,'Supuestos'!$B$50)+CHOOSE(MIN(3,1+INT((A9-'Supuestos'!$B$2)/12)),'Supuestos'!$B$40,'Supuestos'!$B$41,'Supuestos'!$B$42)/12+D9*'Supuestos'!$B$43/100*'Supuestos'!$B$44,0)</x:f>
        <x:v>0</x:v>
      </x:c>
      <x:c r="S9" s="152" t="n">
        <x:f>SUM(K9:R9)</x:f>
        <x:v>21916.666666666668</x:v>
      </x:c>
      <x:c r="T9" s="152" t="n">
        <x:f>J9-S9</x:f>
        <x:v>-21916.666666666668</x:v>
      </x:c>
      <x:c r="U9" s="152" t="n">
        <x:f>T9+U8</x:f>
        <x:v>-145533.33333333334</x:v>
      </x:c>
      <x:c r="V9" s="152" t="n">
        <x:f>T9/(1+'Supuestos'!$B$33)^(A9/12)</x:f>
        <x:v>-19408.278034376857</x:v>
      </x:c>
    </x:row>
    <x:row r="10" ht="42" customHeight="1">
      <x:c r="A10" s="147" t="n">
        <x:f>9</x:f>
        <x:v>9</x:v>
      </x:c>
      <x:c r="B10" s="147" t="n">
        <x:f>ROUNDUP(A10/12,0)</x:f>
        <x:v>1</x:v>
      </x:c>
      <x:c r="C10" s="152" t="n">
        <x:f>IF(A10&gt;='Supuestos'!$B$2,CHOOSE(MIN(3,1+INT((A10-'Supuestos'!$B$2)/12)),'Supuestos'!$B$34,'Supuestos'!$B$35,'Supuestos'!$B$36)/12,0)</x:f>
        <x:v>0</x:v>
      </x:c>
      <x:c r="D10" s="152" t="n">
        <x:f>D9*'Supuestos'!$B$17+C10</x:f>
        <x:v>0</x:v>
      </x:c>
      <x:c r="E10" s="152" t="n">
        <x:f>MAX(0,D10*'Supuestos'!$B$18-2*C10)</x:f>
        <x:v>0</x:v>
      </x:c>
      <x:c r="F10" s="152" t="n">
        <x:f>IF(A10&gt;='Supuestos'!$B$2,CHOOSE(MIN(3,1+INT((A10-'Supuestos'!$B$2)/12)),'Supuestos'!$B$37,'Supuestos'!$B$38,'Supuestos'!$B$39)/12,0)</x:f>
        <x:v>0</x:v>
      </x:c>
      <x:c r="G10" s="152" t="n">
        <x:f>IF(A10='Supuestos'!$B$2-1,'Supuestos'!$B$51,IF(A10&gt;='Supuestos'!$B$2,ROUNDUP(ROUND(MAX(0,C10+F10-I9),8),0),0))</x:f>
        <x:v>0</x:v>
      </x:c>
      <x:c r="H10" s="152" t="n">
        <x:f>ROUNDUP(ROUND(G10/(1-'Supuestos'!$B$14),8),0)</x:f>
        <x:v>0</x:v>
      </x:c>
      <x:c r="I10" s="152" t="n">
        <x:f>I9+G10-C10-F10</x:f>
        <x:v>0</x:v>
      </x:c>
      <x:c r="J10" s="152" t="n">
        <x:f>C10*'Supuestos'!$B$15+E10*'Supuestos'!$B$16</x:f>
        <x:v>0</x:v>
      </x:c>
      <x:c r="K10" s="152" t="n">
        <x:f>(IF(A10='Supuestos'!$B$2-3,ROUNDUP('Supuestos'!$B$51/(1-'Supuestos'!$B$14),0),0)+IF(A10='Supuestos'!$B$2-1,0,H10))*((2*SUM('Supuestos'!B19:B20)+SUM('Supuestos'!B21:B22)+2*SUM('Supuestos'!B23:B24)+'Supuestos'!B25)-IF(A10&lt;='Supuestos'!$B$3,(2*'Supuestos'!B20+'Supuestos'!B22+2*'Supuestos'!B24),0))</x:f>
        <x:v>0</x:v>
      </x:c>
      <x:c r="L10" s="152" t="n">
        <x:f>(IF(A10='Supuestos'!$B$2-2,ROUNDUP('Supuestos'!$B$51/(1-'Supuestos'!$B$14),0),0)+IF(A10='Supuestos'!$B$2-1,0,H10))*(((2*'Supuestos'!B19+'Supuestos'!B21+'Supuestos'!B25)+'Supuestos'!$B$26+'Supuestos'!$B$27)*'Supuestos'!$B$28+'Supuestos'!$B$26+'Supuestos'!$B$27+'Supuestos'!$B$29)+IF(A10='Supuestos'!$B$2-1,'Supuestos'!$B$30,0)</x:f>
        <x:v>0</x:v>
      </x:c>
      <x:c r="M10" s="152" t="n">
        <x:f>E10*(('Supuestos'!$B$23+'Supuestos'!$B$24)/(1-'Supuestos'!$B$14)+'Supuestos'!$B$31)</x:f>
        <x:v>0</x:v>
      </x:c>
      <x:c r="N10" s="152" t="n">
        <x:f>IF(A10&lt;='Supuestos'!$B$3,'Supuestos'!$B$4,0)</x:f>
        <x:v>11200</x:v>
      </x:c>
      <x:c r="O10" s="152" t="n">
        <x:f>'Supuestos'!$B$5+'Supuestos'!$B$6</x:f>
        <x:v>2500</x:v>
      </x:c>
      <x:c r="P10" s="152" t="n">
        <x:f>IF(AND(A10&gt;=2,A10&lt;=12),'Supuestos'!$B$7/11,0)+IF(AND(A10&gt;=3,A10&lt;=12),SUM('Supuestos'!$B$8:$B$10)/10,0)+IF(AND(A10&gt;=7,A10&lt;='Supuestos'!$B$3),SUM('Supuestos'!$B$11:$B$12)/('Supuestos'!$B$3-6),0)</x:f>
        <x:v>7424.242424242424</x:v>
      </x:c>
      <x:c r="Q10" s="152" t="n">
        <x:f>(P10+'Supuestos'!$B$6)*'Supuestos'!$B$13</x:f>
        <x:v>792.4242424242425</x:v>
      </x:c>
      <x:c r="R10" s="152" t="n">
        <x:f>J10*'Supuestos'!$B$32+IF(A10&gt;='Supuestos'!$B$2,CHOOSE(MIN(3,1+INT((A10-'Supuestos'!$B$2)/12)),'Supuestos'!$B$45,'Supuestos'!$B$46,'Supuestos'!$B$47)+CHOOSE(MIN(3,1+INT((A10-'Supuestos'!$B$2)/12)),'Supuestos'!$B$48,'Supuestos'!$B$49,'Supuestos'!$B$50)+CHOOSE(MIN(3,1+INT((A10-'Supuestos'!$B$2)/12)),'Supuestos'!$B$40,'Supuestos'!$B$41,'Supuestos'!$B$42)/12+D10*'Supuestos'!$B$43/100*'Supuestos'!$B$44,0)</x:f>
        <x:v>0</x:v>
      </x:c>
      <x:c r="S10" s="152" t="n">
        <x:f>SUM(K10:R10)</x:f>
        <x:v>21916.666666666668</x:v>
      </x:c>
      <x:c r="T10" s="152" t="n">
        <x:f>J10-S10</x:f>
        <x:v>-21916.666666666668</x:v>
      </x:c>
      <x:c r="U10" s="152" t="n">
        <x:f>T10+U9</x:f>
        <x:v>-167450</x:v>
      </x:c>
      <x:c r="V10" s="152" t="n">
        <x:f>T10/(1+'Supuestos'!$B$33)^(A10/12)</x:f>
        <x:v>-19115.627893064153</x:v>
      </x:c>
    </x:row>
    <x:row r="11" ht="42" customHeight="1">
      <x:c r="A11" s="147" t="n">
        <x:f>10</x:f>
        <x:v>10</x:v>
      </x:c>
      <x:c r="B11" s="147" t="n">
        <x:f>ROUNDUP(A11/12,0)</x:f>
        <x:v>1</x:v>
      </x:c>
      <x:c r="C11" s="152" t="n">
        <x:f>IF(A11&gt;='Supuestos'!$B$2,CHOOSE(MIN(3,1+INT((A11-'Supuestos'!$B$2)/12)),'Supuestos'!$B$34,'Supuestos'!$B$35,'Supuestos'!$B$36)/12,0)</x:f>
        <x:v>0</x:v>
      </x:c>
      <x:c r="D11" s="152" t="n">
        <x:f>D10*'Supuestos'!$B$17+C11</x:f>
        <x:v>0</x:v>
      </x:c>
      <x:c r="E11" s="152" t="n">
        <x:f>MAX(0,D11*'Supuestos'!$B$18-2*C11)</x:f>
        <x:v>0</x:v>
      </x:c>
      <x:c r="F11" s="152" t="n">
        <x:f>IF(A11&gt;='Supuestos'!$B$2,CHOOSE(MIN(3,1+INT((A11-'Supuestos'!$B$2)/12)),'Supuestos'!$B$37,'Supuestos'!$B$38,'Supuestos'!$B$39)/12,0)</x:f>
        <x:v>0</x:v>
      </x:c>
      <x:c r="G11" s="152" t="n">
        <x:f>IF(A11='Supuestos'!$B$2-1,'Supuestos'!$B$51,IF(A11&gt;='Supuestos'!$B$2,ROUNDUP(ROUND(MAX(0,C11+F11-I10),8),0),0))</x:f>
        <x:v>0</x:v>
      </x:c>
      <x:c r="H11" s="152" t="n">
        <x:f>ROUNDUP(ROUND(G11/(1-'Supuestos'!$B$14),8),0)</x:f>
        <x:v>0</x:v>
      </x:c>
      <x:c r="I11" s="152" t="n">
        <x:f>I10+G11-C11-F11</x:f>
        <x:v>0</x:v>
      </x:c>
      <x:c r="J11" s="152" t="n">
        <x:f>C11*'Supuestos'!$B$15+E11*'Supuestos'!$B$16</x:f>
        <x:v>0</x:v>
      </x:c>
      <x:c r="K11" s="152" t="n">
        <x:f>(IF(A11='Supuestos'!$B$2-3,ROUNDUP('Supuestos'!$B$51/(1-'Supuestos'!$B$14),0),0)+IF(A11='Supuestos'!$B$2-1,0,H11))*((2*SUM('Supuestos'!B19:B20)+SUM('Supuestos'!B21:B22)+2*SUM('Supuestos'!B23:B24)+'Supuestos'!B25)-IF(A11&lt;='Supuestos'!$B$3,(2*'Supuestos'!B20+'Supuestos'!B22+2*'Supuestos'!B24),0))</x:f>
        <x:v>0</x:v>
      </x:c>
      <x:c r="L11" s="152" t="n">
        <x:f>(IF(A11='Supuestos'!$B$2-2,ROUNDUP('Supuestos'!$B$51/(1-'Supuestos'!$B$14),0),0)+IF(A11='Supuestos'!$B$2-1,0,H11))*(((2*'Supuestos'!B19+'Supuestos'!B21+'Supuestos'!B25)+'Supuestos'!$B$26+'Supuestos'!$B$27)*'Supuestos'!$B$28+'Supuestos'!$B$26+'Supuestos'!$B$27+'Supuestos'!$B$29)+IF(A11='Supuestos'!$B$2-1,'Supuestos'!$B$30,0)</x:f>
        <x:v>0</x:v>
      </x:c>
      <x:c r="M11" s="152" t="n">
        <x:f>E11*(('Supuestos'!$B$23+'Supuestos'!$B$24)/(1-'Supuestos'!$B$14)+'Supuestos'!$B$31)</x:f>
        <x:v>0</x:v>
      </x:c>
      <x:c r="N11" s="152" t="n">
        <x:f>IF(A11&lt;='Supuestos'!$B$3,'Supuestos'!$B$4,0)</x:f>
        <x:v>11200</x:v>
      </x:c>
      <x:c r="O11" s="152" t="n">
        <x:f>'Supuestos'!$B$5+'Supuestos'!$B$6</x:f>
        <x:v>2500</x:v>
      </x:c>
      <x:c r="P11" s="152" t="n">
        <x:f>IF(AND(A11&gt;=2,A11&lt;=12),'Supuestos'!$B$7/11,0)+IF(AND(A11&gt;=3,A11&lt;=12),SUM('Supuestos'!$B$8:$B$10)/10,0)+IF(AND(A11&gt;=7,A11&lt;='Supuestos'!$B$3),SUM('Supuestos'!$B$11:$B$12)/('Supuestos'!$B$3-6),0)</x:f>
        <x:v>7424.242424242424</x:v>
      </x:c>
      <x:c r="Q11" s="152" t="n">
        <x:f>(P11+'Supuestos'!$B$6)*'Supuestos'!$B$13</x:f>
        <x:v>792.4242424242425</x:v>
      </x:c>
      <x:c r="R11" s="152" t="n">
        <x:f>J11*'Supuestos'!$B$32+IF(A11&gt;='Supuestos'!$B$2,CHOOSE(MIN(3,1+INT((A11-'Supuestos'!$B$2)/12)),'Supuestos'!$B$45,'Supuestos'!$B$46,'Supuestos'!$B$47)+CHOOSE(MIN(3,1+INT((A11-'Supuestos'!$B$2)/12)),'Supuestos'!$B$48,'Supuestos'!$B$49,'Supuestos'!$B$50)+CHOOSE(MIN(3,1+INT((A11-'Supuestos'!$B$2)/12)),'Supuestos'!$B$40,'Supuestos'!$B$41,'Supuestos'!$B$42)/12+D11*'Supuestos'!$B$43/100*'Supuestos'!$B$44,0)</x:f>
        <x:v>0</x:v>
      </x:c>
      <x:c r="S11" s="152" t="n">
        <x:f>SUM(K11:R11)</x:f>
        <x:v>21916.666666666668</x:v>
      </x:c>
      <x:c r="T11" s="152" t="n">
        <x:f>J11-S11</x:f>
        <x:v>-21916.666666666668</x:v>
      </x:c>
      <x:c r="U11" s="152" t="n">
        <x:f>T11+U10</x:f>
        <x:v>-189366.66666666666</x:v>
      </x:c>
      <x:c r="V11" s="152" t="n">
        <x:f>T11/(1+'Supuestos'!$B$33)^(A11/12)</x:f>
        <x:v>-18827.39051341215</x:v>
      </x:c>
    </x:row>
    <x:row r="12" ht="42" customHeight="1">
      <x:c r="A12" s="147" t="n">
        <x:f>11</x:f>
        <x:v>11</x:v>
      </x:c>
      <x:c r="B12" s="147" t="n">
        <x:f>ROUNDUP(A12/12,0)</x:f>
        <x:v>1</x:v>
      </x:c>
      <x:c r="C12" s="152" t="n">
        <x:f>IF(A12&gt;='Supuestos'!$B$2,CHOOSE(MIN(3,1+INT((A12-'Supuestos'!$B$2)/12)),'Supuestos'!$B$34,'Supuestos'!$B$35,'Supuestos'!$B$36)/12,0)</x:f>
        <x:v>0</x:v>
      </x:c>
      <x:c r="D12" s="152" t="n">
        <x:f>D11*'Supuestos'!$B$17+C12</x:f>
        <x:v>0</x:v>
      </x:c>
      <x:c r="E12" s="152" t="n">
        <x:f>MAX(0,D12*'Supuestos'!$B$18-2*C12)</x:f>
        <x:v>0</x:v>
      </x:c>
      <x:c r="F12" s="152" t="n">
        <x:f>IF(A12&gt;='Supuestos'!$B$2,CHOOSE(MIN(3,1+INT((A12-'Supuestos'!$B$2)/12)),'Supuestos'!$B$37,'Supuestos'!$B$38,'Supuestos'!$B$39)/12,0)</x:f>
        <x:v>0</x:v>
      </x:c>
      <x:c r="G12" s="152" t="n">
        <x:f>IF(A12='Supuestos'!$B$2-1,'Supuestos'!$B$51,IF(A12&gt;='Supuestos'!$B$2,ROUNDUP(ROUND(MAX(0,C12+F12-I11),8),0),0))</x:f>
        <x:v>0</x:v>
      </x:c>
      <x:c r="H12" s="152" t="n">
        <x:f>ROUNDUP(ROUND(G12/(1-'Supuestos'!$B$14),8),0)</x:f>
        <x:v>0</x:v>
      </x:c>
      <x:c r="I12" s="152" t="n">
        <x:f>I11+G12-C12-F12</x:f>
        <x:v>0</x:v>
      </x:c>
      <x:c r="J12" s="152" t="n">
        <x:f>C12*'Supuestos'!$B$15+E12*'Supuestos'!$B$16</x:f>
        <x:v>0</x:v>
      </x:c>
      <x:c r="K12" s="152" t="n">
        <x:f>(IF(A12='Supuestos'!$B$2-3,ROUNDUP('Supuestos'!$B$51/(1-'Supuestos'!$B$14),0),0)+IF(A12='Supuestos'!$B$2-1,0,H12))*((2*SUM('Supuestos'!B19:B20)+SUM('Supuestos'!B21:B22)+2*SUM('Supuestos'!B23:B24)+'Supuestos'!B25)-IF(A12&lt;='Supuestos'!$B$3,(2*'Supuestos'!B20+'Supuestos'!B22+2*'Supuestos'!B24),0))</x:f>
        <x:v>0</x:v>
      </x:c>
      <x:c r="L12" s="152" t="n">
        <x:f>(IF(A12='Supuestos'!$B$2-2,ROUNDUP('Supuestos'!$B$51/(1-'Supuestos'!$B$14),0),0)+IF(A12='Supuestos'!$B$2-1,0,H12))*(((2*'Supuestos'!B19+'Supuestos'!B21+'Supuestos'!B25)+'Supuestos'!$B$26+'Supuestos'!$B$27)*'Supuestos'!$B$28+'Supuestos'!$B$26+'Supuestos'!$B$27+'Supuestos'!$B$29)+IF(A12='Supuestos'!$B$2-1,'Supuestos'!$B$30,0)</x:f>
        <x:v>0</x:v>
      </x:c>
      <x:c r="M12" s="152" t="n">
        <x:f>E12*(('Supuestos'!$B$23+'Supuestos'!$B$24)/(1-'Supuestos'!$B$14)+'Supuestos'!$B$31)</x:f>
        <x:v>0</x:v>
      </x:c>
      <x:c r="N12" s="152" t="n">
        <x:f>IF(A12&lt;='Supuestos'!$B$3,'Supuestos'!$B$4,0)</x:f>
        <x:v>11200</x:v>
      </x:c>
      <x:c r="O12" s="152" t="n">
        <x:f>'Supuestos'!$B$5+'Supuestos'!$B$6</x:f>
        <x:v>2500</x:v>
      </x:c>
      <x:c r="P12" s="152" t="n">
        <x:f>IF(AND(A12&gt;=2,A12&lt;=12),'Supuestos'!$B$7/11,0)+IF(AND(A12&gt;=3,A12&lt;=12),SUM('Supuestos'!$B$8:$B$10)/10,0)+IF(AND(A12&gt;=7,A12&lt;='Supuestos'!$B$3),SUM('Supuestos'!$B$11:$B$12)/('Supuestos'!$B$3-6),0)</x:f>
        <x:v>7424.242424242424</x:v>
      </x:c>
      <x:c r="Q12" s="152" t="n">
        <x:f>(P12+'Supuestos'!$B$6)*'Supuestos'!$B$13</x:f>
        <x:v>792.4242424242425</x:v>
      </x:c>
      <x:c r="R12" s="152" t="n">
        <x:f>J12*'Supuestos'!$B$32+IF(A12&gt;='Supuestos'!$B$2,CHOOSE(MIN(3,1+INT((A12-'Supuestos'!$B$2)/12)),'Supuestos'!$B$45,'Supuestos'!$B$46,'Supuestos'!$B$47)+CHOOSE(MIN(3,1+INT((A12-'Supuestos'!$B$2)/12)),'Supuestos'!$B$48,'Supuestos'!$B$49,'Supuestos'!$B$50)+CHOOSE(MIN(3,1+INT((A12-'Supuestos'!$B$2)/12)),'Supuestos'!$B$40,'Supuestos'!$B$41,'Supuestos'!$B$42)/12+D12*'Supuestos'!$B$43/100*'Supuestos'!$B$44,0)</x:f>
        <x:v>0</x:v>
      </x:c>
      <x:c r="S12" s="152" t="n">
        <x:f>SUM(K12:R12)</x:f>
        <x:v>21916.666666666668</x:v>
      </x:c>
      <x:c r="T12" s="152" t="n">
        <x:f>J12-S12</x:f>
        <x:v>-21916.666666666668</x:v>
      </x:c>
      <x:c r="U12" s="152" t="n">
        <x:f>T12+U11</x:f>
        <x:v>-211283.3333333333</x:v>
      </x:c>
      <x:c r="V12" s="152" t="n">
        <x:f>T12/(1+'Supuestos'!$B$33)^(A12/12)</x:f>
        <x:v>-18543.499357043704</x:v>
      </x:c>
    </x:row>
    <x:row r="13" ht="42" customHeight="1">
      <x:c r="A13" s="147" t="n">
        <x:f>12</x:f>
        <x:v>12</x:v>
      </x:c>
      <x:c r="B13" s="147" t="n">
        <x:f>ROUNDUP(A13/12,0)</x:f>
        <x:v>1</x:v>
      </x:c>
      <x:c r="C13" s="152" t="n">
        <x:f>IF(A13&gt;='Supuestos'!$B$2,CHOOSE(MIN(3,1+INT((A13-'Supuestos'!$B$2)/12)),'Supuestos'!$B$34,'Supuestos'!$B$35,'Supuestos'!$B$36)/12,0)</x:f>
        <x:v>0</x:v>
      </x:c>
      <x:c r="D13" s="152" t="n">
        <x:f>D12*'Supuestos'!$B$17+C13</x:f>
        <x:v>0</x:v>
      </x:c>
      <x:c r="E13" s="152" t="n">
        <x:f>MAX(0,D13*'Supuestos'!$B$18-2*C13)</x:f>
        <x:v>0</x:v>
      </x:c>
      <x:c r="F13" s="152" t="n">
        <x:f>IF(A13&gt;='Supuestos'!$B$2,CHOOSE(MIN(3,1+INT((A13-'Supuestos'!$B$2)/12)),'Supuestos'!$B$37,'Supuestos'!$B$38,'Supuestos'!$B$39)/12,0)</x:f>
        <x:v>0</x:v>
      </x:c>
      <x:c r="G13" s="152" t="n">
        <x:f>IF(A13='Supuestos'!$B$2-1,'Supuestos'!$B$51,IF(A13&gt;='Supuestos'!$B$2,ROUNDUP(ROUND(MAX(0,C13+F13-I12),8),0),0))</x:f>
        <x:v>0</x:v>
      </x:c>
      <x:c r="H13" s="152" t="n">
        <x:f>ROUNDUP(ROUND(G13/(1-'Supuestos'!$B$14),8),0)</x:f>
        <x:v>0</x:v>
      </x:c>
      <x:c r="I13" s="152" t="n">
        <x:f>I12+G13-C13-F13</x:f>
        <x:v>0</x:v>
      </x:c>
      <x:c r="J13" s="152" t="n">
        <x:f>C13*'Supuestos'!$B$15+E13*'Supuestos'!$B$16</x:f>
        <x:v>0</x:v>
      </x:c>
      <x:c r="K13" s="152" t="n">
        <x:f>(IF(A13='Supuestos'!$B$2-3,ROUNDUP('Supuestos'!$B$51/(1-'Supuestos'!$B$14),0),0)+IF(A13='Supuestos'!$B$2-1,0,H13))*((2*SUM('Supuestos'!B19:B20)+SUM('Supuestos'!B21:B22)+2*SUM('Supuestos'!B23:B24)+'Supuestos'!B25)-IF(A13&lt;='Supuestos'!$B$3,(2*'Supuestos'!B20+'Supuestos'!B22+2*'Supuestos'!B24),0))</x:f>
        <x:v>0</x:v>
      </x:c>
      <x:c r="L13" s="152" t="n">
        <x:f>(IF(A13='Supuestos'!$B$2-2,ROUNDUP('Supuestos'!$B$51/(1-'Supuestos'!$B$14),0),0)+IF(A13='Supuestos'!$B$2-1,0,H13))*(((2*'Supuestos'!B19+'Supuestos'!B21+'Supuestos'!B25)+'Supuestos'!$B$26+'Supuestos'!$B$27)*'Supuestos'!$B$28+'Supuestos'!$B$26+'Supuestos'!$B$27+'Supuestos'!$B$29)+IF(A13='Supuestos'!$B$2-1,'Supuestos'!$B$30,0)</x:f>
        <x:v>0</x:v>
      </x:c>
      <x:c r="M13" s="152" t="n">
        <x:f>E13*(('Supuestos'!$B$23+'Supuestos'!$B$24)/(1-'Supuestos'!$B$14)+'Supuestos'!$B$31)</x:f>
        <x:v>0</x:v>
      </x:c>
      <x:c r="N13" s="152" t="n">
        <x:f>IF(A13&lt;='Supuestos'!$B$3,'Supuestos'!$B$4,0)</x:f>
        <x:v>11200</x:v>
      </x:c>
      <x:c r="O13" s="152" t="n">
        <x:f>'Supuestos'!$B$5+'Supuestos'!$B$6</x:f>
        <x:v>2500</x:v>
      </x:c>
      <x:c r="P13" s="152" t="n">
        <x:f>IF(AND(A13&gt;=2,A13&lt;=12),'Supuestos'!$B$7/11,0)+IF(AND(A13&gt;=3,A13&lt;=12),SUM('Supuestos'!$B$8:$B$10)/10,0)+IF(AND(A13&gt;=7,A13&lt;='Supuestos'!$B$3),SUM('Supuestos'!$B$11:$B$12)/('Supuestos'!$B$3-6),0)</x:f>
        <x:v>7424.242424242424</x:v>
      </x:c>
      <x:c r="Q13" s="152" t="n">
        <x:f>(P13+'Supuestos'!$B$6)*'Supuestos'!$B$13</x:f>
        <x:v>792.4242424242425</x:v>
      </x:c>
      <x:c r="R13" s="152" t="n">
        <x:f>J13*'Supuestos'!$B$32+IF(A13&gt;='Supuestos'!$B$2,CHOOSE(MIN(3,1+INT((A13-'Supuestos'!$B$2)/12)),'Supuestos'!$B$45,'Supuestos'!$B$46,'Supuestos'!$B$47)+CHOOSE(MIN(3,1+INT((A13-'Supuestos'!$B$2)/12)),'Supuestos'!$B$48,'Supuestos'!$B$49,'Supuestos'!$B$50)+CHOOSE(MIN(3,1+INT((A13-'Supuestos'!$B$2)/12)),'Supuestos'!$B$40,'Supuestos'!$B$41,'Supuestos'!$B$42)/12+D13*'Supuestos'!$B$43/100*'Supuestos'!$B$44,0)</x:f>
        <x:v>0</x:v>
      </x:c>
      <x:c r="S13" s="152" t="n">
        <x:f>SUM(K13:R13)</x:f>
        <x:v>21916.666666666668</x:v>
      </x:c>
      <x:c r="T13" s="152" t="n">
        <x:f>J13-S13</x:f>
        <x:v>-21916.666666666668</x:v>
      </x:c>
      <x:c r="U13" s="152" t="n">
        <x:f>T13+U12</x:f>
        <x:v>-233199.99999999997</x:v>
      </x:c>
      <x:c r="V13" s="152" t="n">
        <x:f>T13/(1+'Supuestos'!$B$33)^(A13/12)</x:f>
        <x:v>-18263.88888888889</x:v>
      </x:c>
    </x:row>
    <x:row r="14" ht="42" customHeight="1">
      <x:c r="A14" s="147" t="n">
        <x:f>13</x:f>
        <x:v>13</x:v>
      </x:c>
      <x:c r="B14" s="147" t="n">
        <x:f>ROUNDUP(A14/12,0)</x:f>
        <x:v>2</x:v>
      </x:c>
      <x:c r="C14" s="152" t="n">
        <x:f>IF(A14&gt;='Supuestos'!$B$2,CHOOSE(MIN(3,1+INT((A14-'Supuestos'!$B$2)/12)),'Supuestos'!$B$34,'Supuestos'!$B$35,'Supuestos'!$B$36)/12,0)</x:f>
        <x:v>0</x:v>
      </x:c>
      <x:c r="D14" s="152" t="n">
        <x:f>D13*'Supuestos'!$B$17+C14</x:f>
        <x:v>0</x:v>
      </x:c>
      <x:c r="E14" s="152" t="n">
        <x:f>MAX(0,D14*'Supuestos'!$B$18-2*C14)</x:f>
        <x:v>0</x:v>
      </x:c>
      <x:c r="F14" s="152" t="n">
        <x:f>IF(A14&gt;='Supuestos'!$B$2,CHOOSE(MIN(3,1+INT((A14-'Supuestos'!$B$2)/12)),'Supuestos'!$B$37,'Supuestos'!$B$38,'Supuestos'!$B$39)/12,0)</x:f>
        <x:v>0</x:v>
      </x:c>
      <x:c r="G14" s="152" t="n">
        <x:f>IF(A14='Supuestos'!$B$2-1,'Supuestos'!$B$51,IF(A14&gt;='Supuestos'!$B$2,ROUNDUP(ROUND(MAX(0,C14+F14-I13),8),0),0))</x:f>
        <x:v>0</x:v>
      </x:c>
      <x:c r="H14" s="152" t="n">
        <x:f>ROUNDUP(ROUND(G14/(1-'Supuestos'!$B$14),8),0)</x:f>
        <x:v>0</x:v>
      </x:c>
      <x:c r="I14" s="152" t="n">
        <x:f>I13+G14-C14-F14</x:f>
        <x:v>0</x:v>
      </x:c>
      <x:c r="J14" s="152" t="n">
        <x:f>C14*'Supuestos'!$B$15+E14*'Supuestos'!$B$16</x:f>
        <x:v>0</x:v>
      </x:c>
      <x:c r="K14" s="152" t="n">
        <x:f>(IF(A14='Supuestos'!$B$2-3,ROUNDUP('Supuestos'!$B$51/(1-'Supuestos'!$B$14),0),0)+IF(A14='Supuestos'!$B$2-1,0,H14))*((2*SUM('Supuestos'!B19:B20)+SUM('Supuestos'!B21:B22)+2*SUM('Supuestos'!B23:B24)+'Supuestos'!B25)-IF(A14&lt;='Supuestos'!$B$3,(2*'Supuestos'!B20+'Supuestos'!B22+2*'Supuestos'!B24),0))</x:f>
        <x:v>0</x:v>
      </x:c>
      <x:c r="L14" s="152" t="n">
        <x:f>(IF(A14='Supuestos'!$B$2-2,ROUNDUP('Supuestos'!$B$51/(1-'Supuestos'!$B$14),0),0)+IF(A14='Supuestos'!$B$2-1,0,H14))*(((2*'Supuestos'!B19+'Supuestos'!B21+'Supuestos'!B25)+'Supuestos'!$B$26+'Supuestos'!$B$27)*'Supuestos'!$B$28+'Supuestos'!$B$26+'Supuestos'!$B$27+'Supuestos'!$B$29)+IF(A14='Supuestos'!$B$2-1,'Supuestos'!$B$30,0)</x:f>
        <x:v>0</x:v>
      </x:c>
      <x:c r="M14" s="152" t="n">
        <x:f>E14*(('Supuestos'!$B$23+'Supuestos'!$B$24)/(1-'Supuestos'!$B$14)+'Supuestos'!$B$31)</x:f>
        <x:v>0</x:v>
      </x:c>
      <x:c r="N14" s="152" t="n">
        <x:f>IF(A14&lt;='Supuestos'!$B$3,'Supuestos'!$B$4,0)</x:f>
        <x:v>11200</x:v>
      </x:c>
      <x:c r="O14" s="152" t="n">
        <x:f>'Supuestos'!$B$5+'Supuestos'!$B$6</x:f>
        <x:v>2500</x:v>
      </x:c>
      <x:c r="P14" s="152" t="n">
        <x:f>IF(AND(A14&gt;=2,A14&lt;=12),'Supuestos'!$B$7/11,0)+IF(AND(A14&gt;=3,A14&lt;=12),SUM('Supuestos'!$B$8:$B$10)/10,0)+IF(AND(A14&gt;=7,A14&lt;='Supuestos'!$B$3),SUM('Supuestos'!$B$11:$B$12)/('Supuestos'!$B$3-6),0)</x:f>
        <x:v>3333.3333333333335</x:v>
      </x:c>
      <x:c r="Q14" s="152" t="n">
        <x:f>(P14+'Supuestos'!$B$6)*'Supuestos'!$B$13</x:f>
        <x:v>383.33333333333337</x:v>
      </x:c>
      <x:c r="R14" s="152" t="n">
        <x:f>J14*'Supuestos'!$B$32+IF(A14&gt;='Supuestos'!$B$2,CHOOSE(MIN(3,1+INT((A14-'Supuestos'!$B$2)/12)),'Supuestos'!$B$45,'Supuestos'!$B$46,'Supuestos'!$B$47)+CHOOSE(MIN(3,1+INT((A14-'Supuestos'!$B$2)/12)),'Supuestos'!$B$48,'Supuestos'!$B$49,'Supuestos'!$B$50)+CHOOSE(MIN(3,1+INT((A14-'Supuestos'!$B$2)/12)),'Supuestos'!$B$40,'Supuestos'!$B$41,'Supuestos'!$B$42)/12+D14*'Supuestos'!$B$43/100*'Supuestos'!$B$44,0)</x:f>
        <x:v>0</x:v>
      </x:c>
      <x:c r="S14" s="152" t="n">
        <x:f>SUM(K14:R14)</x:f>
        <x:v>17416.666666666664</x:v>
      </x:c>
      <x:c r="T14" s="152" t="n">
        <x:f>J14-S14</x:f>
        <x:v>-17416.666666666664</x:v>
      </x:c>
      <x:c r="U14" s="152" t="n">
        <x:f>T14+U13</x:f>
        <x:v>-250616.66666666663</x:v>
      </x:c>
      <x:c r="V14" s="152" t="n">
        <x:f>T14/(1+'Supuestos'!$B$33)^(A14/12)</x:f>
        <x:v>-14295.039404828174</x:v>
      </x:c>
    </x:row>
    <x:row r="15" ht="42" customHeight="1">
      <x:c r="A15" s="147" t="n">
        <x:f>14</x:f>
        <x:v>14</x:v>
      </x:c>
      <x:c r="B15" s="147" t="n">
        <x:f>ROUNDUP(A15/12,0)</x:f>
        <x:v>2</x:v>
      </x:c>
      <x:c r="C15" s="152" t="n">
        <x:f>IF(A15&gt;='Supuestos'!$B$2,CHOOSE(MIN(3,1+INT((A15-'Supuestos'!$B$2)/12)),'Supuestos'!$B$34,'Supuestos'!$B$35,'Supuestos'!$B$36)/12,0)</x:f>
        <x:v>0</x:v>
      </x:c>
      <x:c r="D15" s="152" t="n">
        <x:f>D14*'Supuestos'!$B$17+C15</x:f>
        <x:v>0</x:v>
      </x:c>
      <x:c r="E15" s="152" t="n">
        <x:f>MAX(0,D15*'Supuestos'!$B$18-2*C15)</x:f>
        <x:v>0</x:v>
      </x:c>
      <x:c r="F15" s="152" t="n">
        <x:f>IF(A15&gt;='Supuestos'!$B$2,CHOOSE(MIN(3,1+INT((A15-'Supuestos'!$B$2)/12)),'Supuestos'!$B$37,'Supuestos'!$B$38,'Supuestos'!$B$39)/12,0)</x:f>
        <x:v>0</x:v>
      </x:c>
      <x:c r="G15" s="152" t="n">
        <x:f>IF(A15='Supuestos'!$B$2-1,'Supuestos'!$B$51,IF(A15&gt;='Supuestos'!$B$2,ROUNDUP(ROUND(MAX(0,C15+F15-I14),8),0),0))</x:f>
        <x:v>0</x:v>
      </x:c>
      <x:c r="H15" s="152" t="n">
        <x:f>ROUNDUP(ROUND(G15/(1-'Supuestos'!$B$14),8),0)</x:f>
        <x:v>0</x:v>
      </x:c>
      <x:c r="I15" s="152" t="n">
        <x:f>I14+G15-C15-F15</x:f>
        <x:v>0</x:v>
      </x:c>
      <x:c r="J15" s="152" t="n">
        <x:f>C15*'Supuestos'!$B$15+E15*'Supuestos'!$B$16</x:f>
        <x:v>0</x:v>
      </x:c>
      <x:c r="K15" s="152" t="n">
        <x:f>(IF(A15='Supuestos'!$B$2-3,ROUNDUP('Supuestos'!$B$51/(1-'Supuestos'!$B$14),0),0)+IF(A15='Supuestos'!$B$2-1,0,H15))*((2*SUM('Supuestos'!B19:B20)+SUM('Supuestos'!B21:B22)+2*SUM('Supuestos'!B23:B24)+'Supuestos'!B25)-IF(A15&lt;='Supuestos'!$B$3,(2*'Supuestos'!B20+'Supuestos'!B22+2*'Supuestos'!B24),0))</x:f>
        <x:v>0</x:v>
      </x:c>
      <x:c r="L15" s="152" t="n">
        <x:f>(IF(A15='Supuestos'!$B$2-2,ROUNDUP('Supuestos'!$B$51/(1-'Supuestos'!$B$14),0),0)+IF(A15='Supuestos'!$B$2-1,0,H15))*(((2*'Supuestos'!B19+'Supuestos'!B21+'Supuestos'!B25)+'Supuestos'!$B$26+'Supuestos'!$B$27)*'Supuestos'!$B$28+'Supuestos'!$B$26+'Supuestos'!$B$27+'Supuestos'!$B$29)+IF(A15='Supuestos'!$B$2-1,'Supuestos'!$B$30,0)</x:f>
        <x:v>0</x:v>
      </x:c>
      <x:c r="M15" s="152" t="n">
        <x:f>E15*(('Supuestos'!$B$23+'Supuestos'!$B$24)/(1-'Supuestos'!$B$14)+'Supuestos'!$B$31)</x:f>
        <x:v>0</x:v>
      </x:c>
      <x:c r="N15" s="152" t="n">
        <x:f>IF(A15&lt;='Supuestos'!$B$3,'Supuestos'!$B$4,0)</x:f>
        <x:v>11200</x:v>
      </x:c>
      <x:c r="O15" s="152" t="n">
        <x:f>'Supuestos'!$B$5+'Supuestos'!$B$6</x:f>
        <x:v>2500</x:v>
      </x:c>
      <x:c r="P15" s="152" t="n">
        <x:f>IF(AND(A15&gt;=2,A15&lt;=12),'Supuestos'!$B$7/11,0)+IF(AND(A15&gt;=3,A15&lt;=12),SUM('Supuestos'!$B$8:$B$10)/10,0)+IF(AND(A15&gt;=7,A15&lt;='Supuestos'!$B$3),SUM('Supuestos'!$B$11:$B$12)/('Supuestos'!$B$3-6),0)</x:f>
        <x:v>3333.3333333333335</x:v>
      </x:c>
      <x:c r="Q15" s="152" t="n">
        <x:f>(P15+'Supuestos'!$B$6)*'Supuestos'!$B$13</x:f>
        <x:v>383.33333333333337</x:v>
      </x:c>
      <x:c r="R15" s="152" t="n">
        <x:f>J15*'Supuestos'!$B$32+IF(A15&gt;='Supuestos'!$B$2,CHOOSE(MIN(3,1+INT((A15-'Supuestos'!$B$2)/12)),'Supuestos'!$B$45,'Supuestos'!$B$46,'Supuestos'!$B$47)+CHOOSE(MIN(3,1+INT((A15-'Supuestos'!$B$2)/12)),'Supuestos'!$B$48,'Supuestos'!$B$49,'Supuestos'!$B$50)+CHOOSE(MIN(3,1+INT((A15-'Supuestos'!$B$2)/12)),'Supuestos'!$B$40,'Supuestos'!$B$41,'Supuestos'!$B$42)/12+D15*'Supuestos'!$B$43/100*'Supuestos'!$B$44,0)</x:f>
        <x:v>0</x:v>
      </x:c>
      <x:c r="S15" s="152" t="n">
        <x:f>SUM(K15:R15)</x:f>
        <x:v>17416.666666666664</x:v>
      </x:c>
      <x:c r="T15" s="152" t="n">
        <x:f>J15-S15</x:f>
        <x:v>-17416.666666666664</x:v>
      </x:c>
      <x:c r="U15" s="152" t="n">
        <x:f>T15+U14</x:f>
        <x:v>-268033.3333333333</x:v>
      </x:c>
      <x:c r="V15" s="152" t="n">
        <x:f>T15/(1+'Supuestos'!$B$33)^(A15/12)</x:f>
        <x:v>-14079.489870011963</x:v>
      </x:c>
    </x:row>
    <x:row r="16" ht="42" customHeight="1">
      <x:c r="A16" s="147" t="n">
        <x:f>15</x:f>
        <x:v>15</x:v>
      </x:c>
      <x:c r="B16" s="147" t="n">
        <x:f>ROUNDUP(A16/12,0)</x:f>
        <x:v>2</x:v>
      </x:c>
      <x:c r="C16" s="152" t="n">
        <x:f>IF(A16&gt;='Supuestos'!$B$2,CHOOSE(MIN(3,1+INT((A16-'Supuestos'!$B$2)/12)),'Supuestos'!$B$34,'Supuestos'!$B$35,'Supuestos'!$B$36)/12,0)</x:f>
        <x:v>0</x:v>
      </x:c>
      <x:c r="D16" s="152" t="n">
        <x:f>D15*'Supuestos'!$B$17+C16</x:f>
        <x:v>0</x:v>
      </x:c>
      <x:c r="E16" s="152" t="n">
        <x:f>MAX(0,D16*'Supuestos'!$B$18-2*C16)</x:f>
        <x:v>0</x:v>
      </x:c>
      <x:c r="F16" s="152" t="n">
        <x:f>IF(A16&gt;='Supuestos'!$B$2,CHOOSE(MIN(3,1+INT((A16-'Supuestos'!$B$2)/12)),'Supuestos'!$B$37,'Supuestos'!$B$38,'Supuestos'!$B$39)/12,0)</x:f>
        <x:v>0</x:v>
      </x:c>
      <x:c r="G16" s="152" t="n">
        <x:f>IF(A16='Supuestos'!$B$2-1,'Supuestos'!$B$51,IF(A16&gt;='Supuestos'!$B$2,ROUNDUP(ROUND(MAX(0,C16+F16-I15),8),0),0))</x:f>
        <x:v>0</x:v>
      </x:c>
      <x:c r="H16" s="152" t="n">
        <x:f>ROUNDUP(ROUND(G16/(1-'Supuestos'!$B$14),8),0)</x:f>
        <x:v>0</x:v>
      </x:c>
      <x:c r="I16" s="152" t="n">
        <x:f>I15+G16-C16-F16</x:f>
        <x:v>0</x:v>
      </x:c>
      <x:c r="J16" s="152" t="n">
        <x:f>C16*'Supuestos'!$B$15+E16*'Supuestos'!$B$16</x:f>
        <x:v>0</x:v>
      </x:c>
      <x:c r="K16" s="152" t="n">
        <x:f>(IF(A16='Supuestos'!$B$2-3,ROUNDUP('Supuestos'!$B$51/(1-'Supuestos'!$B$14),0),0)+IF(A16='Supuestos'!$B$2-1,0,H16))*((2*SUM('Supuestos'!B19:B20)+SUM('Supuestos'!B21:B22)+2*SUM('Supuestos'!B23:B24)+'Supuestos'!B25)-IF(A16&lt;='Supuestos'!$B$3,(2*'Supuestos'!B20+'Supuestos'!B22+2*'Supuestos'!B24),0))</x:f>
        <x:v>0</x:v>
      </x:c>
      <x:c r="L16" s="152" t="n">
        <x:f>(IF(A16='Supuestos'!$B$2-2,ROUNDUP('Supuestos'!$B$51/(1-'Supuestos'!$B$14),0),0)+IF(A16='Supuestos'!$B$2-1,0,H16))*(((2*'Supuestos'!B19+'Supuestos'!B21+'Supuestos'!B25)+'Supuestos'!$B$26+'Supuestos'!$B$27)*'Supuestos'!$B$28+'Supuestos'!$B$26+'Supuestos'!$B$27+'Supuestos'!$B$29)+IF(A16='Supuestos'!$B$2-1,'Supuestos'!$B$30,0)</x:f>
        <x:v>0</x:v>
      </x:c>
      <x:c r="M16" s="152" t="n">
        <x:f>E16*(('Supuestos'!$B$23+'Supuestos'!$B$24)/(1-'Supuestos'!$B$14)+'Supuestos'!$B$31)</x:f>
        <x:v>0</x:v>
      </x:c>
      <x:c r="N16" s="152" t="n">
        <x:f>IF(A16&lt;='Supuestos'!$B$3,'Supuestos'!$B$4,0)</x:f>
        <x:v>11200</x:v>
      </x:c>
      <x:c r="O16" s="152" t="n">
        <x:f>'Supuestos'!$B$5+'Supuestos'!$B$6</x:f>
        <x:v>2500</x:v>
      </x:c>
      <x:c r="P16" s="152" t="n">
        <x:f>IF(AND(A16&gt;=2,A16&lt;=12),'Supuestos'!$B$7/11,0)+IF(AND(A16&gt;=3,A16&lt;=12),SUM('Supuestos'!$B$8:$B$10)/10,0)+IF(AND(A16&gt;=7,A16&lt;='Supuestos'!$B$3),SUM('Supuestos'!$B$11:$B$12)/('Supuestos'!$B$3-6),0)</x:f>
        <x:v>3333.3333333333335</x:v>
      </x:c>
      <x:c r="Q16" s="152" t="n">
        <x:f>(P16+'Supuestos'!$B$6)*'Supuestos'!$B$13</x:f>
        <x:v>383.33333333333337</x:v>
      </x:c>
      <x:c r="R16" s="152" t="n">
        <x:f>J16*'Supuestos'!$B$32+IF(A16&gt;='Supuestos'!$B$2,CHOOSE(MIN(3,1+INT((A16-'Supuestos'!$B$2)/12)),'Supuestos'!$B$45,'Supuestos'!$B$46,'Supuestos'!$B$47)+CHOOSE(MIN(3,1+INT((A16-'Supuestos'!$B$2)/12)),'Supuestos'!$B$48,'Supuestos'!$B$49,'Supuestos'!$B$50)+CHOOSE(MIN(3,1+INT((A16-'Supuestos'!$B$2)/12)),'Supuestos'!$B$40,'Supuestos'!$B$41,'Supuestos'!$B$42)/12+D16*'Supuestos'!$B$43/100*'Supuestos'!$B$44,0)</x:f>
        <x:v>0</x:v>
      </x:c>
      <x:c r="S16" s="152" t="n">
        <x:f>SUM(K16:R16)</x:f>
        <x:v>17416.666666666664</x:v>
      </x:c>
      <x:c r="T16" s="152" t="n">
        <x:f>J16-S16</x:f>
        <x:v>-17416.666666666664</x:v>
      </x:c>
      <x:c r="U16" s="152" t="n">
        <x:f>T16+U15</x:f>
        <x:v>-285450</x:v>
      </x:c>
      <x:c r="V16" s="152" t="n">
        <x:f>T16/(1+'Supuestos'!$B$33)^(A16/12)</x:f>
        <x:v>-13867.190525743934</x:v>
      </x:c>
    </x:row>
    <x:row r="17" ht="42" customHeight="1">
      <x:c r="A17" s="147" t="n">
        <x:f>16</x:f>
        <x:v>16</x:v>
      </x:c>
      <x:c r="B17" s="147" t="n">
        <x:f>ROUNDUP(A17/12,0)</x:f>
        <x:v>2</x:v>
      </x:c>
      <x:c r="C17" s="152" t="n">
        <x:f>IF(A17&gt;='Supuestos'!$B$2,CHOOSE(MIN(3,1+INT((A17-'Supuestos'!$B$2)/12)),'Supuestos'!$B$34,'Supuestos'!$B$35,'Supuestos'!$B$36)/12,0)</x:f>
        <x:v>0</x:v>
      </x:c>
      <x:c r="D17" s="152" t="n">
        <x:f>D16*'Supuestos'!$B$17+C17</x:f>
        <x:v>0</x:v>
      </x:c>
      <x:c r="E17" s="152" t="n">
        <x:f>MAX(0,D17*'Supuestos'!$B$18-2*C17)</x:f>
        <x:v>0</x:v>
      </x:c>
      <x:c r="F17" s="152" t="n">
        <x:f>IF(A17&gt;='Supuestos'!$B$2,CHOOSE(MIN(3,1+INT((A17-'Supuestos'!$B$2)/12)),'Supuestos'!$B$37,'Supuestos'!$B$38,'Supuestos'!$B$39)/12,0)</x:f>
        <x:v>0</x:v>
      </x:c>
      <x:c r="G17" s="152" t="n">
        <x:f>IF(A17='Supuestos'!$B$2-1,'Supuestos'!$B$51,IF(A17&gt;='Supuestos'!$B$2,ROUNDUP(ROUND(MAX(0,C17+F17-I16),8),0),0))</x:f>
        <x:v>0</x:v>
      </x:c>
      <x:c r="H17" s="152" t="n">
        <x:f>ROUNDUP(ROUND(G17/(1-'Supuestos'!$B$14),8),0)</x:f>
        <x:v>0</x:v>
      </x:c>
      <x:c r="I17" s="152" t="n">
        <x:f>I16+G17-C17-F17</x:f>
        <x:v>0</x:v>
      </x:c>
      <x:c r="J17" s="152" t="n">
        <x:f>C17*'Supuestos'!$B$15+E17*'Supuestos'!$B$16</x:f>
        <x:v>0</x:v>
      </x:c>
      <x:c r="K17" s="152" t="n">
        <x:f>(IF(A17='Supuestos'!$B$2-3,ROUNDUP('Supuestos'!$B$51/(1-'Supuestos'!$B$14),0),0)+IF(A17='Supuestos'!$B$2-1,0,H17))*((2*SUM('Supuestos'!B19:B20)+SUM('Supuestos'!B21:B22)+2*SUM('Supuestos'!B23:B24)+'Supuestos'!B25)-IF(A17&lt;='Supuestos'!$B$3,(2*'Supuestos'!B20+'Supuestos'!B22+2*'Supuestos'!B24),0))</x:f>
        <x:v>18944.8</x:v>
      </x:c>
      <x:c r="L17" s="152" t="n">
        <x:f>(IF(A17='Supuestos'!$B$2-2,ROUNDUP('Supuestos'!$B$51/(1-'Supuestos'!$B$14),0),0)+IF(A17='Supuestos'!$B$2-1,0,H17))*(((2*'Supuestos'!B19+'Supuestos'!B21+'Supuestos'!B25)+'Supuestos'!$B$26+'Supuestos'!$B$27)*'Supuestos'!$B$28+'Supuestos'!$B$26+'Supuestos'!$B$27+'Supuestos'!$B$29)+IF(A17='Supuestos'!$B$2-1,'Supuestos'!$B$30,0)</x:f>
        <x:v>0</x:v>
      </x:c>
      <x:c r="M17" s="152" t="n">
        <x:f>E17*(('Supuestos'!$B$23+'Supuestos'!$B$24)/(1-'Supuestos'!$B$14)+'Supuestos'!$B$31)</x:f>
        <x:v>0</x:v>
      </x:c>
      <x:c r="N17" s="152" t="n">
        <x:f>IF(A17&lt;='Supuestos'!$B$3,'Supuestos'!$B$4,0)</x:f>
        <x:v>11200</x:v>
      </x:c>
      <x:c r="O17" s="152" t="n">
        <x:f>'Supuestos'!$B$5+'Supuestos'!$B$6</x:f>
        <x:v>2500</x:v>
      </x:c>
      <x:c r="P17" s="152" t="n">
        <x:f>IF(AND(A17&gt;=2,A17&lt;=12),'Supuestos'!$B$7/11,0)+IF(AND(A17&gt;=3,A17&lt;=12),SUM('Supuestos'!$B$8:$B$10)/10,0)+IF(AND(A17&gt;=7,A17&lt;='Supuestos'!$B$3),SUM('Supuestos'!$B$11:$B$12)/('Supuestos'!$B$3-6),0)</x:f>
        <x:v>3333.3333333333335</x:v>
      </x:c>
      <x:c r="Q17" s="152" t="n">
        <x:f>(P17+'Supuestos'!$B$6)*'Supuestos'!$B$13</x:f>
        <x:v>383.33333333333337</x:v>
      </x:c>
      <x:c r="R17" s="152" t="n">
        <x:f>J17*'Supuestos'!$B$32+IF(A17&gt;='Supuestos'!$B$2,CHOOSE(MIN(3,1+INT((A17-'Supuestos'!$B$2)/12)),'Supuestos'!$B$45,'Supuestos'!$B$46,'Supuestos'!$B$47)+CHOOSE(MIN(3,1+INT((A17-'Supuestos'!$B$2)/12)),'Supuestos'!$B$48,'Supuestos'!$B$49,'Supuestos'!$B$50)+CHOOSE(MIN(3,1+INT((A17-'Supuestos'!$B$2)/12)),'Supuestos'!$B$40,'Supuestos'!$B$41,'Supuestos'!$B$42)/12+D17*'Supuestos'!$B$43/100*'Supuestos'!$B$44,0)</x:f>
        <x:v>0</x:v>
      </x:c>
      <x:c r="S17" s="152" t="n">
        <x:f>SUM(K17:R17)</x:f>
        <x:v>36361.46666666667</x:v>
      </x:c>
      <x:c r="T17" s="152" t="n">
        <x:f>J17-S17</x:f>
        <x:v>-36361.46666666667</x:v>
      </x:c>
      <x:c r="U17" s="152" t="n">
        <x:f>T17+U16</x:f>
        <x:v>-321811.4666666667</x:v>
      </x:c>
      <x:c r="V17" s="152" t="n">
        <x:f>T17/(1+'Supuestos'!$B$33)^(A17/12)</x:f>
        <x:v>-28514.541830241575</x:v>
      </x:c>
    </x:row>
    <x:row r="18" ht="42" customHeight="1">
      <x:c r="A18" s="147" t="n">
        <x:f>17</x:f>
        <x:v>17</x:v>
      </x:c>
      <x:c r="B18" s="147" t="n">
        <x:f>ROUNDUP(A18/12,0)</x:f>
        <x:v>2</x:v>
      </x:c>
      <x:c r="C18" s="152" t="n">
        <x:f>IF(A18&gt;='Supuestos'!$B$2,CHOOSE(MIN(3,1+INT((A18-'Supuestos'!$B$2)/12)),'Supuestos'!$B$34,'Supuestos'!$B$35,'Supuestos'!$B$36)/12,0)</x:f>
        <x:v>0</x:v>
      </x:c>
      <x:c r="D18" s="152" t="n">
        <x:f>D17*'Supuestos'!$B$17+C18</x:f>
        <x:v>0</x:v>
      </x:c>
      <x:c r="E18" s="152" t="n">
        <x:f>MAX(0,D18*'Supuestos'!$B$18-2*C18)</x:f>
        <x:v>0</x:v>
      </x:c>
      <x:c r="F18" s="152" t="n">
        <x:f>IF(A18&gt;='Supuestos'!$B$2,CHOOSE(MIN(3,1+INT((A18-'Supuestos'!$B$2)/12)),'Supuestos'!$B$37,'Supuestos'!$B$38,'Supuestos'!$B$39)/12,0)</x:f>
        <x:v>0</x:v>
      </x:c>
      <x:c r="G18" s="152" t="n">
        <x:f>IF(A18='Supuestos'!$B$2-1,'Supuestos'!$B$51,IF(A18&gt;='Supuestos'!$B$2,ROUNDUP(ROUND(MAX(0,C18+F18-I17),8),0),0))</x:f>
        <x:v>0</x:v>
      </x:c>
      <x:c r="H18" s="152" t="n">
        <x:f>ROUNDUP(ROUND(G18/(1-'Supuestos'!$B$14),8),0)</x:f>
        <x:v>0</x:v>
      </x:c>
      <x:c r="I18" s="152" t="n">
        <x:f>I17+G18-C18-F18</x:f>
        <x:v>0</x:v>
      </x:c>
      <x:c r="J18" s="152" t="n">
        <x:f>C18*'Supuestos'!$B$15+E18*'Supuestos'!$B$16</x:f>
        <x:v>0</x:v>
      </x:c>
      <x:c r="K18" s="152" t="n">
        <x:f>(IF(A18='Supuestos'!$B$2-3,ROUNDUP('Supuestos'!$B$51/(1-'Supuestos'!$B$14),0),0)+IF(A18='Supuestos'!$B$2-1,0,H18))*((2*SUM('Supuestos'!B19:B20)+SUM('Supuestos'!B21:B22)+2*SUM('Supuestos'!B23:B24)+'Supuestos'!B25)-IF(A18&lt;='Supuestos'!$B$3,(2*'Supuestos'!B20+'Supuestos'!B22+2*'Supuestos'!B24),0))</x:f>
        <x:v>0</x:v>
      </x:c>
      <x:c r="L18" s="152" t="n">
        <x:f>(IF(A18='Supuestos'!$B$2-2,ROUNDUP('Supuestos'!$B$51/(1-'Supuestos'!$B$14),0),0)+IF(A18='Supuestos'!$B$2-1,0,H18))*(((2*'Supuestos'!B19+'Supuestos'!B21+'Supuestos'!B25)+'Supuestos'!$B$26+'Supuestos'!$B$27)*'Supuestos'!$B$28+'Supuestos'!$B$26+'Supuestos'!$B$27+'Supuestos'!$B$29)+IF(A18='Supuestos'!$B$2-1,'Supuestos'!$B$30,0)</x:f>
        <x:v>11868.36</x:v>
      </x:c>
      <x:c r="M18" s="152" t="n">
        <x:f>E18*(('Supuestos'!$B$23+'Supuestos'!$B$24)/(1-'Supuestos'!$B$14)+'Supuestos'!$B$31)</x:f>
        <x:v>0</x:v>
      </x:c>
      <x:c r="N18" s="152" t="n">
        <x:f>IF(A18&lt;='Supuestos'!$B$3,'Supuestos'!$B$4,0)</x:f>
        <x:v>11200</x:v>
      </x:c>
      <x:c r="O18" s="152" t="n">
        <x:f>'Supuestos'!$B$5+'Supuestos'!$B$6</x:f>
        <x:v>2500</x:v>
      </x:c>
      <x:c r="P18" s="152" t="n">
        <x:f>IF(AND(A18&gt;=2,A18&lt;=12),'Supuestos'!$B$7/11,0)+IF(AND(A18&gt;=3,A18&lt;=12),SUM('Supuestos'!$B$8:$B$10)/10,0)+IF(AND(A18&gt;=7,A18&lt;='Supuestos'!$B$3),SUM('Supuestos'!$B$11:$B$12)/('Supuestos'!$B$3-6),0)</x:f>
        <x:v>3333.3333333333335</x:v>
      </x:c>
      <x:c r="Q18" s="152" t="n">
        <x:f>(P18+'Supuestos'!$B$6)*'Supuestos'!$B$13</x:f>
        <x:v>383.33333333333337</x:v>
      </x:c>
      <x:c r="R18" s="152" t="n">
        <x:f>J18*'Supuestos'!$B$32+IF(A18&gt;='Supuestos'!$B$2,CHOOSE(MIN(3,1+INT((A18-'Supuestos'!$B$2)/12)),'Supuestos'!$B$45,'Supuestos'!$B$46,'Supuestos'!$B$47)+CHOOSE(MIN(3,1+INT((A18-'Supuestos'!$B$2)/12)),'Supuestos'!$B$48,'Supuestos'!$B$49,'Supuestos'!$B$50)+CHOOSE(MIN(3,1+INT((A18-'Supuestos'!$B$2)/12)),'Supuestos'!$B$40,'Supuestos'!$B$41,'Supuestos'!$B$42)/12+D18*'Supuestos'!$B$43/100*'Supuestos'!$B$44,0)</x:f>
        <x:v>0</x:v>
      </x:c>
      <x:c r="S18" s="152" t="n">
        <x:f>SUM(K18:R18)</x:f>
        <x:v>29285.026666666665</x:v>
      </x:c>
      <x:c r="T18" s="152" t="n">
        <x:f>J18-S18</x:f>
        <x:v>-29285.026666666665</x:v>
      </x:c>
      <x:c r="U18" s="152" t="n">
        <x:f>T18+U17</x:f>
        <x:v>-351096.49333333335</x:v>
      </x:c>
      <x:c r="V18" s="152" t="n">
        <x:f>T18/(1+'Supuestos'!$B$33)^(A18/12)</x:f>
        <x:v>-22618.937050551816</x:v>
      </x:c>
    </x:row>
    <x:row r="19" ht="42" customHeight="1">
      <x:c r="A19" s="147" t="n">
        <x:f>18</x:f>
        <x:v>18</x:v>
      </x:c>
      <x:c r="B19" s="147" t="n">
        <x:f>ROUNDUP(A19/12,0)</x:f>
        <x:v>2</x:v>
      </x:c>
      <x:c r="C19" s="152" t="n">
        <x:f>IF(A19&gt;='Supuestos'!$B$2,CHOOSE(MIN(3,1+INT((A19-'Supuestos'!$B$2)/12)),'Supuestos'!$B$34,'Supuestos'!$B$35,'Supuestos'!$B$36)/12,0)</x:f>
        <x:v>0</x:v>
      </x:c>
      <x:c r="D19" s="152" t="n">
        <x:f>D18*'Supuestos'!$B$17+C19</x:f>
        <x:v>0</x:v>
      </x:c>
      <x:c r="E19" s="152" t="n">
        <x:f>MAX(0,D19*'Supuestos'!$B$18-2*C19)</x:f>
        <x:v>0</x:v>
      </x:c>
      <x:c r="F19" s="152" t="n">
        <x:f>IF(A19&gt;='Supuestos'!$B$2,CHOOSE(MIN(3,1+INT((A19-'Supuestos'!$B$2)/12)),'Supuestos'!$B$37,'Supuestos'!$B$38,'Supuestos'!$B$39)/12,0)</x:f>
        <x:v>0</x:v>
      </x:c>
      <x:c r="G19" s="152" t="n">
        <x:f>IF(A19='Supuestos'!$B$2-1,'Supuestos'!$B$51,IF(A19&gt;='Supuestos'!$B$2,ROUNDUP(ROUND(MAX(0,C19+F19-I18),8),0),0))</x:f>
        <x:v>100</x:v>
      </x:c>
      <x:c r="H19" s="152" t="n">
        <x:f>ROUNDUP(ROUND(G19/(1-'Supuestos'!$B$14),8),0)</x:f>
        <x:v>112</x:v>
      </x:c>
      <x:c r="I19" s="152" t="n">
        <x:f>I18+G19-C19-F19</x:f>
        <x:v>100</x:v>
      </x:c>
      <x:c r="J19" s="152" t="n">
        <x:f>C19*'Supuestos'!$B$15+E19*'Supuestos'!$B$16</x:f>
        <x:v>0</x:v>
      </x:c>
      <x:c r="K19" s="152" t="n">
        <x:f>(IF(A19='Supuestos'!$B$2-3,ROUNDUP('Supuestos'!$B$51/(1-'Supuestos'!$B$14),0),0)+IF(A19='Supuestos'!$B$2-1,0,H19))*((2*SUM('Supuestos'!B19:B20)+SUM('Supuestos'!B21:B22)+2*SUM('Supuestos'!B23:B24)+'Supuestos'!B25)-IF(A19&lt;='Supuestos'!$B$3,(2*'Supuestos'!B20+'Supuestos'!B22+2*'Supuestos'!B24),0))</x:f>
        <x:v>0</x:v>
      </x:c>
      <x:c r="L19" s="152" t="n">
        <x:f>(IF(A19='Supuestos'!$B$2-2,ROUNDUP('Supuestos'!$B$51/(1-'Supuestos'!$B$14),0),0)+IF(A19='Supuestos'!$B$2-1,0,H19))*(((2*'Supuestos'!B19+'Supuestos'!B21+'Supuestos'!B25)+'Supuestos'!$B$26+'Supuestos'!$B$27)*'Supuestos'!$B$28+'Supuestos'!$B$26+'Supuestos'!$B$27+'Supuestos'!$B$29)+IF(A19='Supuestos'!$B$2-1,'Supuestos'!$B$30,0)</x:f>
        <x:v>300</x:v>
      </x:c>
      <x:c r="M19" s="152" t="n">
        <x:f>E19*(('Supuestos'!$B$23+'Supuestos'!$B$24)/(1-'Supuestos'!$B$14)+'Supuestos'!$B$31)</x:f>
        <x:v>0</x:v>
      </x:c>
      <x:c r="N19" s="152" t="n">
        <x:f>IF(A19&lt;='Supuestos'!$B$3,'Supuestos'!$B$4,0)</x:f>
        <x:v>11200</x:v>
      </x:c>
      <x:c r="O19" s="152" t="n">
        <x:f>'Supuestos'!$B$5+'Supuestos'!$B$6</x:f>
        <x:v>2500</x:v>
      </x:c>
      <x:c r="P19" s="152" t="n">
        <x:f>IF(AND(A19&gt;=2,A19&lt;=12),'Supuestos'!$B$7/11,0)+IF(AND(A19&gt;=3,A19&lt;=12),SUM('Supuestos'!$B$8:$B$10)/10,0)+IF(AND(A19&gt;=7,A19&lt;='Supuestos'!$B$3),SUM('Supuestos'!$B$11:$B$12)/('Supuestos'!$B$3-6),0)</x:f>
        <x:v>3333.3333333333335</x:v>
      </x:c>
      <x:c r="Q19" s="152" t="n">
        <x:f>(P19+'Supuestos'!$B$6)*'Supuestos'!$B$13</x:f>
        <x:v>383.33333333333337</x:v>
      </x:c>
      <x:c r="R19" s="152" t="n">
        <x:f>J19*'Supuestos'!$B$32+IF(A19&gt;='Supuestos'!$B$2,CHOOSE(MIN(3,1+INT((A19-'Supuestos'!$B$2)/12)),'Supuestos'!$B$45,'Supuestos'!$B$46,'Supuestos'!$B$47)+CHOOSE(MIN(3,1+INT((A19-'Supuestos'!$B$2)/12)),'Supuestos'!$B$48,'Supuestos'!$B$49,'Supuestos'!$B$50)+CHOOSE(MIN(3,1+INT((A19-'Supuestos'!$B$2)/12)),'Supuestos'!$B$40,'Supuestos'!$B$41,'Supuestos'!$B$42)/12+D19*'Supuestos'!$B$43/100*'Supuestos'!$B$44,0)</x:f>
        <x:v>0</x:v>
      </x:c>
      <x:c r="S19" s="152" t="n">
        <x:f>SUM(K19:R19)</x:f>
        <x:v>17716.666666666664</x:v>
      </x:c>
      <x:c r="T19" s="152" t="n">
        <x:f>J19-S19</x:f>
        <x:v>-17716.666666666664</x:v>
      </x:c>
      <x:c r="U19" s="152" t="n">
        <x:f>T19+U18</x:f>
        <x:v>-368813.16000000003</x:v>
      </x:c>
      <x:c r="V19" s="152" t="n">
        <x:f>T19/(1+'Supuestos'!$B$33)^(A19/12)</x:f>
        <x:v>-13477.524968240547</x:v>
      </x:c>
    </x:row>
    <x:row r="20" ht="42" customHeight="1">
      <x:c r="A20" s="147" t="n">
        <x:f>19</x:f>
        <x:v>19</x:v>
      </x:c>
      <x:c r="B20" s="147" t="n">
        <x:f>ROUNDUP(A20/12,0)</x:f>
        <x:v>2</x:v>
      </x:c>
      <x:c r="C20" s="152" t="n">
        <x:f>IF(A20&gt;='Supuestos'!$B$2,CHOOSE(MIN(3,1+INT((A20-'Supuestos'!$B$2)/12)),'Supuestos'!$B$34,'Supuestos'!$B$35,'Supuestos'!$B$36)/12,0)</x:f>
        <x:v>25</x:v>
      </x:c>
      <x:c r="D20" s="152" t="n">
        <x:f>D19*'Supuestos'!$B$17+C20</x:f>
        <x:v>25</x:v>
      </x:c>
      <x:c r="E20" s="152" t="n">
        <x:f>MAX(0,D20*'Supuestos'!$B$18-2*C20)</x:f>
        <x:v>50</x:v>
      </x:c>
      <x:c r="F20" s="152" t="n">
        <x:f>IF(A20&gt;='Supuestos'!$B$2,CHOOSE(MIN(3,1+INT((A20-'Supuestos'!$B$2)/12)),'Supuestos'!$B$37,'Supuestos'!$B$38,'Supuestos'!$B$39)/12,0)</x:f>
        <x:v>0.5833333333333334</x:v>
      </x:c>
      <x:c r="G20" s="152" t="n">
        <x:f>IF(A20='Supuestos'!$B$2-1,'Supuestos'!$B$51,IF(A20&gt;='Supuestos'!$B$2,ROUNDUP(ROUND(MAX(0,C20+F20-I19),8),0),0))</x:f>
        <x:v>0</x:v>
      </x:c>
      <x:c r="H20" s="152" t="n">
        <x:f>ROUNDUP(ROUND(G20/(1-'Supuestos'!$B$14),8),0)</x:f>
        <x:v>0</x:v>
      </x:c>
      <x:c r="I20" s="152" t="n">
        <x:f>I19+G20-C20-F20</x:f>
        <x:v>74.41666666666667</x:v>
      </x:c>
      <x:c r="J20" s="152" t="n">
        <x:f>C20*'Supuestos'!$B$15+E20*'Supuestos'!$B$16</x:f>
        <x:v>21250</x:v>
      </x:c>
      <x:c r="K20" s="152" t="n">
        <x:f>(IF(A20='Supuestos'!$B$2-3,ROUNDUP('Supuestos'!$B$51/(1-'Supuestos'!$B$14),0),0)+IF(A20='Supuestos'!$B$2-1,0,H20))*((2*SUM('Supuestos'!B19:B20)+SUM('Supuestos'!B21:B22)+2*SUM('Supuestos'!B23:B24)+'Supuestos'!B25)-IF(A20&lt;='Supuestos'!$B$3,(2*'Supuestos'!B20+'Supuestos'!B22+2*'Supuestos'!B24),0))</x:f>
        <x:v>0</x:v>
      </x:c>
      <x:c r="L20" s="152" t="n">
        <x:f>(IF(A20='Supuestos'!$B$2-2,ROUNDUP('Supuestos'!$B$51/(1-'Supuestos'!$B$14),0),0)+IF(A20='Supuestos'!$B$2-1,0,H20))*(((2*'Supuestos'!B19+'Supuestos'!B21+'Supuestos'!B25)+'Supuestos'!$B$26+'Supuestos'!$B$27)*'Supuestos'!$B$28+'Supuestos'!$B$26+'Supuestos'!$B$27+'Supuestos'!$B$29)+IF(A20='Supuestos'!$B$2-1,'Supuestos'!$B$30,0)</x:f>
        <x:v>0</x:v>
      </x:c>
      <x:c r="M20" s="152" t="n">
        <x:f>E20*(('Supuestos'!$B$23+'Supuestos'!$B$24)/(1-'Supuestos'!$B$14)+'Supuestos'!$B$31)</x:f>
        <x:v>779.4444444444446</x:v>
      </x:c>
      <x:c r="N20" s="152" t="n">
        <x:f>IF(A20&lt;='Supuestos'!$B$3,'Supuestos'!$B$4,0)</x:f>
        <x:v>0</x:v>
      </x:c>
      <x:c r="O20" s="152" t="n">
        <x:f>'Supuestos'!$B$5+'Supuestos'!$B$6</x:f>
        <x:v>2500</x:v>
      </x:c>
      <x:c r="P20" s="152" t="n">
        <x:f>IF(AND(A20&gt;=2,A20&lt;=12),'Supuestos'!$B$7/11,0)+IF(AND(A20&gt;=3,A20&lt;=12),SUM('Supuestos'!$B$8:$B$10)/10,0)+IF(AND(A20&gt;=7,A20&lt;='Supuestos'!$B$3),SUM('Supuestos'!$B$11:$B$12)/('Supuestos'!$B$3-6),0)</x:f>
        <x:v>0</x:v>
      </x:c>
      <x:c r="Q20" s="152" t="n">
        <x:f>(P20+'Supuestos'!$B$6)*'Supuestos'!$B$13</x:f>
        <x:v>50</x:v>
      </x:c>
      <x:c r="R20" s="152" t="n">
        <x:f>J20*'Supuestos'!$B$32+IF(A20&gt;='Supuestos'!$B$2,CHOOSE(MIN(3,1+INT((A20-'Supuestos'!$B$2)/12)),'Supuestos'!$B$45,'Supuestos'!$B$46,'Supuestos'!$B$47)+CHOOSE(MIN(3,1+INT((A20-'Supuestos'!$B$2)/12)),'Supuestos'!$B$48,'Supuestos'!$B$49,'Supuestos'!$B$50)+CHOOSE(MIN(3,1+INT((A20-'Supuestos'!$B$2)/12)),'Supuestos'!$B$40,'Supuestos'!$B$41,'Supuestos'!$B$42)/12+D20*'Supuestos'!$B$43/100*'Supuestos'!$B$44,0)</x:f>
        <x:v>6633.333333333</x:v>
      </x:c>
      <x:c r="S20" s="152" t="n">
        <x:f>SUM(K20:R20)</x:f>
        <x:v>9962.777777777444</x:v>
      </x:c>
      <x:c r="T20" s="152" t="n">
        <x:f>J20-S20</x:f>
        <x:v>11287.222222222556</x:v>
      </x:c>
      <x:c r="U20" s="152" t="n">
        <x:f>T20+U19</x:f>
        <x:v>-357525.9377777775</x:v>
      </x:c>
      <x:c r="V20" s="152" t="n">
        <x:f>T20/(1+'Supuestos'!$B$33)^(A20/12)</x:f>
        <x:v>8457.008542049633</x:v>
      </x:c>
    </x:row>
    <x:row r="21" ht="42" customHeight="1">
      <x:c r="A21" s="147" t="n">
        <x:f>20</x:f>
        <x:v>20</x:v>
      </x:c>
      <x:c r="B21" s="147" t="n">
        <x:f>ROUNDUP(A21/12,0)</x:f>
        <x:v>2</x:v>
      </x:c>
      <x:c r="C21" s="152" t="n">
        <x:f>IF(A21&gt;='Supuestos'!$B$2,CHOOSE(MIN(3,1+INT((A21-'Supuestos'!$B$2)/12)),'Supuestos'!$B$34,'Supuestos'!$B$35,'Supuestos'!$B$36)/12,0)</x:f>
        <x:v>25</x:v>
      </x:c>
      <x:c r="D21" s="152" t="n">
        <x:f>D20*'Supuestos'!$B$17+C21</x:f>
        <x:v>48.75</x:v>
      </x:c>
      <x:c r="E21" s="152" t="n">
        <x:f>MAX(0,D21*'Supuestos'!$B$18-2*C21)</x:f>
        <x:v>145</x:v>
      </x:c>
      <x:c r="F21" s="152" t="n">
        <x:f>IF(A21&gt;='Supuestos'!$B$2,CHOOSE(MIN(3,1+INT((A21-'Supuestos'!$B$2)/12)),'Supuestos'!$B$37,'Supuestos'!$B$38,'Supuestos'!$B$39)/12,0)</x:f>
        <x:v>0.5833333333333334</x:v>
      </x:c>
      <x:c r="G21" s="152" t="n">
        <x:f>IF(A21='Supuestos'!$B$2-1,'Supuestos'!$B$51,IF(A21&gt;='Supuestos'!$B$2,ROUNDUP(ROUND(MAX(0,C21+F21-I20),8),0),0))</x:f>
        <x:v>0</x:v>
      </x:c>
      <x:c r="H21" s="152" t="n">
        <x:f>ROUNDUP(ROUND(G21/(1-'Supuestos'!$B$14),8),0)</x:f>
        <x:v>0</x:v>
      </x:c>
      <x:c r="I21" s="152" t="n">
        <x:f>I20+G21-C21-F21</x:f>
        <x:v>48.833333333333336</x:v>
      </x:c>
      <x:c r="J21" s="152" t="n">
        <x:f>C21*'Supuestos'!$B$15+E21*'Supuestos'!$B$16</x:f>
        <x:v>23625</x:v>
      </x:c>
      <x:c r="K21" s="152" t="n">
        <x:f>(IF(A21='Supuestos'!$B$2-3,ROUNDUP('Supuestos'!$B$51/(1-'Supuestos'!$B$14),0),0)+IF(A21='Supuestos'!$B$2-1,0,H21))*((2*SUM('Supuestos'!B19:B20)+SUM('Supuestos'!B21:B22)+2*SUM('Supuestos'!B23:B24)+'Supuestos'!B25)-IF(A21&lt;='Supuestos'!$B$3,(2*'Supuestos'!B20+'Supuestos'!B22+2*'Supuestos'!B24),0))</x:f>
        <x:v>0</x:v>
      </x:c>
      <x:c r="L21" s="152" t="n">
        <x:f>(IF(A21='Supuestos'!$B$2-2,ROUNDUP('Supuestos'!$B$51/(1-'Supuestos'!$B$14),0),0)+IF(A21='Supuestos'!$B$2-1,0,H21))*(((2*'Supuestos'!B19+'Supuestos'!B21+'Supuestos'!B25)+'Supuestos'!$B$26+'Supuestos'!$B$27)*'Supuestos'!$B$28+'Supuestos'!$B$26+'Supuestos'!$B$27+'Supuestos'!$B$29)+IF(A21='Supuestos'!$B$2-1,'Supuestos'!$B$30,0)</x:f>
        <x:v>0</x:v>
      </x:c>
      <x:c r="M21" s="152" t="n">
        <x:f>E21*(('Supuestos'!$B$23+'Supuestos'!$B$24)/(1-'Supuestos'!$B$14)+'Supuestos'!$B$31)</x:f>
        <x:v>2260.388888888889</x:v>
      </x:c>
      <x:c r="N21" s="152" t="n">
        <x:f>IF(A21&lt;='Supuestos'!$B$3,'Supuestos'!$B$4,0)</x:f>
        <x:v>0</x:v>
      </x:c>
      <x:c r="O21" s="152" t="n">
        <x:f>'Supuestos'!$B$5+'Supuestos'!$B$6</x:f>
        <x:v>2500</x:v>
      </x:c>
      <x:c r="P21" s="152" t="n">
        <x:f>IF(AND(A21&gt;=2,A21&lt;=12),'Supuestos'!$B$7/11,0)+IF(AND(A21&gt;=3,A21&lt;=12),SUM('Supuestos'!$B$8:$B$10)/10,0)+IF(AND(A21&gt;=7,A21&lt;='Supuestos'!$B$3),SUM('Supuestos'!$B$11:$B$12)/('Supuestos'!$B$3-6),0)</x:f>
        <x:v>0</x:v>
      </x:c>
      <x:c r="Q21" s="152" t="n">
        <x:f>(P21+'Supuestos'!$B$6)*'Supuestos'!$B$13</x:f>
        <x:v>50</x:v>
      </x:c>
      <x:c r="R21" s="152" t="n">
        <x:f>J21*'Supuestos'!$B$32+IF(A21&gt;='Supuestos'!$B$2,CHOOSE(MIN(3,1+INT((A21-'Supuestos'!$B$2)/12)),'Supuestos'!$B$45,'Supuestos'!$B$46,'Supuestos'!$B$47)+CHOOSE(MIN(3,1+INT((A21-'Supuestos'!$B$2)/12)),'Supuestos'!$B$48,'Supuestos'!$B$49,'Supuestos'!$B$50)+CHOOSE(MIN(3,1+INT((A21-'Supuestos'!$B$2)/12)),'Supuestos'!$B$40,'Supuestos'!$B$41,'Supuestos'!$B$42)/12+D21*'Supuestos'!$B$43/100*'Supuestos'!$B$44,0)</x:f>
        <x:v>6961.87499999935</x:v>
      </x:c>
      <x:c r="S21" s="152" t="n">
        <x:f>SUM(K21:R21)</x:f>
        <x:v>11772.26388888824</x:v>
      </x:c>
      <x:c r="T21" s="152" t="n">
        <x:f>J21-S21</x:f>
        <x:v>11852.73611111176</x:v>
      </x:c>
      <x:c r="U21" s="152" t="n">
        <x:f>T21+U20</x:f>
        <x:v>-345673.20166666573</x:v>
      </x:c>
      <x:c r="V21" s="152" t="n">
        <x:f>T21/(1+'Supuestos'!$B$33)^(A21/12)</x:f>
        <x:v>8746.813608842423</x:v>
      </x:c>
    </x:row>
    <x:row r="22" ht="42" customHeight="1">
      <x:c r="A22" s="147" t="n">
        <x:f>21</x:f>
        <x:v>21</x:v>
      </x:c>
      <x:c r="B22" s="147" t="n">
        <x:f>ROUNDUP(A22/12,0)</x:f>
        <x:v>2</x:v>
      </x:c>
      <x:c r="C22" s="152" t="n">
        <x:f>IF(A22&gt;='Supuestos'!$B$2,CHOOSE(MIN(3,1+INT((A22-'Supuestos'!$B$2)/12)),'Supuestos'!$B$34,'Supuestos'!$B$35,'Supuestos'!$B$36)/12,0)</x:f>
        <x:v>25</x:v>
      </x:c>
      <x:c r="D22" s="152" t="n">
        <x:f>D21*'Supuestos'!$B$17+C22</x:f>
        <x:v>71.3125</x:v>
      </x:c>
      <x:c r="E22" s="152" t="n">
        <x:f>MAX(0,D22*'Supuestos'!$B$18-2*C22)</x:f>
        <x:v>235.25</x:v>
      </x:c>
      <x:c r="F22" s="152" t="n">
        <x:f>IF(A22&gt;='Supuestos'!$B$2,CHOOSE(MIN(3,1+INT((A22-'Supuestos'!$B$2)/12)),'Supuestos'!$B$37,'Supuestos'!$B$38,'Supuestos'!$B$39)/12,0)</x:f>
        <x:v>0.5833333333333334</x:v>
      </x:c>
      <x:c r="G22" s="152" t="n">
        <x:f>IF(A22='Supuestos'!$B$2-1,'Supuestos'!$B$51,IF(A22&gt;='Supuestos'!$B$2,ROUNDUP(ROUND(MAX(0,C22+F22-I21),8),0),0))</x:f>
        <x:v>0</x:v>
      </x:c>
      <x:c r="H22" s="152" t="n">
        <x:f>ROUNDUP(ROUND(G22/(1-'Supuestos'!$B$14),8),0)</x:f>
        <x:v>0</x:v>
      </x:c>
      <x:c r="I22" s="152" t="n">
        <x:f>I21+G22-C22-F22</x:f>
        <x:v>23.250000000000004</x:v>
      </x:c>
      <x:c r="J22" s="152" t="n">
        <x:f>C22*'Supuestos'!$B$15+E22*'Supuestos'!$B$16</x:f>
        <x:v>25881.25</x:v>
      </x:c>
      <x:c r="K22" s="152" t="n">
        <x:f>(IF(A22='Supuestos'!$B$2-3,ROUNDUP('Supuestos'!$B$51/(1-'Supuestos'!$B$14),0),0)+IF(A22='Supuestos'!$B$2-1,0,H22))*((2*SUM('Supuestos'!B19:B20)+SUM('Supuestos'!B21:B22)+2*SUM('Supuestos'!B23:B24)+'Supuestos'!B25)-IF(A22&lt;='Supuestos'!$B$3,(2*'Supuestos'!B20+'Supuestos'!B22+2*'Supuestos'!B24),0))</x:f>
        <x:v>0</x:v>
      </x:c>
      <x:c r="L22" s="152" t="n">
        <x:f>(IF(A22='Supuestos'!$B$2-2,ROUNDUP('Supuestos'!$B$51/(1-'Supuestos'!$B$14),0),0)+IF(A22='Supuestos'!$B$2-1,0,H22))*(((2*'Supuestos'!B19+'Supuestos'!B21+'Supuestos'!B25)+'Supuestos'!$B$26+'Supuestos'!$B$27)*'Supuestos'!$B$28+'Supuestos'!$B$26+'Supuestos'!$B$27+'Supuestos'!$B$29)+IF(A22='Supuestos'!$B$2-1,'Supuestos'!$B$30,0)</x:f>
        <x:v>0</x:v>
      </x:c>
      <x:c r="M22" s="152" t="n">
        <x:f>E22*(('Supuestos'!$B$23+'Supuestos'!$B$24)/(1-'Supuestos'!$B$14)+'Supuestos'!$B$31)</x:f>
        <x:v>3667.2861111111115</x:v>
      </x:c>
      <x:c r="N22" s="152" t="n">
        <x:f>IF(A22&lt;='Supuestos'!$B$3,'Supuestos'!$B$4,0)</x:f>
        <x:v>0</x:v>
      </x:c>
      <x:c r="O22" s="152" t="n">
        <x:f>'Supuestos'!$B$5+'Supuestos'!$B$6</x:f>
        <x:v>2500</x:v>
      </x:c>
      <x:c r="P22" s="152" t="n">
        <x:f>IF(AND(A22&gt;=2,A22&lt;=12),'Supuestos'!$B$7/11,0)+IF(AND(A22&gt;=3,A22&lt;=12),SUM('Supuestos'!$B$8:$B$10)/10,0)+IF(AND(A22&gt;=7,A22&lt;='Supuestos'!$B$3),SUM('Supuestos'!$B$11:$B$12)/('Supuestos'!$B$3-6),0)</x:f>
        <x:v>0</x:v>
      </x:c>
      <x:c r="Q22" s="152" t="n">
        <x:f>(P22+'Supuestos'!$B$6)*'Supuestos'!$B$13</x:f>
        <x:v>50</x:v>
      </x:c>
      <x:c r="R22" s="152" t="n">
        <x:f>J22*'Supuestos'!$B$32+IF(A22&gt;='Supuestos'!$B$2,CHOOSE(MIN(3,1+INT((A22-'Supuestos'!$B$2)/12)),'Supuestos'!$B$45,'Supuestos'!$B$46,'Supuestos'!$B$47)+CHOOSE(MIN(3,1+INT((A22-'Supuestos'!$B$2)/12)),'Supuestos'!$B$48,'Supuestos'!$B$49,'Supuestos'!$B$50)+CHOOSE(MIN(3,1+INT((A22-'Supuestos'!$B$2)/12)),'Supuestos'!$B$40,'Supuestos'!$B$41,'Supuestos'!$B$42)/12+D22*'Supuestos'!$B$43/100*'Supuestos'!$B$44,0)</x:f>
        <x:v>7273.989583332383</x:v>
      </x:c>
      <x:c r="S22" s="152" t="n">
        <x:f>SUM(K22:R22)</x:f>
        <x:v>13491.275694443495</x:v>
      </x:c>
      <x:c r="T22" s="152" t="n">
        <x:f>J22-S22</x:f>
        <x:v>12389.974305556505</x:v>
      </x:c>
      <x:c r="U22" s="152" t="n">
        <x:f>T22+U21</x:f>
        <x:v>-333283.2273611092</x:v>
      </x:c>
      <x:c r="V22" s="152" t="n">
        <x:f>T22/(1+'Supuestos'!$B$33)^(A22/12)</x:f>
        <x:v>9005.40450302829</x:v>
      </x:c>
    </x:row>
    <x:row r="23" ht="42" customHeight="1">
      <x:c r="A23" s="147" t="n">
        <x:f>22</x:f>
        <x:v>22</x:v>
      </x:c>
      <x:c r="B23" s="147" t="n">
        <x:f>ROUNDUP(A23/12,0)</x:f>
        <x:v>2</x:v>
      </x:c>
      <x:c r="C23" s="152" t="n">
        <x:f>IF(A23&gt;='Supuestos'!$B$2,CHOOSE(MIN(3,1+INT((A23-'Supuestos'!$B$2)/12)),'Supuestos'!$B$34,'Supuestos'!$B$35,'Supuestos'!$B$36)/12,0)</x:f>
        <x:v>25</x:v>
      </x:c>
      <x:c r="D23" s="152" t="n">
        <x:f>D22*'Supuestos'!$B$17+C23</x:f>
        <x:v>92.746875</x:v>
      </x:c>
      <x:c r="E23" s="152" t="n">
        <x:f>MAX(0,D23*'Supuestos'!$B$18-2*C23)</x:f>
        <x:v>320.9875</x:v>
      </x:c>
      <x:c r="F23" s="152" t="n">
        <x:f>IF(A23&gt;='Supuestos'!$B$2,CHOOSE(MIN(3,1+INT((A23-'Supuestos'!$B$2)/12)),'Supuestos'!$B$37,'Supuestos'!$B$38,'Supuestos'!$B$39)/12,0)</x:f>
        <x:v>0.5833333333333334</x:v>
      </x:c>
      <x:c r="G23" s="152" t="n">
        <x:f>IF(A23='Supuestos'!$B$2-1,'Supuestos'!$B$51,IF(A23&gt;='Supuestos'!$B$2,ROUNDUP(ROUND(MAX(0,C23+F23-I22),8),0),0))</x:f>
        <x:v>3</x:v>
      </x:c>
      <x:c r="H23" s="152" t="n">
        <x:f>ROUNDUP(ROUND(G23/(1-'Supuestos'!$B$14),8),0)</x:f>
        <x:v>4</x:v>
      </x:c>
      <x:c r="I23" s="152" t="n">
        <x:f>I22+G23-C23-F23</x:f>
        <x:v>0.6666666666666702</x:v>
      </x:c>
      <x:c r="J23" s="152" t="n">
        <x:f>C23*'Supuestos'!$B$15+E23*'Supuestos'!$B$16</x:f>
        <x:v>28024.6875</x:v>
      </x:c>
      <x:c r="K23" s="152" t="n">
        <x:f>(IF(A23='Supuestos'!$B$2-3,ROUNDUP('Supuestos'!$B$51/(1-'Supuestos'!$B$14),0),0)+IF(A23='Supuestos'!$B$2-1,0,H23))*((2*SUM('Supuestos'!B19:B20)+SUM('Supuestos'!B21:B22)+2*SUM('Supuestos'!B23:B24)+'Supuestos'!B25)-IF(A23&lt;='Supuestos'!$B$3,(2*'Supuestos'!B20+'Supuestos'!B22+2*'Supuestos'!B24),0))</x:f>
        <x:v>778.28</x:v>
      </x:c>
      <x:c r="L23" s="152" t="n">
        <x:f>(IF(A23='Supuestos'!$B$2-2,ROUNDUP('Supuestos'!$B$51/(1-'Supuestos'!$B$14),0),0)+IF(A23='Supuestos'!$B$2-1,0,H23))*(((2*'Supuestos'!B19+'Supuestos'!B21+'Supuestos'!B25)+'Supuestos'!$B$26+'Supuestos'!$B$27)*'Supuestos'!$B$28+'Supuestos'!$B$26+'Supuestos'!$B$27+'Supuestos'!$B$29)+IF(A23='Supuestos'!$B$2-1,'Supuestos'!$B$30,0)</x:f>
        <x:v>423.87</x:v>
      </x:c>
      <x:c r="M23" s="152" t="n">
        <x:f>E23*(('Supuestos'!$B$23+'Supuestos'!$B$24)/(1-'Supuestos'!$B$14)+'Supuestos'!$B$31)</x:f>
        <x:v>5003.838472222223</x:v>
      </x:c>
      <x:c r="N23" s="152" t="n">
        <x:f>IF(A23&lt;='Supuestos'!$B$3,'Supuestos'!$B$4,0)</x:f>
        <x:v>0</x:v>
      </x:c>
      <x:c r="O23" s="152" t="n">
        <x:f>'Supuestos'!$B$5+'Supuestos'!$B$6</x:f>
        <x:v>2500</x:v>
      </x:c>
      <x:c r="P23" s="152" t="n">
        <x:f>IF(AND(A23&gt;=2,A23&lt;=12),'Supuestos'!$B$7/11,0)+IF(AND(A23&gt;=3,A23&lt;=12),SUM('Supuestos'!$B$8:$B$10)/10,0)+IF(AND(A23&gt;=7,A23&lt;='Supuestos'!$B$3),SUM('Supuestos'!$B$11:$B$12)/('Supuestos'!$B$3-6),0)</x:f>
        <x:v>0</x:v>
      </x:c>
      <x:c r="Q23" s="152" t="n">
        <x:f>(P23+'Supuestos'!$B$6)*'Supuestos'!$B$13</x:f>
        <x:v>50</x:v>
      </x:c>
      <x:c r="R23" s="152" t="n">
        <x:f>J23*'Supuestos'!$B$32+IF(A23&gt;='Supuestos'!$B$2,CHOOSE(MIN(3,1+INT((A23-'Supuestos'!$B$2)/12)),'Supuestos'!$B$45,'Supuestos'!$B$46,'Supuestos'!$B$47)+CHOOSE(MIN(3,1+INT((A23-'Supuestos'!$B$2)/12)),'Supuestos'!$B$48,'Supuestos'!$B$49,'Supuestos'!$B$50)+CHOOSE(MIN(3,1+INT((A23-'Supuestos'!$B$2)/12)),'Supuestos'!$B$40,'Supuestos'!$B$41,'Supuestos'!$B$42)/12+D23*'Supuestos'!$B$43/100*'Supuestos'!$B$44,0)</x:f>
        <x:v>7570.498437498763</x:v>
      </x:c>
      <x:c r="S23" s="152" t="n">
        <x:f>SUM(K23:R23)</x:f>
        <x:v>16326.486909720987</x:v>
      </x:c>
      <x:c r="T23" s="152" t="n">
        <x:f>J23-S23</x:f>
        <x:v>11698.200590279013</x:v>
      </x:c>
      <x:c r="U23" s="152" t="n">
        <x:f>T23+U22</x:f>
        <x:v>-321585.0267708302</x:v>
      </x:c>
      <x:c r="V23" s="152" t="n">
        <x:f>T23/(1+'Supuestos'!$B$33)^(A23/12)</x:f>
        <x:v>8374.395088114505</x:v>
      </x:c>
    </x:row>
    <x:row r="24" ht="42" customHeight="1">
      <x:c r="A24" s="147" t="n">
        <x:f>23</x:f>
        <x:v>23</x:v>
      </x:c>
      <x:c r="B24" s="147" t="n">
        <x:f>ROUNDUP(A24/12,0)</x:f>
        <x:v>2</x:v>
      </x:c>
      <x:c r="C24" s="152" t="n">
        <x:f>IF(A24&gt;='Supuestos'!$B$2,CHOOSE(MIN(3,1+INT((A24-'Supuestos'!$B$2)/12)),'Supuestos'!$B$34,'Supuestos'!$B$35,'Supuestos'!$B$36)/12,0)</x:f>
        <x:v>25</x:v>
      </x:c>
      <x:c r="D24" s="152" t="n">
        <x:f>D23*'Supuestos'!$B$17+C24</x:f>
        <x:v>113.10953125</x:v>
      </x:c>
      <x:c r="E24" s="152" t="n">
        <x:f>MAX(0,D24*'Supuestos'!$B$18-2*C24)</x:f>
        <x:v>402.438125</x:v>
      </x:c>
      <x:c r="F24" s="152" t="n">
        <x:f>IF(A24&gt;='Supuestos'!$B$2,CHOOSE(MIN(3,1+INT((A24-'Supuestos'!$B$2)/12)),'Supuestos'!$B$37,'Supuestos'!$B$38,'Supuestos'!$B$39)/12,0)</x:f>
        <x:v>0.5833333333333334</x:v>
      </x:c>
      <x:c r="G24" s="152" t="n">
        <x:f>IF(A24='Supuestos'!$B$2-1,'Supuestos'!$B$51,IF(A24&gt;='Supuestos'!$B$2,ROUNDUP(ROUND(MAX(0,C24+F24-I23),8),0),0))</x:f>
        <x:v>25</x:v>
      </x:c>
      <x:c r="H24" s="152" t="n">
        <x:f>ROUNDUP(ROUND(G24/(1-'Supuestos'!$B$14),8),0)</x:f>
        <x:v>28</x:v>
      </x:c>
      <x:c r="I24" s="152" t="n">
        <x:f>I23+G24-C24-F24</x:f>
        <x:v>0.08333333333333803</x:v>
      </x:c>
      <x:c r="J24" s="152" t="n">
        <x:f>C24*'Supuestos'!$B$15+E24*'Supuestos'!$B$16</x:f>
        <x:v>30060.953125</x:v>
      </x:c>
      <x:c r="K24" s="152" t="n">
        <x:f>(IF(A24='Supuestos'!$B$2-3,ROUNDUP('Supuestos'!$B$51/(1-'Supuestos'!$B$14),0),0)+IF(A24='Supuestos'!$B$2-1,0,H24))*((2*SUM('Supuestos'!B19:B20)+SUM('Supuestos'!B21:B22)+2*SUM('Supuestos'!B23:B24)+'Supuestos'!B25)-IF(A24&lt;='Supuestos'!$B$3,(2*'Supuestos'!B20+'Supuestos'!B22+2*'Supuestos'!B24),0))</x:f>
        <x:v>5447.96</x:v>
      </x:c>
      <x:c r="L24" s="152" t="n">
        <x:f>(IF(A24='Supuestos'!$B$2-2,ROUNDUP('Supuestos'!$B$51/(1-'Supuestos'!$B$14),0),0)+IF(A24='Supuestos'!$B$2-1,0,H24))*(((2*'Supuestos'!B19+'Supuestos'!B21+'Supuestos'!B25)+'Supuestos'!$B$26+'Supuestos'!$B$27)*'Supuestos'!$B$28+'Supuestos'!$B$26+'Supuestos'!$B$27+'Supuestos'!$B$29)+IF(A24='Supuestos'!$B$2-1,'Supuestos'!$B$30,0)</x:f>
        <x:v>2967.09</x:v>
      </x:c>
      <x:c r="M24" s="152" t="n">
        <x:f>E24*(('Supuestos'!$B$23+'Supuestos'!$B$24)/(1-'Supuestos'!$B$14)+'Supuestos'!$B$31)</x:f>
        <x:v>6273.563215277779</x:v>
      </x:c>
      <x:c r="N24" s="152" t="n">
        <x:f>IF(A24&lt;='Supuestos'!$B$3,'Supuestos'!$B$4,0)</x:f>
        <x:v>0</x:v>
      </x:c>
      <x:c r="O24" s="152" t="n">
        <x:f>'Supuestos'!$B$5+'Supuestos'!$B$6</x:f>
        <x:v>2500</x:v>
      </x:c>
      <x:c r="P24" s="152" t="n">
        <x:f>IF(AND(A24&gt;=2,A24&lt;=12),'Supuestos'!$B$7/11,0)+IF(AND(A24&gt;=3,A24&lt;=12),SUM('Supuestos'!$B$8:$B$10)/10,0)+IF(AND(A24&gt;=7,A24&lt;='Supuestos'!$B$3),SUM('Supuestos'!$B$11:$B$12)/('Supuestos'!$B$3-6),0)</x:f>
        <x:v>0</x:v>
      </x:c>
      <x:c r="Q24" s="152" t="n">
        <x:f>(P24+'Supuestos'!$B$6)*'Supuestos'!$B$13</x:f>
        <x:v>50</x:v>
      </x:c>
      <x:c r="R24" s="152" t="n">
        <x:f>J24*'Supuestos'!$B$32+IF(A24&gt;='Supuestos'!$B$2,CHOOSE(MIN(3,1+INT((A24-'Supuestos'!$B$2)/12)),'Supuestos'!$B$45,'Supuestos'!$B$46,'Supuestos'!$B$47)+CHOOSE(MIN(3,1+INT((A24-'Supuestos'!$B$2)/12)),'Supuestos'!$B$48,'Supuestos'!$B$49,'Supuestos'!$B$50)+CHOOSE(MIN(3,1+INT((A24-'Supuestos'!$B$2)/12)),'Supuestos'!$B$40,'Supuestos'!$B$41,'Supuestos'!$B$42)/12+D24*'Supuestos'!$B$43/100*'Supuestos'!$B$44,0)</x:f>
        <x:v>7852.181848956826</x:v>
      </x:c>
      <x:c r="S24" s="152" t="n">
        <x:f>SUM(K24:R24)</x:f>
        <x:v>25090.795064234604</x:v>
      </x:c>
      <x:c r="T24" s="152" t="n">
        <x:f>J24-S24</x:f>
        <x:v>4970.158060765396</x:v>
      </x:c>
      <x:c r="U24" s="152" t="n">
        <x:f>T24+U23</x:f>
        <x:v>-316614.8687100648</x:v>
      </x:c>
      <x:c r="V24" s="152" t="n">
        <x:f>T24/(1+'Supuestos'!$B$33)^(A24/12)</x:f>
        <x:v>3504.3392701220037</x:v>
      </x:c>
    </x:row>
    <x:row r="25" ht="42" customHeight="1">
      <x:c r="A25" s="147" t="n">
        <x:f>24</x:f>
        <x:v>24</x:v>
      </x:c>
      <x:c r="B25" s="147" t="n">
        <x:f>ROUNDUP(A25/12,0)</x:f>
        <x:v>2</x:v>
      </x:c>
      <x:c r="C25" s="152" t="n">
        <x:f>IF(A25&gt;='Supuestos'!$B$2,CHOOSE(MIN(3,1+INT((A25-'Supuestos'!$B$2)/12)),'Supuestos'!$B$34,'Supuestos'!$B$35,'Supuestos'!$B$36)/12,0)</x:f>
        <x:v>25</x:v>
      </x:c>
      <x:c r="D25" s="152" t="n">
        <x:f>D24*'Supuestos'!$B$17+C25</x:f>
        <x:v>132.4540546875</x:v>
      </x:c>
      <x:c r="E25" s="152" t="n">
        <x:f>MAX(0,D25*'Supuestos'!$B$18-2*C25)</x:f>
        <x:v>479.81621874999996</x:v>
      </x:c>
      <x:c r="F25" s="152" t="n">
        <x:f>IF(A25&gt;='Supuestos'!$B$2,CHOOSE(MIN(3,1+INT((A25-'Supuestos'!$B$2)/12)),'Supuestos'!$B$37,'Supuestos'!$B$38,'Supuestos'!$B$39)/12,0)</x:f>
        <x:v>0.5833333333333334</x:v>
      </x:c>
      <x:c r="G25" s="152" t="n">
        <x:f>IF(A25='Supuestos'!$B$2-1,'Supuestos'!$B$51,IF(A25&gt;='Supuestos'!$B$2,ROUNDUP(ROUND(MAX(0,C25+F25-I24),8),0),0))</x:f>
        <x:v>26</x:v>
      </x:c>
      <x:c r="H25" s="152" t="n">
        <x:f>ROUNDUP(ROUND(G25/(1-'Supuestos'!$B$14),8),0)</x:f>
        <x:v>29</x:v>
      </x:c>
      <x:c r="I25" s="152" t="n">
        <x:f>I24+G25-C25-F25</x:f>
        <x:v>0.5000000000000059</x:v>
      </x:c>
      <x:c r="J25" s="152" t="n">
        <x:f>C25*'Supuestos'!$B$15+E25*'Supuestos'!$B$16</x:f>
        <x:v>31995.40546875</x:v>
      </x:c>
      <x:c r="K25" s="152" t="n">
        <x:f>(IF(A25='Supuestos'!$B$2-3,ROUNDUP('Supuestos'!$B$51/(1-'Supuestos'!$B$14),0),0)+IF(A25='Supuestos'!$B$2-1,0,H25))*((2*SUM('Supuestos'!B19:B20)+SUM('Supuestos'!B21:B22)+2*SUM('Supuestos'!B23:B24)+'Supuestos'!B25)-IF(A25&lt;='Supuestos'!$B$3,(2*'Supuestos'!B20+'Supuestos'!B22+2*'Supuestos'!B24),0))</x:f>
        <x:v>5642.53</x:v>
      </x:c>
      <x:c r="L25" s="152" t="n">
        <x:f>(IF(A25='Supuestos'!$B$2-2,ROUNDUP('Supuestos'!$B$51/(1-'Supuestos'!$B$14),0),0)+IF(A25='Supuestos'!$B$2-1,0,H25))*(((2*'Supuestos'!B19+'Supuestos'!B21+'Supuestos'!B25)+'Supuestos'!$B$26+'Supuestos'!$B$27)*'Supuestos'!$B$28+'Supuestos'!$B$26+'Supuestos'!$B$27+'Supuestos'!$B$29)+IF(A25='Supuestos'!$B$2-1,'Supuestos'!$B$30,0)</x:f>
        <x:v>3073.0575</x:v>
      </x:c>
      <x:c r="M25" s="152" t="n">
        <x:f>E25*(('Supuestos'!$B$23+'Supuestos'!$B$24)/(1-'Supuestos'!$B$14)+'Supuestos'!$B$31)</x:f>
        <x:v>7479.801721180555</x:v>
      </x:c>
      <x:c r="N25" s="152" t="n">
        <x:f>IF(A25&lt;='Supuestos'!$B$3,'Supuestos'!$B$4,0)</x:f>
        <x:v>0</x:v>
      </x:c>
      <x:c r="O25" s="152" t="n">
        <x:f>'Supuestos'!$B$5+'Supuestos'!$B$6</x:f>
        <x:v>2500</x:v>
      </x:c>
      <x:c r="P25" s="152" t="n">
        <x:f>IF(AND(A25&gt;=2,A25&lt;=12),'Supuestos'!$B$7/11,0)+IF(AND(A25&gt;=3,A25&lt;=12),SUM('Supuestos'!$B$8:$B$10)/10,0)+IF(AND(A25&gt;=7,A25&lt;='Supuestos'!$B$3),SUM('Supuestos'!$B$11:$B$12)/('Supuestos'!$B$3-6),0)</x:f>
        <x:v>0</x:v>
      </x:c>
      <x:c r="Q25" s="152" t="n">
        <x:f>(P25+'Supuestos'!$B$6)*'Supuestos'!$B$13</x:f>
        <x:v>50</x:v>
      </x:c>
      <x:c r="R25" s="152" t="n">
        <x:f>J25*'Supuestos'!$B$32+IF(A25&gt;='Supuestos'!$B$2,CHOOSE(MIN(3,1+INT((A25-'Supuestos'!$B$2)/12)),'Supuestos'!$B$45,'Supuestos'!$B$46,'Supuestos'!$B$47)+CHOOSE(MIN(3,1+INT((A25-'Supuestos'!$B$2)/12)),'Supuestos'!$B$48,'Supuestos'!$B$49,'Supuestos'!$B$50)+CHOOSE(MIN(3,1+INT((A25-'Supuestos'!$B$2)/12)),'Supuestos'!$B$40,'Supuestos'!$B$41,'Supuestos'!$B$42)/12+D25*'Supuestos'!$B$43/100*'Supuestos'!$B$44,0)</x:f>
        <x:v>8119.781089841985</x:v>
      </x:c>
      <x:c r="S25" s="152" t="n">
        <x:f>SUM(K25:R25)</x:f>
        <x:v>26865.17031102254</x:v>
      </x:c>
      <x:c r="T25" s="152" t="n">
        <x:f>J25-S25</x:f>
        <x:v>5130.23515772746</x:v>
      </x:c>
      <x:c r="U25" s="152" t="n">
        <x:f>T25+U24</x:f>
        <x:v>-311484.63355233736</x:v>
      </x:c>
      <x:c r="V25" s="152" t="n">
        <x:f>T25/(1+'Supuestos'!$B$33)^(A25/12)</x:f>
        <x:v>3562.6633039774033</x:v>
      </x:c>
    </x:row>
    <x:row r="26" ht="42" customHeight="1">
      <x:c r="A26" s="147" t="n">
        <x:f>25</x:f>
        <x:v>25</x:v>
      </x:c>
      <x:c r="B26" s="147" t="n">
        <x:f>ROUNDUP(A26/12,0)</x:f>
        <x:v>3</x:v>
      </x:c>
      <x:c r="C26" s="152" t="n">
        <x:f>IF(A26&gt;='Supuestos'!$B$2,CHOOSE(MIN(3,1+INT((A26-'Supuestos'!$B$2)/12)),'Supuestos'!$B$34,'Supuestos'!$B$35,'Supuestos'!$B$36)/12,0)</x:f>
        <x:v>25</x:v>
      </x:c>
      <x:c r="D26" s="152" t="n">
        <x:f>D25*'Supuestos'!$B$17+C26</x:f>
        <x:v>150.83135195312497</x:v>
      </x:c>
      <x:c r="E26" s="152" t="n">
        <x:f>MAX(0,D26*'Supuestos'!$B$18-2*C26)</x:f>
        <x:v>553.3254078124999</x:v>
      </x:c>
      <x:c r="F26" s="152" t="n">
        <x:f>IF(A26&gt;='Supuestos'!$B$2,CHOOSE(MIN(3,1+INT((A26-'Supuestos'!$B$2)/12)),'Supuestos'!$B$37,'Supuestos'!$B$38,'Supuestos'!$B$39)/12,0)</x:f>
        <x:v>0.5833333333333334</x:v>
      </x:c>
      <x:c r="G26" s="152" t="n">
        <x:f>IF(A26='Supuestos'!$B$2-1,'Supuestos'!$B$51,IF(A26&gt;='Supuestos'!$B$2,ROUNDUP(ROUND(MAX(0,C26+F26-I25),8),0),0))</x:f>
        <x:v>26</x:v>
      </x:c>
      <x:c r="H26" s="152" t="n">
        <x:f>ROUNDUP(ROUND(G26/(1-'Supuestos'!$B$14),8),0)</x:f>
        <x:v>29</x:v>
      </x:c>
      <x:c r="I26" s="152" t="n">
        <x:f>I25+G26-C26-F26</x:f>
        <x:v>0.9166666666666737</x:v>
      </x:c>
      <x:c r="J26" s="152" t="n">
        <x:f>C26*'Supuestos'!$B$15+E26*'Supuestos'!$B$16</x:f>
        <x:v>33833.1351953125</x:v>
      </x:c>
      <x:c r="K26" s="152" t="n">
        <x:f>(IF(A26='Supuestos'!$B$2-3,ROUNDUP('Supuestos'!$B$51/(1-'Supuestos'!$B$14),0),0)+IF(A26='Supuestos'!$B$2-1,0,H26))*((2*SUM('Supuestos'!B19:B20)+SUM('Supuestos'!B21:B22)+2*SUM('Supuestos'!B23:B24)+'Supuestos'!B25)-IF(A26&lt;='Supuestos'!$B$3,(2*'Supuestos'!B20+'Supuestos'!B22+2*'Supuestos'!B24),0))</x:f>
        <x:v>5642.53</x:v>
      </x:c>
      <x:c r="L26" s="152" t="n">
        <x:f>(IF(A26='Supuestos'!$B$2-2,ROUNDUP('Supuestos'!$B$51/(1-'Supuestos'!$B$14),0),0)+IF(A26='Supuestos'!$B$2-1,0,H26))*(((2*'Supuestos'!B19+'Supuestos'!B21+'Supuestos'!B25)+'Supuestos'!$B$26+'Supuestos'!$B$27)*'Supuestos'!$B$28+'Supuestos'!$B$26+'Supuestos'!$B$27+'Supuestos'!$B$29)+IF(A26='Supuestos'!$B$2-1,'Supuestos'!$B$30,0)</x:f>
        <x:v>3073.0575</x:v>
      </x:c>
      <x:c r="M26" s="152" t="n">
        <x:f>E26*(('Supuestos'!$B$23+'Supuestos'!$B$24)/(1-'Supuestos'!$B$14)+'Supuestos'!$B$31)</x:f>
        <x:v>8625.728301788193</x:v>
      </x:c>
      <x:c r="N26" s="152" t="n">
        <x:f>IF(A26&lt;='Supuestos'!$B$3,'Supuestos'!$B$4,0)</x:f>
        <x:v>0</x:v>
      </x:c>
      <x:c r="O26" s="152" t="n">
        <x:f>'Supuestos'!$B$5+'Supuestos'!$B$6</x:f>
        <x:v>2500</x:v>
      </x:c>
      <x:c r="P26" s="152" t="n">
        <x:f>IF(AND(A26&gt;=2,A26&lt;=12),'Supuestos'!$B$7/11,0)+IF(AND(A26&gt;=3,A26&lt;=12),SUM('Supuestos'!$B$8:$B$10)/10,0)+IF(AND(A26&gt;=7,A26&lt;='Supuestos'!$B$3),SUM('Supuestos'!$B$11:$B$12)/('Supuestos'!$B$3-6),0)</x:f>
        <x:v>0</x:v>
      </x:c>
      <x:c r="Q26" s="152" t="n">
        <x:f>(P26+'Supuestos'!$B$6)*'Supuestos'!$B$13</x:f>
        <x:v>50</x:v>
      </x:c>
      <x:c r="R26" s="152" t="n">
        <x:f>J26*'Supuestos'!$B$32+IF(A26&gt;='Supuestos'!$B$2,CHOOSE(MIN(3,1+INT((A26-'Supuestos'!$B$2)/12)),'Supuestos'!$B$45,'Supuestos'!$B$46,'Supuestos'!$B$47)+CHOOSE(MIN(3,1+INT((A26-'Supuestos'!$B$2)/12)),'Supuestos'!$B$48,'Supuestos'!$B$49,'Supuestos'!$B$50)+CHOOSE(MIN(3,1+INT((A26-'Supuestos'!$B$2)/12)),'Supuestos'!$B$40,'Supuestos'!$B$41,'Supuestos'!$B$42)/12+D26*'Supuestos'!$B$43/100*'Supuestos'!$B$44,0)</x:f>
        <x:v>8374.000368682884</x:v>
      </x:c>
      <x:c r="S26" s="152" t="n">
        <x:f>SUM(K26:R26)</x:f>
        <x:v>28265.31617047108</x:v>
      </x:c>
      <x:c r="T26" s="152" t="n">
        <x:f>J26-S26</x:f>
        <x:v>5567.819024841418</x:v>
      </x:c>
      <x:c r="U26" s="152" t="n">
        <x:f>T26+U25</x:f>
        <x:v>-305916.81452749594</x:v>
      </x:c>
      <x:c r="V26" s="152" t="n">
        <x:f>T26/(1+'Supuestos'!$B$33)^(A26/12)</x:f>
        <x:v>3808.2388688545484</x:v>
      </x:c>
    </x:row>
    <x:row r="27" ht="42" customHeight="1">
      <x:c r="A27" s="147" t="n">
        <x:f>26</x:f>
        <x:v>26</x:v>
      </x:c>
      <x:c r="B27" s="147" t="n">
        <x:f>ROUNDUP(A27/12,0)</x:f>
        <x:v>3</x:v>
      </x:c>
      <x:c r="C27" s="152" t="n">
        <x:f>IF(A27&gt;='Supuestos'!$B$2,CHOOSE(MIN(3,1+INT((A27-'Supuestos'!$B$2)/12)),'Supuestos'!$B$34,'Supuestos'!$B$35,'Supuestos'!$B$36)/12,0)</x:f>
        <x:v>25</x:v>
      </x:c>
      <x:c r="D27" s="152" t="n">
        <x:f>D26*'Supuestos'!$B$17+C27</x:f>
        <x:v>168.2897843554687</x:v>
      </x:c>
      <x:c r="E27" s="152" t="n">
        <x:f>MAX(0,D27*'Supuestos'!$B$18-2*C27)</x:f>
        <x:v>623.1591374218748</x:v>
      </x:c>
      <x:c r="F27" s="152" t="n">
        <x:f>IF(A27&gt;='Supuestos'!$B$2,CHOOSE(MIN(3,1+INT((A27-'Supuestos'!$B$2)/12)),'Supuestos'!$B$37,'Supuestos'!$B$38,'Supuestos'!$B$39)/12,0)</x:f>
        <x:v>0.5833333333333334</x:v>
      </x:c>
      <x:c r="G27" s="152" t="n">
        <x:f>IF(A27='Supuestos'!$B$2-1,'Supuestos'!$B$51,IF(A27&gt;='Supuestos'!$B$2,ROUNDUP(ROUND(MAX(0,C27+F27-I26),8),0),0))</x:f>
        <x:v>25</x:v>
      </x:c>
      <x:c r="H27" s="152" t="n">
        <x:f>ROUNDUP(ROUND(G27/(1-'Supuestos'!$B$14),8),0)</x:f>
        <x:v>28</x:v>
      </x:c>
      <x:c r="I27" s="152" t="n">
        <x:f>I26+G27-C27-F27</x:f>
        <x:v>0.3333333333333416</x:v>
      </x:c>
      <x:c r="J27" s="152" t="n">
        <x:f>C27*'Supuestos'!$B$15+E27*'Supuestos'!$B$16</x:f>
        <x:v>35578.97843554687</x:v>
      </x:c>
      <x:c r="K27" s="152" t="n">
        <x:f>(IF(A27='Supuestos'!$B$2-3,ROUNDUP('Supuestos'!$B$51/(1-'Supuestos'!$B$14),0),0)+IF(A27='Supuestos'!$B$2-1,0,H27))*((2*SUM('Supuestos'!B19:B20)+SUM('Supuestos'!B21:B22)+2*SUM('Supuestos'!B23:B24)+'Supuestos'!B25)-IF(A27&lt;='Supuestos'!$B$3,(2*'Supuestos'!B20+'Supuestos'!B22+2*'Supuestos'!B24),0))</x:f>
        <x:v>5447.96</x:v>
      </x:c>
      <x:c r="L27" s="152" t="n">
        <x:f>(IF(A27='Supuestos'!$B$2-2,ROUNDUP('Supuestos'!$B$51/(1-'Supuestos'!$B$14),0),0)+IF(A27='Supuestos'!$B$2-1,0,H27))*(((2*'Supuestos'!B19+'Supuestos'!B21+'Supuestos'!B25)+'Supuestos'!$B$26+'Supuestos'!$B$27)*'Supuestos'!$B$28+'Supuestos'!$B$26+'Supuestos'!$B$27+'Supuestos'!$B$29)+IF(A27='Supuestos'!$B$2-1,'Supuestos'!$B$30,0)</x:f>
        <x:v>2967.09</x:v>
      </x:c>
      <x:c r="M27" s="152" t="n">
        <x:f>E27*(('Supuestos'!$B$23+'Supuestos'!$B$24)/(1-'Supuestos'!$B$14)+'Supuestos'!$B$31)</x:f>
        <x:v>9714.35855336545</x:v>
      </x:c>
      <x:c r="N27" s="152" t="n">
        <x:f>IF(A27&lt;='Supuestos'!$B$3,'Supuestos'!$B$4,0)</x:f>
        <x:v>0</x:v>
      </x:c>
      <x:c r="O27" s="152" t="n">
        <x:f>'Supuestos'!$B$5+'Supuestos'!$B$6</x:f>
        <x:v>2500</x:v>
      </x:c>
      <x:c r="P27" s="152" t="n">
        <x:f>IF(AND(A27&gt;=2,A27&lt;=12),'Supuestos'!$B$7/11,0)+IF(AND(A27&gt;=3,A27&lt;=12),SUM('Supuestos'!$B$8:$B$10)/10,0)+IF(AND(A27&gt;=7,A27&lt;='Supuestos'!$B$3),SUM('Supuestos'!$B$11:$B$12)/('Supuestos'!$B$3-6),0)</x:f>
        <x:v>0</x:v>
      </x:c>
      <x:c r="Q27" s="152" t="n">
        <x:f>(P27+'Supuestos'!$B$6)*'Supuestos'!$B$13</x:f>
        <x:v>50</x:v>
      </x:c>
      <x:c r="R27" s="152" t="n">
        <x:f>J27*'Supuestos'!$B$32+IF(A27&gt;='Supuestos'!$B$2,CHOOSE(MIN(3,1+INT((A27-'Supuestos'!$B$2)/12)),'Supuestos'!$B$45,'Supuestos'!$B$46,'Supuestos'!$B$47)+CHOOSE(MIN(3,1+INT((A27-'Supuestos'!$B$2)/12)),'Supuestos'!$B$48,'Supuestos'!$B$49,'Supuestos'!$B$50)+CHOOSE(MIN(3,1+INT((A27-'Supuestos'!$B$2)/12)),'Supuestos'!$B$40,'Supuestos'!$B$41,'Supuestos'!$B$42)/12+D27*'Supuestos'!$B$43/100*'Supuestos'!$B$44,0)</x:f>
        <x:v>8615.50868358174</x:v>
      </x:c>
      <x:c r="S27" s="152" t="n">
        <x:f>SUM(K27:R27)</x:f>
        <x:v>29294.917236947193</x:v>
      </x:c>
      <x:c r="T27" s="152" t="n">
        <x:f>J27-S27</x:f>
        <x:v>6284.06119859968</x:v>
      </x:c>
      <x:c r="U27" s="152" t="n">
        <x:f>T27+U26</x:f>
        <x:v>-299632.75332889624</x:v>
      </x:c>
      <x:c r="V27" s="152" t="n">
        <x:f>T27/(1+'Supuestos'!$B$33)^(A27/12)</x:f>
        <x:v>4233.3194252736575</x:v>
      </x:c>
    </x:row>
    <x:row r="28" ht="42" customHeight="1">
      <x:c r="A28" s="147" t="n">
        <x:f>27</x:f>
        <x:v>27</x:v>
      </x:c>
      <x:c r="B28" s="147" t="n">
        <x:f>ROUNDUP(A28/12,0)</x:f>
        <x:v>3</x:v>
      </x:c>
      <x:c r="C28" s="152" t="n">
        <x:f>IF(A28&gt;='Supuestos'!$B$2,CHOOSE(MIN(3,1+INT((A28-'Supuestos'!$B$2)/12)),'Supuestos'!$B$34,'Supuestos'!$B$35,'Supuestos'!$B$36)/12,0)</x:f>
        <x:v>25</x:v>
      </x:c>
      <x:c r="D28" s="152" t="n">
        <x:f>D27*'Supuestos'!$B$17+C28</x:f>
        <x:v>184.87529513769525</x:v>
      </x:c>
      <x:c r="E28" s="152" t="n">
        <x:f>MAX(0,D28*'Supuestos'!$B$18-2*C28)</x:f>
        <x:v>689.501180550781</x:v>
      </x:c>
      <x:c r="F28" s="152" t="n">
        <x:f>IF(A28&gt;='Supuestos'!$B$2,CHOOSE(MIN(3,1+INT((A28-'Supuestos'!$B$2)/12)),'Supuestos'!$B$37,'Supuestos'!$B$38,'Supuestos'!$B$39)/12,0)</x:f>
        <x:v>0.5833333333333334</x:v>
      </x:c>
      <x:c r="G28" s="152" t="n">
        <x:f>IF(A28='Supuestos'!$B$2-1,'Supuestos'!$B$51,IF(A28&gt;='Supuestos'!$B$2,ROUNDUP(ROUND(MAX(0,C28+F28-I27),8),0),0))</x:f>
        <x:v>26</x:v>
      </x:c>
      <x:c r="H28" s="152" t="n">
        <x:f>ROUNDUP(ROUND(G28/(1-'Supuestos'!$B$14),8),0)</x:f>
        <x:v>29</x:v>
      </x:c>
      <x:c r="I28" s="152" t="n">
        <x:f>I27+G28-C28-F28</x:f>
        <x:v>0.7500000000000094</x:v>
      </x:c>
      <x:c r="J28" s="152" t="n">
        <x:f>C28*'Supuestos'!$B$15+E28*'Supuestos'!$B$16</x:f>
        <x:v>37237.52951376952</x:v>
      </x:c>
      <x:c r="K28" s="152" t="n">
        <x:f>(IF(A28='Supuestos'!$B$2-3,ROUNDUP('Supuestos'!$B$51/(1-'Supuestos'!$B$14),0),0)+IF(A28='Supuestos'!$B$2-1,0,H28))*((2*SUM('Supuestos'!B19:B20)+SUM('Supuestos'!B21:B22)+2*SUM('Supuestos'!B23:B24)+'Supuestos'!B25)-IF(A28&lt;='Supuestos'!$B$3,(2*'Supuestos'!B20+'Supuestos'!B22+2*'Supuestos'!B24),0))</x:f>
        <x:v>5642.53</x:v>
      </x:c>
      <x:c r="L28" s="152" t="n">
        <x:f>(IF(A28='Supuestos'!$B$2-2,ROUNDUP('Supuestos'!$B$51/(1-'Supuestos'!$B$14),0),0)+IF(A28='Supuestos'!$B$2-1,0,H28))*(((2*'Supuestos'!B19+'Supuestos'!B21+'Supuestos'!B25)+'Supuestos'!$B$26+'Supuestos'!$B$27)*'Supuestos'!$B$28+'Supuestos'!$B$26+'Supuestos'!$B$27+'Supuestos'!$B$29)+IF(A28='Supuestos'!$B$2-1,'Supuestos'!$B$30,0)</x:f>
        <x:v>3073.0575</x:v>
      </x:c>
      <x:c r="M28" s="152" t="n">
        <x:f>E28*(('Supuestos'!$B$23+'Supuestos'!$B$24)/(1-'Supuestos'!$B$14)+'Supuestos'!$B$31)</x:f>
        <x:v>10748.557292363843</x:v>
      </x:c>
      <x:c r="N28" s="152" t="n">
        <x:f>IF(A28&lt;='Supuestos'!$B$3,'Supuestos'!$B$4,0)</x:f>
        <x:v>0</x:v>
      </x:c>
      <x:c r="O28" s="152" t="n">
        <x:f>'Supuestos'!$B$5+'Supuestos'!$B$6</x:f>
        <x:v>2500</x:v>
      </x:c>
      <x:c r="P28" s="152" t="n">
        <x:f>IF(AND(A28&gt;=2,A28&lt;=12),'Supuestos'!$B$7/11,0)+IF(AND(A28&gt;=3,A28&lt;=12),SUM('Supuestos'!$B$8:$B$10)/10,0)+IF(AND(A28&gt;=7,A28&lt;='Supuestos'!$B$3),SUM('Supuestos'!$B$11:$B$12)/('Supuestos'!$B$3-6),0)</x:f>
        <x:v>0</x:v>
      </x:c>
      <x:c r="Q28" s="152" t="n">
        <x:f>(P28+'Supuestos'!$B$6)*'Supuestos'!$B$13</x:f>
        <x:v>50</x:v>
      </x:c>
      <x:c r="R28" s="152" t="n">
        <x:f>J28*'Supuestos'!$B$32+IF(A28&gt;='Supuestos'!$B$2,CHOOSE(MIN(3,1+INT((A28-'Supuestos'!$B$2)/12)),'Supuestos'!$B$45,'Supuestos'!$B$46,'Supuestos'!$B$47)+CHOOSE(MIN(3,1+INT((A28-'Supuestos'!$B$2)/12)),'Supuestos'!$B$48,'Supuestos'!$B$49,'Supuestos'!$B$50)+CHOOSE(MIN(3,1+INT((A28-'Supuestos'!$B$2)/12)),'Supuestos'!$B$40,'Supuestos'!$B$41,'Supuestos'!$B$42)/12+D28*'Supuestos'!$B$43/100*'Supuestos'!$B$44,0)</x:f>
        <x:v>8844.941582735653</x:v>
      </x:c>
      <x:c r="S28" s="152" t="n">
        <x:f>SUM(K28:R28)</x:f>
        <x:v>30859.086375099494</x:v>
      </x:c>
      <x:c r="T28" s="152" t="n">
        <x:f>J28-S28</x:f>
        <x:v>6378.443138670027</x:v>
      </x:c>
      <x:c r="U28" s="152" t="n">
        <x:f>T28+U27</x:f>
        <x:v>-293254.31019022624</x:v>
      </x:c>
      <x:c r="V28" s="152" t="n">
        <x:f>T28/(1+'Supuestos'!$B$33)^(A28/12)</x:f>
        <x:v>4232.10939050533</x:v>
      </x:c>
    </x:row>
    <x:row r="29" ht="42" customHeight="1">
      <x:c r="A29" s="147" t="n">
        <x:f>28</x:f>
        <x:v>28</x:v>
      </x:c>
      <x:c r="B29" s="147" t="n">
        <x:f>ROUNDUP(A29/12,0)</x:f>
        <x:v>3</x:v>
      </x:c>
      <x:c r="C29" s="152" t="n">
        <x:f>IF(A29&gt;='Supuestos'!$B$2,CHOOSE(MIN(3,1+INT((A29-'Supuestos'!$B$2)/12)),'Supuestos'!$B$34,'Supuestos'!$B$35,'Supuestos'!$B$36)/12,0)</x:f>
        <x:v>25</x:v>
      </x:c>
      <x:c r="D29" s="152" t="n">
        <x:f>D28*'Supuestos'!$B$17+C29</x:f>
        <x:v>200.6315303808105</x:v>
      </x:c>
      <x:c r="E29" s="152" t="n">
        <x:f>MAX(0,D29*'Supuestos'!$B$18-2*C29)</x:f>
        <x:v>752.526121523242</x:v>
      </x:c>
      <x:c r="F29" s="152" t="n">
        <x:f>IF(A29&gt;='Supuestos'!$B$2,CHOOSE(MIN(3,1+INT((A29-'Supuestos'!$B$2)/12)),'Supuestos'!$B$37,'Supuestos'!$B$38,'Supuestos'!$B$39)/12,0)</x:f>
        <x:v>0.5833333333333334</x:v>
      </x:c>
      <x:c r="G29" s="152" t="n">
        <x:f>IF(A29='Supuestos'!$B$2-1,'Supuestos'!$B$51,IF(A29&gt;='Supuestos'!$B$2,ROUNDUP(ROUND(MAX(0,C29+F29-I28),8),0),0))</x:f>
        <x:v>25</x:v>
      </x:c>
      <x:c r="H29" s="152" t="n">
        <x:f>ROUNDUP(ROUND(G29/(1-'Supuestos'!$B$14),8),0)</x:f>
        <x:v>28</x:v>
      </x:c>
      <x:c r="I29" s="152" t="n">
        <x:f>I28+G29-C29-F29</x:f>
        <x:v>0.1666666666666773</x:v>
      </x:c>
      <x:c r="J29" s="152" t="n">
        <x:f>C29*'Supuestos'!$B$15+E29*'Supuestos'!$B$16</x:f>
        <x:v>38813.15303808104</x:v>
      </x:c>
      <x:c r="K29" s="152" t="n">
        <x:f>(IF(A29='Supuestos'!$B$2-3,ROUNDUP('Supuestos'!$B$51/(1-'Supuestos'!$B$14),0),0)+IF(A29='Supuestos'!$B$2-1,0,H29))*((2*SUM('Supuestos'!B19:B20)+SUM('Supuestos'!B21:B22)+2*SUM('Supuestos'!B23:B24)+'Supuestos'!B25)-IF(A29&lt;='Supuestos'!$B$3,(2*'Supuestos'!B20+'Supuestos'!B22+2*'Supuestos'!B24),0))</x:f>
        <x:v>5447.96</x:v>
      </x:c>
      <x:c r="L29" s="152" t="n">
        <x:f>(IF(A29='Supuestos'!$B$2-2,ROUNDUP('Supuestos'!$B$51/(1-'Supuestos'!$B$14),0),0)+IF(A29='Supuestos'!$B$2-1,0,H29))*(((2*'Supuestos'!B19+'Supuestos'!B21+'Supuestos'!B25)+'Supuestos'!$B$26+'Supuestos'!$B$27)*'Supuestos'!$B$28+'Supuestos'!$B$26+'Supuestos'!$B$27+'Supuestos'!$B$29)+IF(A29='Supuestos'!$B$2-1,'Supuestos'!$B$30,0)</x:f>
        <x:v>2967.09</x:v>
      </x:c>
      <x:c r="M29" s="152" t="n">
        <x:f>E29*(('Supuestos'!$B$23+'Supuestos'!$B$24)/(1-'Supuestos'!$B$14)+'Supuestos'!$B$31)</x:f>
        <x:v>11731.046094412317</x:v>
      </x:c>
      <x:c r="N29" s="152" t="n">
        <x:f>IF(A29&lt;='Supuestos'!$B$3,'Supuestos'!$B$4,0)</x:f>
        <x:v>0</x:v>
      </x:c>
      <x:c r="O29" s="152" t="n">
        <x:f>'Supuestos'!$B$5+'Supuestos'!$B$6</x:f>
        <x:v>2500</x:v>
      </x:c>
      <x:c r="P29" s="152" t="n">
        <x:f>IF(AND(A29&gt;=2,A29&lt;=12),'Supuestos'!$B$7/11,0)+IF(AND(A29&gt;=3,A29&lt;=12),SUM('Supuestos'!$B$8:$B$10)/10,0)+IF(AND(A29&gt;=7,A29&lt;='Supuestos'!$B$3),SUM('Supuestos'!$B$11:$B$12)/('Supuestos'!$B$3-6),0)</x:f>
        <x:v>0</x:v>
      </x:c>
      <x:c r="Q29" s="152" t="n">
        <x:f>(P29+'Supuestos'!$B$6)*'Supuestos'!$B$13</x:f>
        <x:v>50</x:v>
      </x:c>
      <x:c r="R29" s="152" t="n">
        <x:f>J29*'Supuestos'!$B$32+IF(A29&gt;='Supuestos'!$B$2,CHOOSE(MIN(3,1+INT((A29-'Supuestos'!$B$2)/12)),'Supuestos'!$B$45,'Supuestos'!$B$46,'Supuestos'!$B$47)+CHOOSE(MIN(3,1+INT((A29-'Supuestos'!$B$2)/12)),'Supuestos'!$B$48,'Supuestos'!$B$49,'Supuestos'!$B$50)+CHOOSE(MIN(3,1+INT((A29-'Supuestos'!$B$2)/12)),'Supuestos'!$B$40,'Supuestos'!$B$41,'Supuestos'!$B$42)/12+D29*'Supuestos'!$B$43/100*'Supuestos'!$B$44,0)</x:f>
        <x:v>9062.90283693187</x:v>
      </x:c>
      <x:c r="S29" s="152" t="n">
        <x:f>SUM(K29:R29)</x:f>
        <x:v>31758.998931344184</x:v>
      </x:c>
      <x:c r="T29" s="152" t="n">
        <x:f>J29-S29</x:f>
        <x:v>7054.15410673686</x:v>
      </x:c>
      <x:c r="U29" s="152" t="n">
        <x:f>T29+U28</x:f>
        <x:v>-286200.15608348936</x:v>
      </x:c>
      <x:c r="V29" s="152" t="n">
        <x:f>T29/(1+'Supuestos'!$B$33)^(A29/12)</x:f>
        <x:v>4609.870255360037</x:v>
      </x:c>
    </x:row>
    <x:row r="30" ht="42" customHeight="1">
      <x:c r="A30" s="147" t="n">
        <x:f>29</x:f>
        <x:v>29</x:v>
      </x:c>
      <x:c r="B30" s="147" t="n">
        <x:f>ROUNDUP(A30/12,0)</x:f>
        <x:v>3</x:v>
      </x:c>
      <x:c r="C30" s="152" t="n">
        <x:f>IF(A30&gt;='Supuestos'!$B$2,CHOOSE(MIN(3,1+INT((A30-'Supuestos'!$B$2)/12)),'Supuestos'!$B$34,'Supuestos'!$B$35,'Supuestos'!$B$36)/12,0)</x:f>
        <x:v>25</x:v>
      </x:c>
      <x:c r="D30" s="152" t="n">
        <x:f>D29*'Supuestos'!$B$17+C30</x:f>
        <x:v>215.59995386176996</x:v>
      </x:c>
      <x:c r="E30" s="152" t="n">
        <x:f>MAX(0,D30*'Supuestos'!$B$18-2*C30)</x:f>
        <x:v>812.3998154470798</x:v>
      </x:c>
      <x:c r="F30" s="152" t="n">
        <x:f>IF(A30&gt;='Supuestos'!$B$2,CHOOSE(MIN(3,1+INT((A30-'Supuestos'!$B$2)/12)),'Supuestos'!$B$37,'Supuestos'!$B$38,'Supuestos'!$B$39)/12,0)</x:f>
        <x:v>0.5833333333333334</x:v>
      </x:c>
      <x:c r="G30" s="152" t="n">
        <x:f>IF(A30='Supuestos'!$B$2-1,'Supuestos'!$B$51,IF(A30&gt;='Supuestos'!$B$2,ROUNDUP(ROUND(MAX(0,C30+F30-I29),8),0),0))</x:f>
        <x:v>26</x:v>
      </x:c>
      <x:c r="H30" s="152" t="n">
        <x:f>ROUNDUP(ROUND(G30/(1-'Supuestos'!$B$14),8),0)</x:f>
        <x:v>29</x:v>
      </x:c>
      <x:c r="I30" s="152" t="n">
        <x:f>I29+G30-C30-F30</x:f>
        <x:v>0.5833333333333451</x:v>
      </x:c>
      <x:c r="J30" s="152" t="n">
        <x:f>C30*'Supuestos'!$B$15+E30*'Supuestos'!$B$16</x:f>
        <x:v>40309.995386177</x:v>
      </x:c>
      <x:c r="K30" s="152" t="n">
        <x:f>(IF(A30='Supuestos'!$B$2-3,ROUNDUP('Supuestos'!$B$51/(1-'Supuestos'!$B$14),0),0)+IF(A30='Supuestos'!$B$2-1,0,H30))*((2*SUM('Supuestos'!B19:B20)+SUM('Supuestos'!B21:B22)+2*SUM('Supuestos'!B23:B24)+'Supuestos'!B25)-IF(A30&lt;='Supuestos'!$B$3,(2*'Supuestos'!B20+'Supuestos'!B22+2*'Supuestos'!B24),0))</x:f>
        <x:v>5642.53</x:v>
      </x:c>
      <x:c r="L30" s="152" t="n">
        <x:f>(IF(A30='Supuestos'!$B$2-2,ROUNDUP('Supuestos'!$B$51/(1-'Supuestos'!$B$14),0),0)+IF(A30='Supuestos'!$B$2-1,0,H30))*(((2*'Supuestos'!B19+'Supuestos'!B21+'Supuestos'!B25)+'Supuestos'!$B$26+'Supuestos'!$B$27)*'Supuestos'!$B$28+'Supuestos'!$B$26+'Supuestos'!$B$27+'Supuestos'!$B$29)+IF(A30='Supuestos'!$B$2-1,'Supuestos'!$B$30,0)</x:f>
        <x:v>3073.0575</x:v>
      </x:c>
      <x:c r="M30" s="152" t="n">
        <x:f>E30*(('Supuestos'!$B$23+'Supuestos'!$B$24)/(1-'Supuestos'!$B$14)+'Supuestos'!$B$31)</x:f>
        <x:v>12664.410456358368</x:v>
      </x:c>
      <x:c r="N30" s="152" t="n">
        <x:f>IF(A30&lt;='Supuestos'!$B$3,'Supuestos'!$B$4,0)</x:f>
        <x:v>0</x:v>
      </x:c>
      <x:c r="O30" s="152" t="n">
        <x:f>'Supuestos'!$B$5+'Supuestos'!$B$6</x:f>
        <x:v>2500</x:v>
      </x:c>
      <x:c r="P30" s="152" t="n">
        <x:f>IF(AND(A30&gt;=2,A30&lt;=12),'Supuestos'!$B$7/11,0)+IF(AND(A30&gt;=3,A30&lt;=12),SUM('Supuestos'!$B$8:$B$10)/10,0)+IF(AND(A30&gt;=7,A30&lt;='Supuestos'!$B$3),SUM('Supuestos'!$B$11:$B$12)/('Supuestos'!$B$3-6),0)</x:f>
        <x:v>0</x:v>
      </x:c>
      <x:c r="Q30" s="152" t="n">
        <x:f>(P30+'Supuestos'!$B$6)*'Supuestos'!$B$13</x:f>
        <x:v>50</x:v>
      </x:c>
      <x:c r="R30" s="152" t="n">
        <x:f>J30*'Supuestos'!$B$32+IF(A30&gt;='Supuestos'!$B$2,CHOOSE(MIN(3,1+INT((A30-'Supuestos'!$B$2)/12)),'Supuestos'!$B$45,'Supuestos'!$B$46,'Supuestos'!$B$47)+CHOOSE(MIN(3,1+INT((A30-'Supuestos'!$B$2)/12)),'Supuestos'!$B$48,'Supuestos'!$B$49,'Supuestos'!$B$50)+CHOOSE(MIN(3,1+INT((A30-'Supuestos'!$B$2)/12)),'Supuestos'!$B$40,'Supuestos'!$B$41,'Supuestos'!$B$42)/12+D30*'Supuestos'!$B$43/100*'Supuestos'!$B$44,0)</x:f>
        <x:v>9269.966028418277</x:v>
      </x:c>
      <x:c r="S30" s="152" t="n">
        <x:f>SUM(K30:R30)</x:f>
        <x:v>33199.963984776645</x:v>
      </x:c>
      <x:c r="T30" s="152" t="n">
        <x:f>J30-S30</x:f>
        <x:v>7110.0314014003525</x:v>
      </x:c>
      <x:c r="U30" s="152" t="n">
        <x:f>T30+U29</x:f>
        <x:v>-279090.124682089</x:v>
      </x:c>
      <x:c r="V30" s="152" t="n">
        <x:f>T30/(1+'Supuestos'!$B$33)^(A30/12)</x:f>
        <x:v>4576.324803748438</x:v>
      </x:c>
    </x:row>
    <x:row r="31" ht="42" customHeight="1">
      <x:c r="A31" s="147" t="n">
        <x:f>30</x:f>
        <x:v>30</x:v>
      </x:c>
      <x:c r="B31" s="147" t="n">
        <x:f>ROUNDUP(A31/12,0)</x:f>
        <x:v>3</x:v>
      </x:c>
      <x:c r="C31" s="152" t="n">
        <x:f>IF(A31&gt;='Supuestos'!$B$2,CHOOSE(MIN(3,1+INT((A31-'Supuestos'!$B$2)/12)),'Supuestos'!$B$34,'Supuestos'!$B$35,'Supuestos'!$B$36)/12,0)</x:f>
        <x:v>25</x:v>
      </x:c>
      <x:c r="D31" s="152" t="n">
        <x:f>D30*'Supuestos'!$B$17+C31</x:f>
        <x:v>229.81995616868144</x:v>
      </x:c>
      <x:c r="E31" s="152" t="n">
        <x:f>MAX(0,D31*'Supuestos'!$B$18-2*C31)</x:f>
        <x:v>869.2798246747258</x:v>
      </x:c>
      <x:c r="F31" s="152" t="n">
        <x:f>IF(A31&gt;='Supuestos'!$B$2,CHOOSE(MIN(3,1+INT((A31-'Supuestos'!$B$2)/12)),'Supuestos'!$B$37,'Supuestos'!$B$38,'Supuestos'!$B$39)/12,0)</x:f>
        <x:v>0.5833333333333334</x:v>
      </x:c>
      <x:c r="G31" s="152" t="n">
        <x:f>IF(A31='Supuestos'!$B$2-1,'Supuestos'!$B$51,IF(A31&gt;='Supuestos'!$B$2,ROUNDUP(ROUND(MAX(0,C31+F31-I30),8),0),0))</x:f>
        <x:v>25</x:v>
      </x:c>
      <x:c r="H31" s="152" t="n">
        <x:f>ROUNDUP(ROUND(G31/(1-'Supuestos'!$B$14),8),0)</x:f>
        <x:v>28</x:v>
      </x:c>
      <x:c r="I31" s="152" t="n">
        <x:f>I30+G31-C31-F31</x:f>
        <x:v>1.2989609388114332e-14</x:v>
      </x:c>
      <x:c r="J31" s="152" t="n">
        <x:f>C31*'Supuestos'!$B$15+E31*'Supuestos'!$B$16</x:f>
        <x:v>41731.995616868146</x:v>
      </x:c>
      <x:c r="K31" s="152" t="n">
        <x:f>(IF(A31='Supuestos'!$B$2-3,ROUNDUP('Supuestos'!$B$51/(1-'Supuestos'!$B$14),0),0)+IF(A31='Supuestos'!$B$2-1,0,H31))*((2*SUM('Supuestos'!B19:B20)+SUM('Supuestos'!B21:B22)+2*SUM('Supuestos'!B23:B24)+'Supuestos'!B25)-IF(A31&lt;='Supuestos'!$B$3,(2*'Supuestos'!B20+'Supuestos'!B22+2*'Supuestos'!B24),0))</x:f>
        <x:v>5447.96</x:v>
      </x:c>
      <x:c r="L31" s="152" t="n">
        <x:f>(IF(A31='Supuestos'!$B$2-2,ROUNDUP('Supuestos'!$B$51/(1-'Supuestos'!$B$14),0),0)+IF(A31='Supuestos'!$B$2-1,0,H31))*(((2*'Supuestos'!B19+'Supuestos'!B21+'Supuestos'!B25)+'Supuestos'!$B$26+'Supuestos'!$B$27)*'Supuestos'!$B$28+'Supuestos'!$B$26+'Supuestos'!$B$27+'Supuestos'!$B$29)+IF(A31='Supuestos'!$B$2-1,'Supuestos'!$B$30,0)</x:f>
        <x:v>2967.09</x:v>
      </x:c>
      <x:c r="M31" s="152" t="n">
        <x:f>E31*(('Supuestos'!$B$23+'Supuestos'!$B$24)/(1-'Supuestos'!$B$14)+'Supuestos'!$B$31)</x:f>
        <x:v>13551.106600207115</x:v>
      </x:c>
      <x:c r="N31" s="152" t="n">
        <x:f>IF(A31&lt;='Supuestos'!$B$3,'Supuestos'!$B$4,0)</x:f>
        <x:v>0</x:v>
      </x:c>
      <x:c r="O31" s="152" t="n">
        <x:f>'Supuestos'!$B$5+'Supuestos'!$B$6</x:f>
        <x:v>2500</x:v>
      </x:c>
      <x:c r="P31" s="152" t="n">
        <x:f>IF(AND(A31&gt;=2,A31&lt;=12),'Supuestos'!$B$7/11,0)+IF(AND(A31&gt;=3,A31&lt;=12),SUM('Supuestos'!$B$8:$B$10)/10,0)+IF(AND(A31&gt;=7,A31&lt;='Supuestos'!$B$3),SUM('Supuestos'!$B$11:$B$12)/('Supuestos'!$B$3-6),0)</x:f>
        <x:v>0</x:v>
      </x:c>
      <x:c r="Q31" s="152" t="n">
        <x:f>(P31+'Supuestos'!$B$6)*'Supuestos'!$B$13</x:f>
        <x:v>50</x:v>
      </x:c>
      <x:c r="R31" s="152" t="n">
        <x:f>J31*'Supuestos'!$B$32+IF(A31&gt;='Supuestos'!$B$2,CHOOSE(MIN(3,1+INT((A31-'Supuestos'!$B$2)/12)),'Supuestos'!$B$45,'Supuestos'!$B$46,'Supuestos'!$B$47)+CHOOSE(MIN(3,1+INT((A31-'Supuestos'!$B$2)/12)),'Supuestos'!$B$48,'Supuestos'!$B$49,'Supuestos'!$B$50)+CHOOSE(MIN(3,1+INT((A31-'Supuestos'!$B$2)/12)),'Supuestos'!$B$40,'Supuestos'!$B$41,'Supuestos'!$B$42)/12+D31*'Supuestos'!$B$43/100*'Supuestos'!$B$44,0)</x:f>
        <x:v>9466.676060330363</x:v>
      </x:c>
      <x:c r="S31" s="152" t="n">
        <x:f>SUM(K31:R31)</x:f>
        <x:v>33982.832660537475</x:v>
      </x:c>
      <x:c r="T31" s="152" t="n">
        <x:f>J31-S31</x:f>
        <x:v>7749.162956330671</x:v>
      </x:c>
      <x:c r="U31" s="152" t="n">
        <x:f>T31+U30</x:f>
        <x:v>-271340.96172575833</x:v>
      </x:c>
      <x:c r="V31" s="152" t="n">
        <x:f>T31/(1+'Supuestos'!$B$33)^(A31/12)</x:f>
        <x:v>4912.489991858483</x:v>
      </x:c>
    </x:row>
    <x:row r="32" ht="42" customHeight="1">
      <x:c r="A32" s="147" t="n">
        <x:f>31</x:f>
        <x:v>31</x:v>
      </x:c>
      <x:c r="B32" s="147" t="n">
        <x:f>ROUNDUP(A32/12,0)</x:f>
        <x:v>3</x:v>
      </x:c>
      <x:c r="C32" s="152" t="n">
        <x:f>IF(A32&gt;='Supuestos'!$B$2,CHOOSE(MIN(3,1+INT((A32-'Supuestos'!$B$2)/12)),'Supuestos'!$B$34,'Supuestos'!$B$35,'Supuestos'!$B$36)/12,0)</x:f>
        <x:v>66.66666666666667</x:v>
      </x:c>
      <x:c r="D32" s="152" t="n">
        <x:f>D31*'Supuestos'!$B$17+C32</x:f>
        <x:v>284.995625026914</x:v>
      </x:c>
      <x:c r="E32" s="152" t="n">
        <x:f>MAX(0,D32*'Supuestos'!$B$18-2*C32)</x:f>
        <x:v>1006.6491667743227</x:v>
      </x:c>
      <x:c r="F32" s="152" t="n">
        <x:f>IF(A32&gt;='Supuestos'!$B$2,CHOOSE(MIN(3,1+INT((A32-'Supuestos'!$B$2)/12)),'Supuestos'!$B$37,'Supuestos'!$B$38,'Supuestos'!$B$39)/12,0)</x:f>
        <x:v>1.25</x:v>
      </x:c>
      <x:c r="G32" s="152" t="n">
        <x:f>IF(A32='Supuestos'!$B$2-1,'Supuestos'!$B$51,IF(A32&gt;='Supuestos'!$B$2,ROUNDUP(ROUND(MAX(0,C32+F32-I31),8),0),0))</x:f>
        <x:v>68</x:v>
      </x:c>
      <x:c r="H32" s="152" t="n">
        <x:f>ROUNDUP(ROUND(G32/(1-'Supuestos'!$B$14),8),0)</x:f>
        <x:v>76</x:v>
      </x:c>
      <x:c r="I32" s="152" t="n">
        <x:f>I31+G32-C32-F32</x:f>
        <x:v>0.08333333333334281</x:v>
      </x:c>
      <x:c r="J32" s="152" t="n">
        <x:f>C32*'Supuestos'!$B$15+E32*'Supuestos'!$B$16</x:f>
        <x:v>78499.5625026914</x:v>
      </x:c>
      <x:c r="K32" s="152" t="n">
        <x:f>(IF(A32='Supuestos'!$B$2-3,ROUNDUP('Supuestos'!$B$51/(1-'Supuestos'!$B$14),0),0)+IF(A32='Supuestos'!$B$2-1,0,H32))*((2*SUM('Supuestos'!B19:B20)+SUM('Supuestos'!B21:B22)+2*SUM('Supuestos'!B23:B24)+'Supuestos'!B25)-IF(A32&lt;='Supuestos'!$B$3,(2*'Supuestos'!B20+'Supuestos'!B22+2*'Supuestos'!B24),0))</x:f>
        <x:v>14787.32</x:v>
      </x:c>
      <x:c r="L32" s="152" t="n">
        <x:f>(IF(A32='Supuestos'!$B$2-2,ROUNDUP('Supuestos'!$B$51/(1-'Supuestos'!$B$14),0),0)+IF(A32='Supuestos'!$B$2-1,0,H32))*(((2*'Supuestos'!B19+'Supuestos'!B21+'Supuestos'!B25)+'Supuestos'!$B$26+'Supuestos'!$B$27)*'Supuestos'!$B$28+'Supuestos'!$B$26+'Supuestos'!$B$27+'Supuestos'!$B$29)+IF(A32='Supuestos'!$B$2-1,'Supuestos'!$B$30,0)</x:f>
        <x:v>8053.53</x:v>
      </x:c>
      <x:c r="M32" s="152" t="n">
        <x:f>E32*(('Supuestos'!$B$23+'Supuestos'!$B$24)/(1-'Supuestos'!$B$14)+'Supuestos'!$B$31)</x:f>
        <x:v>15692.542010937499</x:v>
      </x:c>
      <x:c r="N32" s="152" t="n">
        <x:f>IF(A32&lt;='Supuestos'!$B$3,'Supuestos'!$B$4,0)</x:f>
        <x:v>0</x:v>
      </x:c>
      <x:c r="O32" s="152" t="n">
        <x:f>'Supuestos'!$B$5+'Supuestos'!$B$6</x:f>
        <x:v>2500</x:v>
      </x:c>
      <x:c r="P32" s="152" t="n">
        <x:f>IF(AND(A32&gt;=2,A32&lt;=12),'Supuestos'!$B$7/11,0)+IF(AND(A32&gt;=3,A32&lt;=12),SUM('Supuestos'!$B$8:$B$10)/10,0)+IF(AND(A32&gt;=7,A32&lt;='Supuestos'!$B$3),SUM('Supuestos'!$B$11:$B$12)/('Supuestos'!$B$3-6),0)</x:f>
        <x:v>0</x:v>
      </x:c>
      <x:c r="Q32" s="152" t="n">
        <x:f>(P32+'Supuestos'!$B$6)*'Supuestos'!$B$13</x:f>
        <x:v>50</x:v>
      </x:c>
      <x:c r="R32" s="152" t="n">
        <x:f>J32*'Supuestos'!$B$32+IF(A32&gt;='Supuestos'!$B$2,CHOOSE(MIN(3,1+INT((A32-'Supuestos'!$B$2)/12)),'Supuestos'!$B$45,'Supuestos'!$B$46,'Supuestos'!$B$47)+CHOOSE(MIN(3,1+INT((A32-'Supuestos'!$B$2)/12)),'Supuestos'!$B$48,'Supuestos'!$B$49,'Supuestos'!$B$50)+CHOOSE(MIN(3,1+INT((A32-'Supuestos'!$B$2)/12)),'Supuestos'!$B$40,'Supuestos'!$B$41,'Supuestos'!$B$42)/12+D32*'Supuestos'!$B$43/100*'Supuestos'!$B$44,0)</x:f>
        <x:v>17036.18947953518</x:v>
      </x:c>
      <x:c r="S32" s="152" t="n">
        <x:f>SUM(K32:R32)</x:f>
        <x:v>58119.58149047267</x:v>
      </x:c>
      <x:c r="T32" s="152" t="n">
        <x:f>J32-S32</x:f>
        <x:v>20379.981012218734</x:v>
      </x:c>
      <x:c r="U32" s="152" t="n">
        <x:f>T32+U31</x:f>
        <x:v>-250960.98071353958</x:v>
      </x:c>
      <x:c r="V32" s="152" t="n">
        <x:f>T32/(1+'Supuestos'!$B$33)^(A32/12)</x:f>
        <x:v>12724.836848979035</x:v>
      </x:c>
    </x:row>
    <x:row r="33" ht="42" customHeight="1">
      <x:c r="A33" s="147" t="n">
        <x:f>32</x:f>
        <x:v>32</x:v>
      </x:c>
      <x:c r="B33" s="147" t="n">
        <x:f>ROUNDUP(A33/12,0)</x:f>
        <x:v>3</x:v>
      </x:c>
      <x:c r="C33" s="152" t="n">
        <x:f>IF(A33&gt;='Supuestos'!$B$2,CHOOSE(MIN(3,1+INT((A33-'Supuestos'!$B$2)/12)),'Supuestos'!$B$34,'Supuestos'!$B$35,'Supuestos'!$B$36)/12,0)</x:f>
        <x:v>66.66666666666667</x:v>
      </x:c>
      <x:c r="D33" s="152" t="n">
        <x:f>D32*'Supuestos'!$B$17+C33</x:f>
        <x:v>337.412510442235</x:v>
      </x:c>
      <x:c r="E33" s="152" t="n">
        <x:f>MAX(0,D33*'Supuestos'!$B$18-2*C33)</x:f>
        <x:v>1216.3167084356066</x:v>
      </x:c>
      <x:c r="F33" s="152" t="n">
        <x:f>IF(A33&gt;='Supuestos'!$B$2,CHOOSE(MIN(3,1+INT((A33-'Supuestos'!$B$2)/12)),'Supuestos'!$B$37,'Supuestos'!$B$38,'Supuestos'!$B$39)/12,0)</x:f>
        <x:v>1.25</x:v>
      </x:c>
      <x:c r="G33" s="152" t="n">
        <x:f>IF(A33='Supuestos'!$B$2-1,'Supuestos'!$B$51,IF(A33&gt;='Supuestos'!$B$2,ROUNDUP(ROUND(MAX(0,C33+F33-I32),8),0),0))</x:f>
        <x:v>68</x:v>
      </x:c>
      <x:c r="H33" s="152" t="n">
        <x:f>ROUNDUP(ROUND(G33/(1-'Supuestos'!$B$14),8),0)</x:f>
        <x:v>76</x:v>
      </x:c>
      <x:c r="I33" s="152" t="n">
        <x:f>I32+G33-C33-F33</x:f>
        <x:v>0.1666666666666714</x:v>
      </x:c>
      <x:c r="J33" s="152" t="n">
        <x:f>C33*'Supuestos'!$B$15+E33*'Supuestos'!$B$16</x:f>
        <x:v>83741.2510442235</x:v>
      </x:c>
      <x:c r="K33" s="152" t="n">
        <x:f>(IF(A33='Supuestos'!$B$2-3,ROUNDUP('Supuestos'!$B$51/(1-'Supuestos'!$B$14),0),0)+IF(A33='Supuestos'!$B$2-1,0,H33))*((2*SUM('Supuestos'!B19:B20)+SUM('Supuestos'!B21:B22)+2*SUM('Supuestos'!B23:B24)+'Supuestos'!B25)-IF(A33&lt;='Supuestos'!$B$3,(2*'Supuestos'!B20+'Supuestos'!B22+2*'Supuestos'!B24),0))</x:f>
        <x:v>14787.32</x:v>
      </x:c>
      <x:c r="L33" s="152" t="n">
        <x:f>(IF(A33='Supuestos'!$B$2-2,ROUNDUP('Supuestos'!$B$51/(1-'Supuestos'!$B$14),0),0)+IF(A33='Supuestos'!$B$2-1,0,H33))*(((2*'Supuestos'!B19+'Supuestos'!B21+'Supuestos'!B25)+'Supuestos'!$B$26+'Supuestos'!$B$27)*'Supuestos'!$B$28+'Supuestos'!$B$26+'Supuestos'!$B$27+'Supuestos'!$B$29)+IF(A33='Supuestos'!$B$2-1,'Supuestos'!$B$30,0)</x:f>
        <x:v>8053.53</x:v>
      </x:c>
      <x:c r="M33" s="152" t="n">
        <x:f>E33*(('Supuestos'!$B$23+'Supuestos'!$B$24)/(1-'Supuestos'!$B$14)+'Supuestos'!$B$31)</x:f>
        <x:v>18961.026021501737</x:v>
      </x:c>
      <x:c r="N33" s="152" t="n">
        <x:f>IF(A33&lt;='Supuestos'!$B$3,'Supuestos'!$B$4,0)</x:f>
        <x:v>0</x:v>
      </x:c>
      <x:c r="O33" s="152" t="n">
        <x:f>'Supuestos'!$B$5+'Supuestos'!$B$6</x:f>
        <x:v>2500</x:v>
      </x:c>
      <x:c r="P33" s="152" t="n">
        <x:f>IF(AND(A33&gt;=2,A33&lt;=12),'Supuestos'!$B$7/11,0)+IF(AND(A33&gt;=3,A33&lt;=12),SUM('Supuestos'!$B$8:$B$10)/10,0)+IF(AND(A33&gt;=7,A33&lt;='Supuestos'!$B$3),SUM('Supuestos'!$B$11:$B$12)/('Supuestos'!$B$3-6),0)</x:f>
        <x:v>0</x:v>
      </x:c>
      <x:c r="Q33" s="152" t="n">
        <x:f>(P33+'Supuestos'!$B$6)*'Supuestos'!$B$13</x:f>
        <x:v>50</x:v>
      </x:c>
      <x:c r="R33" s="152" t="n">
        <x:f>J33*'Supuestos'!$B$32+IF(A33&gt;='Supuestos'!$B$2,CHOOSE(MIN(3,1+INT((A33-'Supuestos'!$B$2)/12)),'Supuestos'!$B$45,'Supuestos'!$B$46,'Supuestos'!$B$47)+CHOOSE(MIN(3,1+INT((A33-'Supuestos'!$B$2)/12)),'Supuestos'!$B$48,'Supuestos'!$B$49,'Supuestos'!$B$50)+CHOOSE(MIN(3,1+INT((A33-'Supuestos'!$B$2)/12)),'Supuestos'!$B$40,'Supuestos'!$B$41,'Supuestos'!$B$42)/12+D33*'Supuestos'!$B$43/100*'Supuestos'!$B$44,0)</x:f>
        <x:v>17761.289727779753</x:v>
      </x:c>
      <x:c r="S33" s="152" t="n">
        <x:f>SUM(K33:R33)</x:f>
        <x:v>62113.16574928149</x:v>
      </x:c>
      <x:c r="T33" s="152" t="n">
        <x:f>J33-S33</x:f>
        <x:v>21628.085294942015</x:v>
      </x:c>
      <x:c r="U33" s="152" t="n">
        <x:f>T33+U32</x:f>
        <x:v>-229332.89541859756</x:v>
      </x:c>
      <x:c r="V33" s="152" t="n">
        <x:f>T33/(1+'Supuestos'!$B$33)^(A33/12)</x:f>
        <x:v>13300.50357273296</x:v>
      </x:c>
    </x:row>
    <x:row r="34" ht="42" customHeight="1">
      <x:c r="A34" s="147" t="n">
        <x:f>33</x:f>
        <x:v>33</x:v>
      </x:c>
      <x:c r="B34" s="147" t="n">
        <x:f>ROUNDUP(A34/12,0)</x:f>
        <x:v>3</x:v>
      </x:c>
      <x:c r="C34" s="152" t="n">
        <x:f>IF(A34&gt;='Supuestos'!$B$2,CHOOSE(MIN(3,1+INT((A34-'Supuestos'!$B$2)/12)),'Supuestos'!$B$34,'Supuestos'!$B$35,'Supuestos'!$B$36)/12,0)</x:f>
        <x:v>66.66666666666667</x:v>
      </x:c>
      <x:c r="D34" s="152" t="n">
        <x:f>D33*'Supuestos'!$B$17+C34</x:f>
        <x:v>387.2085515867899</x:v>
      </x:c>
      <x:c r="E34" s="152" t="n">
        <x:f>MAX(0,D34*'Supuestos'!$B$18-2*C34)</x:f>
        <x:v>1415.5008730138263</x:v>
      </x:c>
      <x:c r="F34" s="152" t="n">
        <x:f>IF(A34&gt;='Supuestos'!$B$2,CHOOSE(MIN(3,1+INT((A34-'Supuestos'!$B$2)/12)),'Supuestos'!$B$37,'Supuestos'!$B$38,'Supuestos'!$B$39)/12,0)</x:f>
        <x:v>1.25</x:v>
      </x:c>
      <x:c r="G34" s="152" t="n">
        <x:f>IF(A34='Supuestos'!$B$2-1,'Supuestos'!$B$51,IF(A34&gt;='Supuestos'!$B$2,ROUNDUP(ROUND(MAX(0,C34+F34-I33),8),0),0))</x:f>
        <x:v>68</x:v>
      </x:c>
      <x:c r="H34" s="152" t="n">
        <x:f>ROUNDUP(ROUND(G34/(1-'Supuestos'!$B$14),8),0)</x:f>
        <x:v>76</x:v>
      </x:c>
      <x:c r="I34" s="152" t="n">
        <x:f>I33+G34-C34-F34</x:f>
        <x:v>0.25</x:v>
      </x:c>
      <x:c r="J34" s="152" t="n">
        <x:f>C34*'Supuestos'!$B$15+E34*'Supuestos'!$B$16</x:f>
        <x:v>88720.85515867898</x:v>
      </x:c>
      <x:c r="K34" s="152" t="n">
        <x:f>(IF(A34='Supuestos'!$B$2-3,ROUNDUP('Supuestos'!$B$51/(1-'Supuestos'!$B$14),0),0)+IF(A34='Supuestos'!$B$2-1,0,H34))*((2*SUM('Supuestos'!B19:B20)+SUM('Supuestos'!B21:B22)+2*SUM('Supuestos'!B23:B24)+'Supuestos'!B25)-IF(A34&lt;='Supuestos'!$B$3,(2*'Supuestos'!B20+'Supuestos'!B22+2*'Supuestos'!B24),0))</x:f>
        <x:v>14787.32</x:v>
      </x:c>
      <x:c r="L34" s="152" t="n">
        <x:f>(IF(A34='Supuestos'!$B$2-2,ROUNDUP('Supuestos'!$B$51/(1-'Supuestos'!$B$14),0),0)+IF(A34='Supuestos'!$B$2-1,0,H34))*(((2*'Supuestos'!B19+'Supuestos'!B21+'Supuestos'!B25)+'Supuestos'!$B$26+'Supuestos'!$B$27)*'Supuestos'!$B$28+'Supuestos'!$B$26+'Supuestos'!$B$27+'Supuestos'!$B$29)+IF(A34='Supuestos'!$B$2-1,'Supuestos'!$B$30,0)</x:f>
        <x:v>8053.53</x:v>
      </x:c>
      <x:c r="M34" s="152" t="n">
        <x:f>E34*(('Supuestos'!$B$23+'Supuestos'!$B$24)/(1-'Supuestos'!$B$14)+'Supuestos'!$B$31)</x:f>
        <x:v>22066.085831537763</x:v>
      </x:c>
      <x:c r="N34" s="152" t="n">
        <x:f>IF(A34&lt;='Supuestos'!$B$3,'Supuestos'!$B$4,0)</x:f>
        <x:v>0</x:v>
      </x:c>
      <x:c r="O34" s="152" t="n">
        <x:f>'Supuestos'!$B$5+'Supuestos'!$B$6</x:f>
        <x:v>2500</x:v>
      </x:c>
      <x:c r="P34" s="152" t="n">
        <x:f>IF(AND(A34&gt;=2,A34&lt;=12),'Supuestos'!$B$7/11,0)+IF(AND(A34&gt;=3,A34&lt;=12),SUM('Supuestos'!$B$8:$B$10)/10,0)+IF(AND(A34&gt;=7,A34&lt;='Supuestos'!$B$3),SUM('Supuestos'!$B$11:$B$12)/('Supuestos'!$B$3-6),0)</x:f>
        <x:v>0</x:v>
      </x:c>
      <x:c r="Q34" s="152" t="n">
        <x:f>(P34+'Supuestos'!$B$6)*'Supuestos'!$B$13</x:f>
        <x:v>50</x:v>
      </x:c>
      <x:c r="R34" s="152" t="n">
        <x:f>J34*'Supuestos'!$B$32+IF(A34&gt;='Supuestos'!$B$2,CHOOSE(MIN(3,1+INT((A34-'Supuestos'!$B$2)/12)),'Supuestos'!$B$45,'Supuestos'!$B$46,'Supuestos'!$B$47)+CHOOSE(MIN(3,1+INT((A34-'Supuestos'!$B$2)/12)),'Supuestos'!$B$48,'Supuestos'!$B$49,'Supuestos'!$B$50)+CHOOSE(MIN(3,1+INT((A34-'Supuestos'!$B$2)/12)),'Supuestos'!$B$40,'Supuestos'!$B$41,'Supuestos'!$B$42)/12+D34*'Supuestos'!$B$43/100*'Supuestos'!$B$44,0)</x:f>
        <x:v>18450.134963612098</x:v>
      </x:c>
      <x:c r="S34" s="152" t="n">
        <x:f>SUM(K34:R34)</x:f>
        <x:v>65907.07079514986</x:v>
      </x:c>
      <x:c r="T34" s="152" t="n">
        <x:f>J34-S34</x:f>
        <x:v>22813.78436352912</x:v>
      </x:c>
      <x:c r="U34" s="152" t="n">
        <x:f>T34+U33</x:f>
        <x:v>-206519.11105506844</x:v>
      </x:c>
      <x:c r="V34" s="152" t="n">
        <x:f>T34/(1+'Supuestos'!$B$33)^(A34/12)</x:f>
        <x:v>13818.118273948925</x:v>
      </x:c>
    </x:row>
    <x:row r="35" ht="42" customHeight="1">
      <x:c r="A35" s="147" t="n">
        <x:f>34</x:f>
        <x:v>34</x:v>
      </x:c>
      <x:c r="B35" s="147" t="n">
        <x:f>ROUNDUP(A35/12,0)</x:f>
        <x:v>3</x:v>
      </x:c>
      <x:c r="C35" s="152" t="n">
        <x:f>IF(A35&gt;='Supuestos'!$B$2,CHOOSE(MIN(3,1+INT((A35-'Supuestos'!$B$2)/12)),'Supuestos'!$B$34,'Supuestos'!$B$35,'Supuestos'!$B$36)/12,0)</x:f>
        <x:v>66.66666666666667</x:v>
      </x:c>
      <x:c r="D35" s="152" t="n">
        <x:f>D34*'Supuestos'!$B$17+C35</x:f>
        <x:v>434.5147906741171</x:v>
      </x:c>
      <x:c r="E35" s="152" t="n">
        <x:f>MAX(0,D35*'Supuestos'!$B$18-2*C35)</x:f>
        <x:v>1604.725829363135</x:v>
      </x:c>
      <x:c r="F35" s="152" t="n">
        <x:f>IF(A35&gt;='Supuestos'!$B$2,CHOOSE(MIN(3,1+INT((A35-'Supuestos'!$B$2)/12)),'Supuestos'!$B$37,'Supuestos'!$B$38,'Supuestos'!$B$39)/12,0)</x:f>
        <x:v>1.25</x:v>
      </x:c>
      <x:c r="G35" s="152" t="n">
        <x:f>IF(A35='Supuestos'!$B$2-1,'Supuestos'!$B$51,IF(A35&gt;='Supuestos'!$B$2,ROUNDUP(ROUND(MAX(0,C35+F35-I34),8),0),0))</x:f>
        <x:v>68</x:v>
      </x:c>
      <x:c r="H35" s="152" t="n">
        <x:f>ROUNDUP(ROUND(G35/(1-'Supuestos'!$B$14),8),0)</x:f>
        <x:v>76</x:v>
      </x:c>
      <x:c r="I35" s="152" t="n">
        <x:f>I34+G35-C35-F35</x:f>
        <x:v>0.3333333333333286</x:v>
      </x:c>
      <x:c r="J35" s="152" t="n">
        <x:f>C35*'Supuestos'!$B$15+E35*'Supuestos'!$B$16</x:f>
        <x:v>93451.47906741171</x:v>
      </x:c>
      <x:c r="K35" s="152" t="n">
        <x:f>(IF(A35='Supuestos'!$B$2-3,ROUNDUP('Supuestos'!$B$51/(1-'Supuestos'!$B$14),0),0)+IF(A35='Supuestos'!$B$2-1,0,H35))*((2*SUM('Supuestos'!B19:B20)+SUM('Supuestos'!B21:B22)+2*SUM('Supuestos'!B23:B24)+'Supuestos'!B25)-IF(A35&lt;='Supuestos'!$B$3,(2*'Supuestos'!B20+'Supuestos'!B22+2*'Supuestos'!B24),0))</x:f>
        <x:v>14787.32</x:v>
      </x:c>
      <x:c r="L35" s="152" t="n">
        <x:f>(IF(A35='Supuestos'!$B$2-2,ROUNDUP('Supuestos'!$B$51/(1-'Supuestos'!$B$14),0),0)+IF(A35='Supuestos'!$B$2-1,0,H35))*(((2*'Supuestos'!B19+'Supuestos'!B21+'Supuestos'!B25)+'Supuestos'!$B$26+'Supuestos'!$B$27)*'Supuestos'!$B$28+'Supuestos'!$B$26+'Supuestos'!$B$27+'Supuestos'!$B$29)+IF(A35='Supuestos'!$B$2-1,'Supuestos'!$B$30,0)</x:f>
        <x:v>8053.53</x:v>
      </x:c>
      <x:c r="M35" s="152" t="n">
        <x:f>E35*(('Supuestos'!$B$23+'Supuestos'!$B$24)/(1-'Supuestos'!$B$14)+'Supuestos'!$B$31)</x:f>
        <x:v>25015.892651071987</x:v>
      </x:c>
      <x:c r="N35" s="152" t="n">
        <x:f>IF(A35&lt;='Supuestos'!$B$3,'Supuestos'!$B$4,0)</x:f>
        <x:v>0</x:v>
      </x:c>
      <x:c r="O35" s="152" t="n">
        <x:f>'Supuestos'!$B$5+'Supuestos'!$B$6</x:f>
        <x:v>2500</x:v>
      </x:c>
      <x:c r="P35" s="152" t="n">
        <x:f>IF(AND(A35&gt;=2,A35&lt;=12),'Supuestos'!$B$7/11,0)+IF(AND(A35&gt;=3,A35&lt;=12),SUM('Supuestos'!$B$8:$B$10)/10,0)+IF(AND(A35&gt;=7,A35&lt;='Supuestos'!$B$3),SUM('Supuestos'!$B$11:$B$12)/('Supuestos'!$B$3-6),0)</x:f>
        <x:v>0</x:v>
      </x:c>
      <x:c r="Q35" s="152" t="n">
        <x:f>(P35+'Supuestos'!$B$6)*'Supuestos'!$B$13</x:f>
        <x:v>50</x:v>
      </x:c>
      <x:c r="R35" s="152" t="n">
        <x:f>J35*'Supuestos'!$B$32+IF(A35&gt;='Supuestos'!$B$2,CHOOSE(MIN(3,1+INT((A35-'Supuestos'!$B$2)/12)),'Supuestos'!$B$45,'Supuestos'!$B$46,'Supuestos'!$B$47)+CHOOSE(MIN(3,1+INT((A35-'Supuestos'!$B$2)/12)),'Supuestos'!$B$48,'Supuestos'!$B$49,'Supuestos'!$B$50)+CHOOSE(MIN(3,1+INT((A35-'Supuestos'!$B$2)/12)),'Supuestos'!$B$40,'Supuestos'!$B$41,'Supuestos'!$B$42)/12+D35*'Supuestos'!$B$43/100*'Supuestos'!$B$44,0)</x:f>
        <x:v>19104.537937652825</x:v>
      </x:c>
      <x:c r="S35" s="152" t="n">
        <x:f>SUM(K35:R35)</x:f>
        <x:v>69511.28058872481</x:v>
      </x:c>
      <x:c r="T35" s="152" t="n">
        <x:f>J35-S35</x:f>
        <x:v>23940.1984786869</x:v>
      </x:c>
      <x:c r="U35" s="152" t="n">
        <x:f>T35+U34</x:f>
        <x:v>-182578.91257638152</x:v>
      </x:c>
      <x:c r="V35" s="152" t="n">
        <x:f>T35/(1+'Supuestos'!$B$33)^(A35/12)</x:f>
        <x:v>14281.732120622108</x:v>
      </x:c>
    </x:row>
    <x:row r="36" ht="42" customHeight="1">
      <x:c r="A36" s="147" t="n">
        <x:f>35</x:f>
        <x:v>35</x:v>
      </x:c>
      <x:c r="B36" s="147" t="n">
        <x:f>ROUNDUP(A36/12,0)</x:f>
        <x:v>3</x:v>
      </x:c>
      <x:c r="C36" s="152" t="n">
        <x:f>IF(A36&gt;='Supuestos'!$B$2,CHOOSE(MIN(3,1+INT((A36-'Supuestos'!$B$2)/12)),'Supuestos'!$B$34,'Supuestos'!$B$35,'Supuestos'!$B$36)/12,0)</x:f>
        <x:v>66.66666666666667</x:v>
      </x:c>
      <x:c r="D36" s="152" t="n">
        <x:f>D35*'Supuestos'!$B$17+C36</x:f>
        <x:v>479.4557178070779</x:v>
      </x:c>
      <x:c r="E36" s="152" t="n">
        <x:f>MAX(0,D36*'Supuestos'!$B$18-2*C36)</x:f>
        <x:v>1784.4895378949784</x:v>
      </x:c>
      <x:c r="F36" s="152" t="n">
        <x:f>IF(A36&gt;='Supuestos'!$B$2,CHOOSE(MIN(3,1+INT((A36-'Supuestos'!$B$2)/12)),'Supuestos'!$B$37,'Supuestos'!$B$38,'Supuestos'!$B$39)/12,0)</x:f>
        <x:v>1.25</x:v>
      </x:c>
      <x:c r="G36" s="152" t="n">
        <x:f>IF(A36='Supuestos'!$B$2-1,'Supuestos'!$B$51,IF(A36&gt;='Supuestos'!$B$2,ROUNDUP(ROUND(MAX(0,C36+F36-I35),8),0),0))</x:f>
        <x:v>68</x:v>
      </x:c>
      <x:c r="H36" s="152" t="n">
        <x:f>ROUNDUP(ROUND(G36/(1-'Supuestos'!$B$14),8),0)</x:f>
        <x:v>76</x:v>
      </x:c>
      <x:c r="I36" s="152" t="n">
        <x:f>I35+G36-C36-F36</x:f>
        <x:v>0.4166666666666572</x:v>
      </x:c>
      <x:c r="J36" s="152" t="n">
        <x:f>C36*'Supuestos'!$B$15+E36*'Supuestos'!$B$16</x:f>
        <x:v>97945.5717807078</x:v>
      </x:c>
      <x:c r="K36" s="152" t="n">
        <x:f>(IF(A36='Supuestos'!$B$2-3,ROUNDUP('Supuestos'!$B$51/(1-'Supuestos'!$B$14),0),0)+IF(A36='Supuestos'!$B$2-1,0,H36))*((2*SUM('Supuestos'!B19:B20)+SUM('Supuestos'!B21:B22)+2*SUM('Supuestos'!B23:B24)+'Supuestos'!B25)-IF(A36&lt;='Supuestos'!$B$3,(2*'Supuestos'!B20+'Supuestos'!B22+2*'Supuestos'!B24),0))</x:f>
        <x:v>14787.32</x:v>
      </x:c>
      <x:c r="L36" s="152" t="n">
        <x:f>(IF(A36='Supuestos'!$B$2-2,ROUNDUP('Supuestos'!$B$51/(1-'Supuestos'!$B$14),0),0)+IF(A36='Supuestos'!$B$2-1,0,H36))*(((2*'Supuestos'!B19+'Supuestos'!B21+'Supuestos'!B25)+'Supuestos'!$B$26+'Supuestos'!$B$27)*'Supuestos'!$B$28+'Supuestos'!$B$26+'Supuestos'!$B$27+'Supuestos'!$B$29)+IF(A36='Supuestos'!$B$2-1,'Supuestos'!$B$30,0)</x:f>
        <x:v>8053.53</x:v>
      </x:c>
      <x:c r="M36" s="152" t="n">
        <x:f>E36*(('Supuestos'!$B$23+'Supuestos'!$B$24)/(1-'Supuestos'!$B$14)+'Supuestos'!$B$31)</x:f>
        <x:v>27818.2091296295</x:v>
      </x:c>
      <x:c r="N36" s="152" t="n">
        <x:f>IF(A36&lt;='Supuestos'!$B$3,'Supuestos'!$B$4,0)</x:f>
        <x:v>0</x:v>
      </x:c>
      <x:c r="O36" s="152" t="n">
        <x:f>'Supuestos'!$B$5+'Supuestos'!$B$6</x:f>
        <x:v>2500</x:v>
      </x:c>
      <x:c r="P36" s="152" t="n">
        <x:f>IF(AND(A36&gt;=2,A36&lt;=12),'Supuestos'!$B$7/11,0)+IF(AND(A36&gt;=3,A36&lt;=12),SUM('Supuestos'!$B$8:$B$10)/10,0)+IF(AND(A36&gt;=7,A36&lt;='Supuestos'!$B$3),SUM('Supuestos'!$B$11:$B$12)/('Supuestos'!$B$3-6),0)</x:f>
        <x:v>0</x:v>
      </x:c>
      <x:c r="Q36" s="152" t="n">
        <x:f>(P36+'Supuestos'!$B$6)*'Supuestos'!$B$13</x:f>
        <x:v>50</x:v>
      </x:c>
      <x:c r="R36" s="152" t="n">
        <x:f>J36*'Supuestos'!$B$32+IF(A36&gt;='Supuestos'!$B$2,CHOOSE(MIN(3,1+INT((A36-'Supuestos'!$B$2)/12)),'Supuestos'!$B$45,'Supuestos'!$B$46,'Supuestos'!$B$47)+CHOOSE(MIN(3,1+INT((A36-'Supuestos'!$B$2)/12)),'Supuestos'!$B$48,'Supuestos'!$B$49,'Supuestos'!$B$50)+CHOOSE(MIN(3,1+INT((A36-'Supuestos'!$B$2)/12)),'Supuestos'!$B$40,'Supuestos'!$B$41,'Supuestos'!$B$42)/12+D36*'Supuestos'!$B$43/100*'Supuestos'!$B$44,0)</x:f>
        <x:v>19726.22076299152</x:v>
      </x:c>
      <x:c r="S36" s="152" t="n">
        <x:f>SUM(K36:R36)</x:f>
        <x:v>72935.27989262102</x:v>
      </x:c>
      <x:c r="T36" s="152" t="n">
        <x:f>J36-S36</x:f>
        <x:v>25010.29188808678</x:v>
      </x:c>
      <x:c r="U36" s="152" t="n">
        <x:f>T36+U35</x:f>
        <x:v>-157568.62068829476</x:v>
      </x:c>
      <x:c r="V36" s="152" t="n">
        <x:f>T36/(1+'Supuestos'!$B$33)^(A36/12)</x:f>
        <x:v>14695.130910843238</x:v>
      </x:c>
    </x:row>
    <x:row r="37" ht="42" customHeight="1">
      <x:c r="A37" s="147" t="n">
        <x:f>36</x:f>
        <x:v>36</x:v>
      </x:c>
      <x:c r="B37" s="147" t="n">
        <x:f>ROUNDUP(A37/12,0)</x:f>
        <x:v>3</x:v>
      </x:c>
      <x:c r="C37" s="152" t="n">
        <x:f>IF(A37&gt;='Supuestos'!$B$2,CHOOSE(MIN(3,1+INT((A37-'Supuestos'!$B$2)/12)),'Supuestos'!$B$34,'Supuestos'!$B$35,'Supuestos'!$B$36)/12,0)</x:f>
        <x:v>66.66666666666667</x:v>
      </x:c>
      <x:c r="D37" s="152" t="n">
        <x:f>D36*'Supuestos'!$B$17+C37</x:f>
        <x:v>522.1495985833907</x:v>
      </x:c>
      <x:c r="E37" s="152" t="n">
        <x:f>MAX(0,D37*'Supuestos'!$B$18-2*C37)</x:f>
        <x:v>1955.2650610002295</x:v>
      </x:c>
      <x:c r="F37" s="152" t="n">
        <x:f>IF(A37&gt;='Supuestos'!$B$2,CHOOSE(MIN(3,1+INT((A37-'Supuestos'!$B$2)/12)),'Supuestos'!$B$37,'Supuestos'!$B$38,'Supuestos'!$B$39)/12,0)</x:f>
        <x:v>1.25</x:v>
      </x:c>
      <x:c r="G37" s="152" t="n">
        <x:f>IF(A37='Supuestos'!$B$2-1,'Supuestos'!$B$51,IF(A37&gt;='Supuestos'!$B$2,ROUNDUP(ROUND(MAX(0,C37+F37-I36),8),0),0))</x:f>
        <x:v>68</x:v>
      </x:c>
      <x:c r="H37" s="152" t="n">
        <x:f>ROUNDUP(ROUND(G37/(1-'Supuestos'!$B$14),8),0)</x:f>
        <x:v>76</x:v>
      </x:c>
      <x:c r="I37" s="152" t="n">
        <x:f>I36+G37-C37-F37</x:f>
        <x:v>0.4999999999999858</x:v>
      </x:c>
      <x:c r="J37" s="152" t="n">
        <x:f>C37*'Supuestos'!$B$15+E37*'Supuestos'!$B$16</x:f>
        <x:v>102214.95985833908</x:v>
      </x:c>
      <x:c r="K37" s="152" t="n">
        <x:f>(IF(A37='Supuestos'!$B$2-3,ROUNDUP('Supuestos'!$B$51/(1-'Supuestos'!$B$14),0),0)+IF(A37='Supuestos'!$B$2-1,0,H37))*((2*SUM('Supuestos'!B19:B20)+SUM('Supuestos'!B21:B22)+2*SUM('Supuestos'!B23:B24)+'Supuestos'!B25)-IF(A37&lt;='Supuestos'!$B$3,(2*'Supuestos'!B20+'Supuestos'!B22+2*'Supuestos'!B24),0))</x:f>
        <x:v>14787.32</x:v>
      </x:c>
      <x:c r="L37" s="152" t="n">
        <x:f>(IF(A37='Supuestos'!$B$2-2,ROUNDUP('Supuestos'!$B$51/(1-'Supuestos'!$B$14),0),0)+IF(A37='Supuestos'!$B$2-1,0,H37))*(((2*'Supuestos'!B19+'Supuestos'!B21+'Supuestos'!B25)+'Supuestos'!$B$26+'Supuestos'!$B$27)*'Supuestos'!$B$28+'Supuestos'!$B$26+'Supuestos'!$B$27+'Supuestos'!$B$29)+IF(A37='Supuestos'!$B$2-1,'Supuestos'!$B$30,0)</x:f>
        <x:v>8053.53</x:v>
      </x:c>
      <x:c r="M37" s="152" t="n">
        <x:f>E37*(('Supuestos'!$B$23+'Supuestos'!$B$24)/(1-'Supuestos'!$B$14)+'Supuestos'!$B$31)</x:f>
        <x:v>30480.409784259136</x:v>
      </x:c>
      <x:c r="N37" s="152" t="n">
        <x:f>IF(A37&lt;='Supuestos'!$B$3,'Supuestos'!$B$4,0)</x:f>
        <x:v>0</x:v>
      </x:c>
      <x:c r="O37" s="152" t="n">
        <x:f>'Supuestos'!$B$5+'Supuestos'!$B$6</x:f>
        <x:v>2500</x:v>
      </x:c>
      <x:c r="P37" s="152" t="n">
        <x:f>IF(AND(A37&gt;=2,A37&lt;=12),'Supuestos'!$B$7/11,0)+IF(AND(A37&gt;=3,A37&lt;=12),SUM('Supuestos'!$B$8:$B$10)/10,0)+IF(AND(A37&gt;=7,A37&lt;='Supuestos'!$B$3),SUM('Supuestos'!$B$11:$B$12)/('Supuestos'!$B$3-6),0)</x:f>
        <x:v>0</x:v>
      </x:c>
      <x:c r="Q37" s="152" t="n">
        <x:f>(P37+'Supuestos'!$B$6)*'Supuestos'!$B$13</x:f>
        <x:v>50</x:v>
      </x:c>
      <x:c r="R37" s="152" t="n">
        <x:f>J37*'Supuestos'!$B$32+IF(A37&gt;='Supuestos'!$B$2,CHOOSE(MIN(3,1+INT((A37-'Supuestos'!$B$2)/12)),'Supuestos'!$B$45,'Supuestos'!$B$46,'Supuestos'!$B$47)+CHOOSE(MIN(3,1+INT((A37-'Supuestos'!$B$2)/12)),'Supuestos'!$B$48,'Supuestos'!$B$49,'Supuestos'!$B$50)+CHOOSE(MIN(3,1+INT((A37-'Supuestos'!$B$2)/12)),'Supuestos'!$B$40,'Supuestos'!$B$41,'Supuestos'!$B$42)/12+D37*'Supuestos'!$B$43/100*'Supuestos'!$B$44,0)</x:f>
        <x:v>20316.819447063277</x:v>
      </x:c>
      <x:c r="S37" s="152" t="n">
        <x:f>SUM(K37:R37)</x:f>
        <x:v>76188.07923132241</x:v>
      </x:c>
      <x:c r="T37" s="152" t="n">
        <x:f>J37-S37</x:f>
        <x:v>26026.880627016668</x:v>
      </x:c>
      <x:c r="U37" s="152" t="n">
        <x:f>T37+U36</x:f>
        <x:v>-131541.7400612781</x:v>
      </x:c>
      <x:c r="V37" s="152" t="n">
        <x:f>T37/(1+'Supuestos'!$B$33)^(A37/12)</x:f>
        <x:v>15061.852214708722</x:v>
      </x:c>
    </x:row>
    <x:row r="38" ht="42" customHeight="1">
      <x:c r="A38" s="147" t="n">
        <x:f>37</x:f>
        <x:v>37</x:v>
      </x:c>
      <x:c r="B38" s="147" t="n">
        <x:f>ROUNDUP(A38/12,0)</x:f>
        <x:v>4</x:v>
      </x:c>
      <x:c r="C38" s="152" t="n">
        <x:f>IF(A38&gt;='Supuestos'!$B$2,CHOOSE(MIN(3,1+INT((A38-'Supuestos'!$B$2)/12)),'Supuestos'!$B$34,'Supuestos'!$B$35,'Supuestos'!$B$36)/12,0)</x:f>
        <x:v>66.66666666666667</x:v>
      </x:c>
      <x:c r="D38" s="152" t="n">
        <x:f>D37*'Supuestos'!$B$17+C38</x:f>
        <x:v>562.7087853208877</x:v>
      </x:c>
      <x:c r="E38" s="152" t="n">
        <x:f>MAX(0,D38*'Supuestos'!$B$18-2*C38)</x:f>
        <x:v>2117.5018079502174</x:v>
      </x:c>
      <x:c r="F38" s="152" t="n">
        <x:f>IF(A38&gt;='Supuestos'!$B$2,CHOOSE(MIN(3,1+INT((A38-'Supuestos'!$B$2)/12)),'Supuestos'!$B$37,'Supuestos'!$B$38,'Supuestos'!$B$39)/12,0)</x:f>
        <x:v>1.25</x:v>
      </x:c>
      <x:c r="G38" s="152" t="n">
        <x:f>IF(A38='Supuestos'!$B$2-1,'Supuestos'!$B$51,IF(A38&gt;='Supuestos'!$B$2,ROUNDUP(ROUND(MAX(0,C38+F38-I37),8),0),0))</x:f>
        <x:v>68</x:v>
      </x:c>
      <x:c r="H38" s="152" t="n">
        <x:f>ROUNDUP(ROUND(G38/(1-'Supuestos'!$B$14),8),0)</x:f>
        <x:v>76</x:v>
      </x:c>
      <x:c r="I38" s="152" t="n">
        <x:f>I37+G38-C38-F38</x:f>
        <x:v>0.5833333333333144</x:v>
      </x:c>
      <x:c r="J38" s="152" t="n">
        <x:f>C38*'Supuestos'!$B$15+E38*'Supuestos'!$B$16</x:f>
        <x:v>106270.87853208877</x:v>
      </x:c>
      <x:c r="K38" s="152" t="n">
        <x:f>(IF(A38='Supuestos'!$B$2-3,ROUNDUP('Supuestos'!$B$51/(1-'Supuestos'!$B$14),0),0)+IF(A38='Supuestos'!$B$2-1,0,H38))*((2*SUM('Supuestos'!B19:B20)+SUM('Supuestos'!B21:B22)+2*SUM('Supuestos'!B23:B24)+'Supuestos'!B25)-IF(A38&lt;='Supuestos'!$B$3,(2*'Supuestos'!B20+'Supuestos'!B22+2*'Supuestos'!B24),0))</x:f>
        <x:v>14787.32</x:v>
      </x:c>
      <x:c r="L38" s="152" t="n">
        <x:f>(IF(A38='Supuestos'!$B$2-2,ROUNDUP('Supuestos'!$B$51/(1-'Supuestos'!$B$14),0),0)+IF(A38='Supuestos'!$B$2-1,0,H38))*(((2*'Supuestos'!B19+'Supuestos'!B21+'Supuestos'!B25)+'Supuestos'!$B$26+'Supuestos'!$B$27)*'Supuestos'!$B$28+'Supuestos'!$B$26+'Supuestos'!$B$27+'Supuestos'!$B$29)+IF(A38='Supuestos'!$B$2-1,'Supuestos'!$B$30,0)</x:f>
        <x:v>8053.53</x:v>
      </x:c>
      <x:c r="M38" s="152" t="n">
        <x:f>E38*(('Supuestos'!$B$23+'Supuestos'!$B$24)/(1-'Supuestos'!$B$14)+'Supuestos'!$B$31)</x:f>
        <x:v>33009.50040615728</x:v>
      </x:c>
      <x:c r="N38" s="152" t="n">
        <x:f>IF(A38&lt;='Supuestos'!$B$3,'Supuestos'!$B$4,0)</x:f>
        <x:v>0</x:v>
      </x:c>
      <x:c r="O38" s="152" t="n">
        <x:f>'Supuestos'!$B$5+'Supuestos'!$B$6</x:f>
        <x:v>2500</x:v>
      </x:c>
      <x:c r="P38" s="152" t="n">
        <x:f>IF(AND(A38&gt;=2,A38&lt;=12),'Supuestos'!$B$7/11,0)+IF(AND(A38&gt;=3,A38&lt;=12),SUM('Supuestos'!$B$8:$B$10)/10,0)+IF(AND(A38&gt;=7,A38&lt;='Supuestos'!$B$3),SUM('Supuestos'!$B$11:$B$12)/('Supuestos'!$B$3-6),0)</x:f>
        <x:v>0</x:v>
      </x:c>
      <x:c r="Q38" s="152" t="n">
        <x:f>(P38+'Supuestos'!$B$6)*'Supuestos'!$B$13</x:f>
        <x:v>50</x:v>
      </x:c>
      <x:c r="R38" s="152" t="n">
        <x:f>J38*'Supuestos'!$B$32+IF(A38&gt;='Supuestos'!$B$2,CHOOSE(MIN(3,1+INT((A38-'Supuestos'!$B$2)/12)),'Supuestos'!$B$45,'Supuestos'!$B$46,'Supuestos'!$B$47)+CHOOSE(MIN(3,1+INT((A38-'Supuestos'!$B$2)/12)),'Supuestos'!$B$48,'Supuestos'!$B$49,'Supuestos'!$B$50)+CHOOSE(MIN(3,1+INT((A38-'Supuestos'!$B$2)/12)),'Supuestos'!$B$40,'Supuestos'!$B$41,'Supuestos'!$B$42)/12+D38*'Supuestos'!$B$43/100*'Supuestos'!$B$44,0)</x:f>
        <x:v>20877.888196931446</x:v>
      </x:c>
      <x:c r="S38" s="152" t="n">
        <x:f>SUM(K38:R38)</x:f>
        <x:v>79278.23860308873</x:v>
      </x:c>
      <x:c r="T38" s="152" t="n">
        <x:f>J38-S38</x:f>
        <x:v>26992.63992900004</x:v>
      </x:c>
      <x:c r="U38" s="152" t="n">
        <x:f>T38+U37</x:f>
        <x:v>-104549.10013227806</x:v>
      </x:c>
      <x:c r="V38" s="152" t="n">
        <x:f>T38/(1+'Supuestos'!$B$33)^(A38/12)</x:f>
        <x:v>15385.201412495775</x:v>
      </x:c>
    </x:row>
    <x:row r="39" ht="42" customHeight="1">
      <x:c r="A39" s="147" t="n">
        <x:f>38</x:f>
        <x:v>38</x:v>
      </x:c>
      <x:c r="B39" s="147" t="n">
        <x:f>ROUNDUP(A39/12,0)</x:f>
        <x:v>4</x:v>
      </x:c>
      <x:c r="C39" s="152" t="n">
        <x:f>IF(A39&gt;='Supuestos'!$B$2,CHOOSE(MIN(3,1+INT((A39-'Supuestos'!$B$2)/12)),'Supuestos'!$B$34,'Supuestos'!$B$35,'Supuestos'!$B$36)/12,0)</x:f>
        <x:v>66.66666666666667</x:v>
      </x:c>
      <x:c r="D39" s="152" t="n">
        <x:f>D38*'Supuestos'!$B$17+C39</x:f>
        <x:v>601.24001272151</x:v>
      </x:c>
      <x:c r="E39" s="152" t="n">
        <x:f>MAX(0,D39*'Supuestos'!$B$18-2*C39)</x:f>
        <x:v>2271.6267175527064</x:v>
      </x:c>
      <x:c r="F39" s="152" t="n">
        <x:f>IF(A39&gt;='Supuestos'!$B$2,CHOOSE(MIN(3,1+INT((A39-'Supuestos'!$B$2)/12)),'Supuestos'!$B$37,'Supuestos'!$B$38,'Supuestos'!$B$39)/12,0)</x:f>
        <x:v>1.25</x:v>
      </x:c>
      <x:c r="G39" s="152" t="n">
        <x:f>IF(A39='Supuestos'!$B$2-1,'Supuestos'!$B$51,IF(A39&gt;='Supuestos'!$B$2,ROUNDUP(ROUND(MAX(0,C39+F39-I38),8),0),0))</x:f>
        <x:v>68</x:v>
      </x:c>
      <x:c r="H39" s="152" t="n">
        <x:f>ROUNDUP(ROUND(G39/(1-'Supuestos'!$B$14),8),0)</x:f>
        <x:v>76</x:v>
      </x:c>
      <x:c r="I39" s="152" t="n">
        <x:f>I38+G39-C39-F39</x:f>
        <x:v>0.666666666666643</x:v>
      </x:c>
      <x:c r="J39" s="152" t="n">
        <x:f>C39*'Supuestos'!$B$15+E39*'Supuestos'!$B$16</x:f>
        <x:v>110124.00127215098</x:v>
      </x:c>
      <x:c r="K39" s="152" t="n">
        <x:f>(IF(A39='Supuestos'!$B$2-3,ROUNDUP('Supuestos'!$B$51/(1-'Supuestos'!$B$14),0),0)+IF(A39='Supuestos'!$B$2-1,0,H39))*((2*SUM('Supuestos'!B19:B20)+SUM('Supuestos'!B21:B22)+2*SUM('Supuestos'!B23:B24)+'Supuestos'!B25)-IF(A39&lt;='Supuestos'!$B$3,(2*'Supuestos'!B20+'Supuestos'!B22+2*'Supuestos'!B24),0))</x:f>
        <x:v>14787.32</x:v>
      </x:c>
      <x:c r="L39" s="152" t="n">
        <x:f>(IF(A39='Supuestos'!$B$2-2,ROUNDUP('Supuestos'!$B$51/(1-'Supuestos'!$B$14),0),0)+IF(A39='Supuestos'!$B$2-1,0,H39))*(((2*'Supuestos'!B19+'Supuestos'!B21+'Supuestos'!B25)+'Supuestos'!$B$26+'Supuestos'!$B$27)*'Supuestos'!$B$28+'Supuestos'!$B$26+'Supuestos'!$B$27+'Supuestos'!$B$29)+IF(A39='Supuestos'!$B$2-1,'Supuestos'!$B$30,0)</x:f>
        <x:v>8053.53</x:v>
      </x:c>
      <x:c r="M39" s="152" t="n">
        <x:f>E39*(('Supuestos'!$B$23+'Supuestos'!$B$24)/(1-'Supuestos'!$B$14)+'Supuestos'!$B$31)</x:f>
        <x:v>35412.13649696053</x:v>
      </x:c>
      <x:c r="N39" s="152" t="n">
        <x:f>IF(A39&lt;='Supuestos'!$B$3,'Supuestos'!$B$4,0)</x:f>
        <x:v>0</x:v>
      </x:c>
      <x:c r="O39" s="152" t="n">
        <x:f>'Supuestos'!$B$5+'Supuestos'!$B$6</x:f>
        <x:v>2500</x:v>
      </x:c>
      <x:c r="P39" s="152" t="n">
        <x:f>IF(AND(A39&gt;=2,A39&lt;=12),'Supuestos'!$B$7/11,0)+IF(AND(A39&gt;=3,A39&lt;=12),SUM('Supuestos'!$B$8:$B$10)/10,0)+IF(AND(A39&gt;=7,A39&lt;='Supuestos'!$B$3),SUM('Supuestos'!$B$11:$B$12)/('Supuestos'!$B$3-6),0)</x:f>
        <x:v>0</x:v>
      </x:c>
      <x:c r="Q39" s="152" t="n">
        <x:f>(P39+'Supuestos'!$B$6)*'Supuestos'!$B$13</x:f>
        <x:v>50</x:v>
      </x:c>
      <x:c r="R39" s="152" t="n">
        <x:f>J39*'Supuestos'!$B$32+IF(A39&gt;='Supuestos'!$B$2,CHOOSE(MIN(3,1+INT((A39-'Supuestos'!$B$2)/12)),'Supuestos'!$B$45,'Supuestos'!$B$46,'Supuestos'!$B$47)+CHOOSE(MIN(3,1+INT((A39-'Supuestos'!$B$2)/12)),'Supuestos'!$B$48,'Supuestos'!$B$49,'Supuestos'!$B$50)+CHOOSE(MIN(3,1+INT((A39-'Supuestos'!$B$2)/12)),'Supuestos'!$B$40,'Supuestos'!$B$41,'Supuestos'!$B$42)/12+D39*'Supuestos'!$B$43/100*'Supuestos'!$B$44,0)</x:f>
        <x:v>21410.903509306205</x:v>
      </x:c>
      <x:c r="S39" s="152" t="n">
        <x:f>SUM(K39:R39)</x:f>
        <x:v>82213.89000626674</x:v>
      </x:c>
      <x:c r="T39" s="152" t="n">
        <x:f>J39-S39</x:f>
        <x:v>27910.111265884247</x:v>
      </x:c>
      <x:c r="U39" s="152" t="n">
        <x:f>T39+U38</x:f>
        <x:v>-76638.98886639382</x:v>
      </x:c>
      <x:c r="V39" s="152" t="n">
        <x:f>T39/(1+'Supuestos'!$B$33)^(A39/12)</x:f>
        <x:v>15668.266700116592</x:v>
      </x:c>
    </x:row>
    <x:row r="40" ht="42" customHeight="1">
      <x:c r="A40" s="147" t="n">
        <x:f>39</x:f>
        <x:v>39</x:v>
      </x:c>
      <x:c r="B40" s="147" t="n">
        <x:f>ROUNDUP(A40/12,0)</x:f>
        <x:v>4</x:v>
      </x:c>
      <x:c r="C40" s="152" t="n">
        <x:f>IF(A40&gt;='Supuestos'!$B$2,CHOOSE(MIN(3,1+INT((A40-'Supuestos'!$B$2)/12)),'Supuestos'!$B$34,'Supuestos'!$B$35,'Supuestos'!$B$36)/12,0)</x:f>
        <x:v>66.66666666666667</x:v>
      </x:c>
      <x:c r="D40" s="152" t="n">
        <x:f>D39*'Supuestos'!$B$17+C40</x:f>
        <x:v>637.8446787521011</x:v>
      </x:c>
      <x:c r="E40" s="152" t="n">
        <x:f>MAX(0,D40*'Supuestos'!$B$18-2*C40)</x:f>
        <x:v>2418.045381675071</x:v>
      </x:c>
      <x:c r="F40" s="152" t="n">
        <x:f>IF(A40&gt;='Supuestos'!$B$2,CHOOSE(MIN(3,1+INT((A40-'Supuestos'!$B$2)/12)),'Supuestos'!$B$37,'Supuestos'!$B$38,'Supuestos'!$B$39)/12,0)</x:f>
        <x:v>1.25</x:v>
      </x:c>
      <x:c r="G40" s="152" t="n">
        <x:f>IF(A40='Supuestos'!$B$2-1,'Supuestos'!$B$51,IF(A40&gt;='Supuestos'!$B$2,ROUNDUP(ROUND(MAX(0,C40+F40-I39),8),0),0))</x:f>
        <x:v>68</x:v>
      </x:c>
      <x:c r="H40" s="152" t="n">
        <x:f>ROUNDUP(ROUND(G40/(1-'Supuestos'!$B$14),8),0)</x:f>
        <x:v>76</x:v>
      </x:c>
      <x:c r="I40" s="152" t="n">
        <x:f>I39+G40-C40-F40</x:f>
        <x:v>0.7499999999999716</x:v>
      </x:c>
      <x:c r="J40" s="152" t="n">
        <x:f>C40*'Supuestos'!$B$15+E40*'Supuestos'!$B$16</x:f>
        <x:v>113784.4678752101</x:v>
      </x:c>
      <x:c r="K40" s="152" t="n">
        <x:f>(IF(A40='Supuestos'!$B$2-3,ROUNDUP('Supuestos'!$B$51/(1-'Supuestos'!$B$14),0),0)+IF(A40='Supuestos'!$B$2-1,0,H40))*((2*SUM('Supuestos'!B19:B20)+SUM('Supuestos'!B21:B22)+2*SUM('Supuestos'!B23:B24)+'Supuestos'!B25)-IF(A40&lt;='Supuestos'!$B$3,(2*'Supuestos'!B20+'Supuestos'!B22+2*'Supuestos'!B24),0))</x:f>
        <x:v>14787.32</x:v>
      </x:c>
      <x:c r="L40" s="152" t="n">
        <x:f>(IF(A40='Supuestos'!$B$2-2,ROUNDUP('Supuestos'!$B$51/(1-'Supuestos'!$B$14),0),0)+IF(A40='Supuestos'!$B$2-1,0,H40))*(((2*'Supuestos'!B19+'Supuestos'!B21+'Supuestos'!B25)+'Supuestos'!$B$26+'Supuestos'!$B$27)*'Supuestos'!$B$28+'Supuestos'!$B$26+'Supuestos'!$B$27+'Supuestos'!$B$29)+IF(A40='Supuestos'!$B$2-1,'Supuestos'!$B$30,0)</x:f>
        <x:v>8053.53</x:v>
      </x:c>
      <x:c r="M40" s="152" t="n">
        <x:f>E40*(('Supuestos'!$B$23+'Supuestos'!$B$24)/(1-'Supuestos'!$B$14)+'Supuestos'!$B$31)</x:f>
        <x:v>37694.64078322361</x:v>
      </x:c>
      <x:c r="N40" s="152" t="n">
        <x:f>IF(A40&lt;='Supuestos'!$B$3,'Supuestos'!$B$4,0)</x:f>
        <x:v>0</x:v>
      </x:c>
      <x:c r="O40" s="152" t="n">
        <x:f>'Supuestos'!$B$5+'Supuestos'!$B$6</x:f>
        <x:v>2500</x:v>
      </x:c>
      <x:c r="P40" s="152" t="n">
        <x:f>IF(AND(A40&gt;=2,A40&lt;=12),'Supuestos'!$B$7/11,0)+IF(AND(A40&gt;=3,A40&lt;=12),SUM('Supuestos'!$B$8:$B$10)/10,0)+IF(AND(A40&gt;=7,A40&lt;='Supuestos'!$B$3),SUM('Supuestos'!$B$11:$B$12)/('Supuestos'!$B$3-6),0)</x:f>
        <x:v>0</x:v>
      </x:c>
      <x:c r="Q40" s="152" t="n">
        <x:f>(P40+'Supuestos'!$B$6)*'Supuestos'!$B$13</x:f>
        <x:v>50</x:v>
      </x:c>
      <x:c r="R40" s="152" t="n">
        <x:f>J40*'Supuestos'!$B$32+IF(A40&gt;='Supuestos'!$B$2,CHOOSE(MIN(3,1+INT((A40-'Supuestos'!$B$2)/12)),'Supuestos'!$B$45,'Supuestos'!$B$46,'Supuestos'!$B$47)+CHOOSE(MIN(3,1+INT((A40-'Supuestos'!$B$2)/12)),'Supuestos'!$B$48,'Supuestos'!$B$49,'Supuestos'!$B$50)+CHOOSE(MIN(3,1+INT((A40-'Supuestos'!$B$2)/12)),'Supuestos'!$B$40,'Supuestos'!$B$41,'Supuestos'!$B$42)/12+D40*'Supuestos'!$B$43/100*'Supuestos'!$B$44,0)</x:f>
        <x:v>21917.26805606223</x:v>
      </x:c>
      <x:c r="S40" s="152" t="n">
        <x:f>SUM(K40:R40)</x:f>
        <x:v>85002.75883928583</x:v>
      </x:c>
      <x:c r="T40" s="152" t="n">
        <x:f>J40-S40</x:f>
        <x:v>28781.709035924272</x:v>
      </x:c>
      <x:c r="U40" s="152" t="n">
        <x:f>T40+U39</x:f>
        <x:v>-47857.279830469546</x:v>
      </x:c>
      <x:c r="V40" s="152" t="n">
        <x:f>T40/(1+'Supuestos'!$B$33)^(A40/12)</x:f>
        <x:v>15913.933128296958</x:v>
      </x:c>
    </x:row>
    <x:row r="41" ht="42" customHeight="1">
      <x:c r="A41" s="147" t="n">
        <x:f>40</x:f>
        <x:v>40</x:v>
      </x:c>
      <x:c r="B41" s="147" t="n">
        <x:f>ROUNDUP(A41/12,0)</x:f>
        <x:v>4</x:v>
      </x:c>
      <x:c r="C41" s="152" t="n">
        <x:f>IF(A41&gt;='Supuestos'!$B$2,CHOOSE(MIN(3,1+INT((A41-'Supuestos'!$B$2)/12)),'Supuestos'!$B$34,'Supuestos'!$B$35,'Supuestos'!$B$36)/12,0)</x:f>
        <x:v>66.66666666666667</x:v>
      </x:c>
      <x:c r="D41" s="152" t="n">
        <x:f>D40*'Supuestos'!$B$17+C41</x:f>
        <x:v>672.6191114811627</x:v>
      </x:c>
      <x:c r="E41" s="152" t="n">
        <x:f>MAX(0,D41*'Supuestos'!$B$18-2*C41)</x:f>
        <x:v>2557.1431125913173</x:v>
      </x:c>
      <x:c r="F41" s="152" t="n">
        <x:f>IF(A41&gt;='Supuestos'!$B$2,CHOOSE(MIN(3,1+INT((A41-'Supuestos'!$B$2)/12)),'Supuestos'!$B$37,'Supuestos'!$B$38,'Supuestos'!$B$39)/12,0)</x:f>
        <x:v>1.25</x:v>
      </x:c>
      <x:c r="G41" s="152" t="n">
        <x:f>IF(A41='Supuestos'!$B$2-1,'Supuestos'!$B$51,IF(A41&gt;='Supuestos'!$B$2,ROUNDUP(ROUND(MAX(0,C41+F41-I40),8),0),0))</x:f>
        <x:v>68</x:v>
      </x:c>
      <x:c r="H41" s="152" t="n">
        <x:f>ROUNDUP(ROUND(G41/(1-'Supuestos'!$B$14),8),0)</x:f>
        <x:v>76</x:v>
      </x:c>
      <x:c r="I41" s="152" t="n">
        <x:f>I40+G41-C41-F41</x:f>
        <x:v>0.8333333333333002</x:v>
      </x:c>
      <x:c r="J41" s="152" t="n">
        <x:f>C41*'Supuestos'!$B$15+E41*'Supuestos'!$B$16</x:f>
        <x:v>117261.91114811627</x:v>
      </x:c>
      <x:c r="K41" s="152" t="n">
        <x:f>(IF(A41='Supuestos'!$B$2-3,ROUNDUP('Supuestos'!$B$51/(1-'Supuestos'!$B$14),0),0)+IF(A41='Supuestos'!$B$2-1,0,H41))*((2*SUM('Supuestos'!B19:B20)+SUM('Supuestos'!B21:B22)+2*SUM('Supuestos'!B23:B24)+'Supuestos'!B25)-IF(A41&lt;='Supuestos'!$B$3,(2*'Supuestos'!B20+'Supuestos'!B22+2*'Supuestos'!B24),0))</x:f>
        <x:v>14787.32</x:v>
      </x:c>
      <x:c r="L41" s="152" t="n">
        <x:f>(IF(A41='Supuestos'!$B$2-2,ROUNDUP('Supuestos'!$B$51/(1-'Supuestos'!$B$14),0),0)+IF(A41='Supuestos'!$B$2-1,0,H41))*(((2*'Supuestos'!B19+'Supuestos'!B21+'Supuestos'!B25)+'Supuestos'!$B$26+'Supuestos'!$B$27)*'Supuestos'!$B$28+'Supuestos'!$B$26+'Supuestos'!$B$27+'Supuestos'!$B$29)+IF(A41='Supuestos'!$B$2-1,'Supuestos'!$B$30,0)</x:f>
        <x:v>8053.53</x:v>
      </x:c>
      <x:c r="M41" s="152" t="n">
        <x:f>E41*(('Supuestos'!$B$23+'Supuestos'!$B$24)/(1-'Supuestos'!$B$14)+'Supuestos'!$B$31)</x:f>
        <x:v>39863.01985517354</x:v>
      </x:c>
      <x:c r="N41" s="152" t="n">
        <x:f>IF(A41&lt;='Supuestos'!$B$3,'Supuestos'!$B$4,0)</x:f>
        <x:v>0</x:v>
      </x:c>
      <x:c r="O41" s="152" t="n">
        <x:f>'Supuestos'!$B$5+'Supuestos'!$B$6</x:f>
        <x:v>2500</x:v>
      </x:c>
      <x:c r="P41" s="152" t="n">
        <x:f>IF(AND(A41&gt;=2,A41&lt;=12),'Supuestos'!$B$7/11,0)+IF(AND(A41&gt;=3,A41&lt;=12),SUM('Supuestos'!$B$8:$B$10)/10,0)+IF(AND(A41&gt;=7,A41&lt;='Supuestos'!$B$3),SUM('Supuestos'!$B$11:$B$12)/('Supuestos'!$B$3-6),0)</x:f>
        <x:v>0</x:v>
      </x:c>
      <x:c r="Q41" s="152" t="n">
        <x:f>(P41+'Supuestos'!$B$6)*'Supuestos'!$B$13</x:f>
        <x:v>50</x:v>
      </x:c>
      <x:c r="R41" s="152" t="n">
        <x:f>J41*'Supuestos'!$B$32+IF(A41&gt;='Supuestos'!$B$2,CHOOSE(MIN(3,1+INT((A41-'Supuestos'!$B$2)/12)),'Supuestos'!$B$45,'Supuestos'!$B$46,'Supuestos'!$B$47)+CHOOSE(MIN(3,1+INT((A41-'Supuestos'!$B$2)/12)),'Supuestos'!$B$48,'Supuestos'!$B$49,'Supuestos'!$B$50)+CHOOSE(MIN(3,1+INT((A41-'Supuestos'!$B$2)/12)),'Supuestos'!$B$40,'Supuestos'!$B$41,'Supuestos'!$B$42)/12+D41*'Supuestos'!$B$43/100*'Supuestos'!$B$44,0)</x:f>
        <x:v>22398.314375480448</x:v>
      </x:c>
      <x:c r="S41" s="152" t="n">
        <x:f>SUM(K41:R41)</x:f>
        <x:v>87652.18423065398</x:v>
      </x:c>
      <x:c r="T41" s="152" t="n">
        <x:f>J41-S41</x:f>
        <x:v>29609.726917462292</x:v>
      </x:c>
      <x:c r="U41" s="152" t="n">
        <x:f>T41+U40</x:f>
        <x:v>-18247.552913007254</x:v>
      </x:c>
      <x:c r="V41" s="152" t="n">
        <x:f>T41/(1+'Supuestos'!$B$33)^(A41/12)</x:f>
        <x:v>16124.895737650704</x:v>
      </x:c>
    </x:row>
    <x:row r="42" ht="42" customHeight="1">
      <x:c r="A42" s="147" t="n">
        <x:f>41</x:f>
        <x:v>41</x:v>
      </x:c>
      <x:c r="B42" s="147" t="n">
        <x:f>ROUNDUP(A42/12,0)</x:f>
        <x:v>4</x:v>
      </x:c>
      <x:c r="C42" s="152" t="n">
        <x:f>IF(A42&gt;='Supuestos'!$B$2,CHOOSE(MIN(3,1+INT((A42-'Supuestos'!$B$2)/12)),'Supuestos'!$B$34,'Supuestos'!$B$35,'Supuestos'!$B$36)/12,0)</x:f>
        <x:v>66.66666666666667</x:v>
      </x:c>
      <x:c r="D42" s="152" t="n">
        <x:f>D41*'Supuestos'!$B$17+C42</x:f>
        <x:v>705.6548225737712</x:v>
      </x:c>
      <x:c r="E42" s="152" t="n">
        <x:f>MAX(0,D42*'Supuestos'!$B$18-2*C42)</x:f>
        <x:v>2689.2859569617513</x:v>
      </x:c>
      <x:c r="F42" s="152" t="n">
        <x:f>IF(A42&gt;='Supuestos'!$B$2,CHOOSE(MIN(3,1+INT((A42-'Supuestos'!$B$2)/12)),'Supuestos'!$B$37,'Supuestos'!$B$38,'Supuestos'!$B$39)/12,0)</x:f>
        <x:v>1.25</x:v>
      </x:c>
      <x:c r="G42" s="152" t="n">
        <x:f>IF(A42='Supuestos'!$B$2-1,'Supuestos'!$B$51,IF(A42&gt;='Supuestos'!$B$2,ROUNDUP(ROUND(MAX(0,C42+F42-I41),8),0),0))</x:f>
        <x:v>68</x:v>
      </x:c>
      <x:c r="H42" s="152" t="n">
        <x:f>ROUNDUP(ROUND(G42/(1-'Supuestos'!$B$14),8),0)</x:f>
        <x:v>76</x:v>
      </x:c>
      <x:c r="I42" s="152" t="n">
        <x:f>I41+G42-C42-F42</x:f>
        <x:v>0.9166666666666288</x:v>
      </x:c>
      <x:c r="J42" s="152" t="n">
        <x:f>C42*'Supuestos'!$B$15+E42*'Supuestos'!$B$16</x:f>
        <x:v>120565.48225737712</x:v>
      </x:c>
      <x:c r="K42" s="152" t="n">
        <x:f>(IF(A42='Supuestos'!$B$2-3,ROUNDUP('Supuestos'!$B$51/(1-'Supuestos'!$B$14),0),0)+IF(A42='Supuestos'!$B$2-1,0,H42))*((2*SUM('Supuestos'!B19:B20)+SUM('Supuestos'!B21:B22)+2*SUM('Supuestos'!B23:B24)+'Supuestos'!B25)-IF(A42&lt;='Supuestos'!$B$3,(2*'Supuestos'!B20+'Supuestos'!B22+2*'Supuestos'!B24),0))</x:f>
        <x:v>14787.32</x:v>
      </x:c>
      <x:c r="L42" s="152" t="n">
        <x:f>(IF(A42='Supuestos'!$B$2-2,ROUNDUP('Supuestos'!$B$51/(1-'Supuestos'!$B$14),0),0)+IF(A42='Supuestos'!$B$2-1,0,H42))*(((2*'Supuestos'!B19+'Supuestos'!B21+'Supuestos'!B25)+'Supuestos'!$B$26+'Supuestos'!$B$27)*'Supuestos'!$B$28+'Supuestos'!$B$26+'Supuestos'!$B$27+'Supuestos'!$B$29)+IF(A42='Supuestos'!$B$2-1,'Supuestos'!$B$30,0)</x:f>
        <x:v>8053.53</x:v>
      </x:c>
      <x:c r="M42" s="152" t="n">
        <x:f>E42*(('Supuestos'!$B$23+'Supuestos'!$B$24)/(1-'Supuestos'!$B$14)+'Supuestos'!$B$31)</x:f>
        <x:v>41922.97997352597</x:v>
      </x:c>
      <x:c r="N42" s="152" t="n">
        <x:f>IF(A42&lt;='Supuestos'!$B$3,'Supuestos'!$B$4,0)</x:f>
        <x:v>0</x:v>
      </x:c>
      <x:c r="O42" s="152" t="n">
        <x:f>'Supuestos'!$B$5+'Supuestos'!$B$6</x:f>
        <x:v>2500</x:v>
      </x:c>
      <x:c r="P42" s="152" t="n">
        <x:f>IF(AND(A42&gt;=2,A42&lt;=12),'Supuestos'!$B$7/11,0)+IF(AND(A42&gt;=3,A42&lt;=12),SUM('Supuestos'!$B$8:$B$10)/10,0)+IF(AND(A42&gt;=7,A42&lt;='Supuestos'!$B$3),SUM('Supuestos'!$B$11:$B$12)/('Supuestos'!$B$3-6),0)</x:f>
        <x:v>0</x:v>
      </x:c>
      <x:c r="Q42" s="152" t="n">
        <x:f>(P42+'Supuestos'!$B$6)*'Supuestos'!$B$13</x:f>
        <x:v>50</x:v>
      </x:c>
      <x:c r="R42" s="152" t="n">
        <x:f>J42*'Supuestos'!$B$32+IF(A42&gt;='Supuestos'!$B$2,CHOOSE(MIN(3,1+INT((A42-'Supuestos'!$B$2)/12)),'Supuestos'!$B$45,'Supuestos'!$B$46,'Supuestos'!$B$47)+CHOOSE(MIN(3,1+INT((A42-'Supuestos'!$B$2)/12)),'Supuestos'!$B$48,'Supuestos'!$B$49,'Supuestos'!$B$50)+CHOOSE(MIN(3,1+INT((A42-'Supuestos'!$B$2)/12)),'Supuestos'!$B$40,'Supuestos'!$B$41,'Supuestos'!$B$42)/12+D42*'Supuestos'!$B$43/100*'Supuestos'!$B$44,0)</x:f>
        <x:v>22855.30837892776</x:v>
      </x:c>
      <x:c r="S42" s="152" t="n">
        <x:f>SUM(K42:R42)</x:f>
        <x:v>90169.13835245374</x:v>
      </x:c>
      <x:c r="T42" s="152" t="n">
        <x:f>J42-S42</x:f>
        <x:v>30396.343904923386</x:v>
      </x:c>
      <x:c r="U42" s="152" t="n">
        <x:f>T42+U41</x:f>
        <x:v>12148.790991916132</x:v>
      </x:c>
      <x:c r="V42" s="152" t="n">
        <x:f>T42/(1+'Supuestos'!$B$33)^(A42/12)</x:f>
        <x:v>16303.671847821877</x:v>
      </x:c>
    </x:row>
    <x:row r="43" ht="42" customHeight="1">
      <x:c r="A43" s="147" t="n">
        <x:f>42</x:f>
        <x:v>42</x:v>
      </x:c>
      <x:c r="B43" s="147" t="n">
        <x:f>ROUNDUP(A43/12,0)</x:f>
        <x:v>4</x:v>
      </x:c>
      <x:c r="C43" s="152" t="n">
        <x:f>IF(A43&gt;='Supuestos'!$B$2,CHOOSE(MIN(3,1+INT((A43-'Supuestos'!$B$2)/12)),'Supuestos'!$B$34,'Supuestos'!$B$35,'Supuestos'!$B$36)/12,0)</x:f>
        <x:v>66.66666666666667</x:v>
      </x:c>
      <x:c r="D43" s="152" t="n">
        <x:f>D42*'Supuestos'!$B$17+C43</x:f>
        <x:v>737.0387481117492</x:v>
      </x:c>
      <x:c r="E43" s="152" t="n">
        <x:f>MAX(0,D43*'Supuestos'!$B$18-2*C43)</x:f>
        <x:v>2814.8216591136634</x:v>
      </x:c>
      <x:c r="F43" s="152" t="n">
        <x:f>IF(A43&gt;='Supuestos'!$B$2,CHOOSE(MIN(3,1+INT((A43-'Supuestos'!$B$2)/12)),'Supuestos'!$B$37,'Supuestos'!$B$38,'Supuestos'!$B$39)/12,0)</x:f>
        <x:v>1.25</x:v>
      </x:c>
      <x:c r="G43" s="152" t="n">
        <x:f>IF(A43='Supuestos'!$B$2-1,'Supuestos'!$B$51,IF(A43&gt;='Supuestos'!$B$2,ROUNDUP(ROUND(MAX(0,C43+F43-I42),8),0),0))</x:f>
        <x:v>67</x:v>
      </x:c>
      <x:c r="H43" s="152" t="n">
        <x:f>ROUNDUP(ROUND(G43/(1-'Supuestos'!$B$14),8),0)</x:f>
        <x:v>75</x:v>
      </x:c>
      <x:c r="I43" s="152" t="n">
        <x:f>I42+G43-C43-F43</x:f>
        <x:v>-4.263256414560601e-14</x:v>
      </x:c>
      <x:c r="J43" s="152" t="n">
        <x:f>C43*'Supuestos'!$B$15+E43*'Supuestos'!$B$16</x:f>
        <x:v>123703.87481117493</x:v>
      </x:c>
      <x:c r="K43" s="152" t="n">
        <x:f>(IF(A43='Supuestos'!$B$2-3,ROUNDUP('Supuestos'!$B$51/(1-'Supuestos'!$B$14),0),0)+IF(A43='Supuestos'!$B$2-1,0,H43))*((2*SUM('Supuestos'!B19:B20)+SUM('Supuestos'!B21:B22)+2*SUM('Supuestos'!B23:B24)+'Supuestos'!B25)-IF(A43&lt;='Supuestos'!$B$3,(2*'Supuestos'!B20+'Supuestos'!B22+2*'Supuestos'!B24),0))</x:f>
        <x:v>14592.75</x:v>
      </x:c>
      <x:c r="L43" s="152" t="n">
        <x:f>(IF(A43='Supuestos'!$B$2-2,ROUNDUP('Supuestos'!$B$51/(1-'Supuestos'!$B$14),0),0)+IF(A43='Supuestos'!$B$2-1,0,H43))*(((2*'Supuestos'!B19+'Supuestos'!B21+'Supuestos'!B25)+'Supuestos'!$B$26+'Supuestos'!$B$27)*'Supuestos'!$B$28+'Supuestos'!$B$26+'Supuestos'!$B$27+'Supuestos'!$B$29)+IF(A43='Supuestos'!$B$2-1,'Supuestos'!$B$30,0)</x:f>
        <x:v>7947.5625</x:v>
      </x:c>
      <x:c r="M43" s="152" t="n">
        <x:f>E43*(('Supuestos'!$B$23+'Supuestos'!$B$24)/(1-'Supuestos'!$B$14)+'Supuestos'!$B$31)</x:f>
        <x:v>43879.94208596078</x:v>
      </x:c>
      <x:c r="N43" s="152" t="n">
        <x:f>IF(A43&lt;='Supuestos'!$B$3,'Supuestos'!$B$4,0)</x:f>
        <x:v>0</x:v>
      </x:c>
      <x:c r="O43" s="152" t="n">
        <x:f>'Supuestos'!$B$5+'Supuestos'!$B$6</x:f>
        <x:v>2500</x:v>
      </x:c>
      <x:c r="P43" s="152" t="n">
        <x:f>IF(AND(A43&gt;=2,A43&lt;=12),'Supuestos'!$B$7/11,0)+IF(AND(A43&gt;=3,A43&lt;=12),SUM('Supuestos'!$B$8:$B$10)/10,0)+IF(AND(A43&gt;=7,A43&lt;='Supuestos'!$B$3),SUM('Supuestos'!$B$11:$B$12)/('Supuestos'!$B$3-6),0)</x:f>
        <x:v>0</x:v>
      </x:c>
      <x:c r="Q43" s="152" t="n">
        <x:f>(P43+'Supuestos'!$B$6)*'Supuestos'!$B$13</x:f>
        <x:v>50</x:v>
      </x:c>
      <x:c r="R43" s="152" t="n">
        <x:f>J43*'Supuestos'!$B$32+IF(A43&gt;='Supuestos'!$B$2,CHOOSE(MIN(3,1+INT((A43-'Supuestos'!$B$2)/12)),'Supuestos'!$B$45,'Supuestos'!$B$46,'Supuestos'!$B$47)+CHOOSE(MIN(3,1+INT((A43-'Supuestos'!$B$2)/12)),'Supuestos'!$B$48,'Supuestos'!$B$49,'Supuestos'!$B$50)+CHOOSE(MIN(3,1+INT((A43-'Supuestos'!$B$2)/12)),'Supuestos'!$B$40,'Supuestos'!$B$41,'Supuestos'!$B$42)/12+D43*'Supuestos'!$B$43/100*'Supuestos'!$B$44,0)</x:f>
        <x:v>23289.452682202704</x:v>
      </x:c>
      <x:c r="S43" s="152" t="n">
        <x:f>SUM(K43:R43)</x:f>
        <x:v>92259.70726816347</x:v>
      </x:c>
      <x:c r="T43" s="152" t="n">
        <x:f>J43-S43</x:f>
        <x:v>31444.167543011456</x:v>
      </x:c>
      <x:c r="U43" s="152" t="n">
        <x:f>T43+U42</x:f>
        <x:v>43592.95853492759</x:v>
      </x:c>
      <x:c r="V43" s="152" t="n">
        <x:f>T43/(1+'Supuestos'!$B$33)^(A43/12)</x:f>
        <x:v>16611.381042900437</x:v>
      </x:c>
    </x:row>
    <x:row r="44" ht="42" customHeight="1">
      <x:c r="A44" s="147" t="n">
        <x:f>43</x:f>
        <x:v>43</x:v>
      </x:c>
      <x:c r="B44" s="147" t="n">
        <x:f>ROUNDUP(A44/12,0)</x:f>
        <x:v>4</x:v>
      </x:c>
      <x:c r="C44" s="152" t="n">
        <x:f>IF(A44&gt;='Supuestos'!$B$2,CHOOSE(MIN(3,1+INT((A44-'Supuestos'!$B$2)/12)),'Supuestos'!$B$34,'Supuestos'!$B$35,'Supuestos'!$B$36)/12,0)</x:f>
        <x:v>140</x:v>
      </x:c>
      <x:c r="D44" s="152" t="n">
        <x:f>D43*'Supuestos'!$B$17+C44</x:f>
        <x:v>840.1868107061617</x:v>
      </x:c>
      <x:c r="E44" s="152" t="n">
        <x:f>MAX(0,D44*'Supuestos'!$B$18-2*C44)</x:f>
        <x:v>3080.747242824647</x:v>
      </x:c>
      <x:c r="F44" s="152" t="n">
        <x:f>IF(A44&gt;='Supuestos'!$B$2,CHOOSE(MIN(3,1+INT((A44-'Supuestos'!$B$2)/12)),'Supuestos'!$B$37,'Supuestos'!$B$38,'Supuestos'!$B$39)/12,0)</x:f>
        <x:v>2</x:v>
      </x:c>
      <x:c r="G44" s="152" t="n">
        <x:f>IF(A44='Supuestos'!$B$2-1,'Supuestos'!$B$51,IF(A44&gt;='Supuestos'!$B$2,ROUNDUP(ROUND(MAX(0,C44+F44-I43),8),0),0))</x:f>
        <x:v>142</x:v>
      </x:c>
      <x:c r="H44" s="152" t="n">
        <x:f>ROUNDUP(ROUND(G44/(1-'Supuestos'!$B$14),8),0)</x:f>
        <x:v>158</x:v>
      </x:c>
      <x:c r="I44" s="152" t="n">
        <x:f>I43+G44-C44-F44</x:f>
        <x:v>-5.684341886080802e-14</x:v>
      </x:c>
      <x:c r="J44" s="152" t="n">
        <x:f>C44*'Supuestos'!$B$15+E44*'Supuestos'!$B$16</x:f>
        <x:v>189018.68107061618</x:v>
      </x:c>
      <x:c r="K44" s="152" t="n">
        <x:f>(IF(A44='Supuestos'!$B$2-3,ROUNDUP('Supuestos'!$B$51/(1-'Supuestos'!$B$14),0),0)+IF(A44='Supuestos'!$B$2-1,0,H44))*((2*SUM('Supuestos'!B19:B20)+SUM('Supuestos'!B21:B22)+2*SUM('Supuestos'!B23:B24)+'Supuestos'!B25)-IF(A44&lt;='Supuestos'!$B$3,(2*'Supuestos'!B20+'Supuestos'!B22+2*'Supuestos'!B24),0))</x:f>
        <x:v>30742.059999999998</x:v>
      </x:c>
      <x:c r="L44" s="152" t="n">
        <x:f>(IF(A44='Supuestos'!$B$2-2,ROUNDUP('Supuestos'!$B$51/(1-'Supuestos'!$B$14),0),0)+IF(A44='Supuestos'!$B$2-1,0,H44))*(((2*'Supuestos'!B19+'Supuestos'!B21+'Supuestos'!B25)+'Supuestos'!$B$26+'Supuestos'!$B$27)*'Supuestos'!$B$28+'Supuestos'!$B$26+'Supuestos'!$B$27+'Supuestos'!$B$29)+IF(A44='Supuestos'!$B$2-1,'Supuestos'!$B$30,0)</x:f>
        <x:v>16742.865</x:v>
      </x:c>
      <x:c r="M44" s="152" t="n">
        <x:f>E44*(('Supuestos'!$B$23+'Supuestos'!$B$24)/(1-'Supuestos'!$B$14)+'Supuestos'!$B$31)</x:f>
        <x:v>48025.42646314422</x:v>
      </x:c>
      <x:c r="N44" s="152" t="n">
        <x:f>IF(A44&lt;='Supuestos'!$B$3,'Supuestos'!$B$4,0)</x:f>
        <x:v>0</x:v>
      </x:c>
      <x:c r="O44" s="152" t="n">
        <x:f>'Supuestos'!$B$5+'Supuestos'!$B$6</x:f>
        <x:v>2500</x:v>
      </x:c>
      <x:c r="P44" s="152" t="n">
        <x:f>IF(AND(A44&gt;=2,A44&lt;=12),'Supuestos'!$B$7/11,0)+IF(AND(A44&gt;=3,A44&lt;=12),SUM('Supuestos'!$B$8:$B$10)/10,0)+IF(AND(A44&gt;=7,A44&lt;='Supuestos'!$B$3),SUM('Supuestos'!$B$11:$B$12)/('Supuestos'!$B$3-6),0)</x:f>
        <x:v>0</x:v>
      </x:c>
      <x:c r="Q44" s="152" t="n">
        <x:f>(P44+'Supuestos'!$B$6)*'Supuestos'!$B$13</x:f>
        <x:v>50</x:v>
      </x:c>
      <x:c r="R44" s="152" t="n">
        <x:f>J44*'Supuestos'!$B$32+IF(A44&gt;='Supuestos'!$B$2,CHOOSE(MIN(3,1+INT((A44-'Supuestos'!$B$2)/12)),'Supuestos'!$B$45,'Supuestos'!$B$46,'Supuestos'!$B$47)+CHOOSE(MIN(3,1+INT((A44-'Supuestos'!$B$2)/12)),'Supuestos'!$B$48,'Supuestos'!$B$49,'Supuestos'!$B$50)+CHOOSE(MIN(3,1+INT((A44-'Supuestos'!$B$2)/12)),'Supuestos'!$B$40,'Supuestos'!$B$41,'Supuestos'!$B$42)/12+D44*'Supuestos'!$B$43/100*'Supuestos'!$B$44,0)</x:f>
        <x:v>33472.58421475737</x:v>
      </x:c>
      <x:c r="S44" s="152" t="n">
        <x:f>SUM(K44:R44)</x:f>
        <x:v>131532.9356779016</x:v>
      </x:c>
      <x:c r="T44" s="152" t="n">
        <x:f>J44-S44</x:f>
        <x:v>57485.74539271457</x:v>
      </x:c>
      <x:c r="U44" s="152" t="n">
        <x:f>T44+U43</x:f>
        <x:v>101078.70392764216</x:v>
      </x:c>
      <x:c r="V44" s="152" t="n">
        <x:f>T44/(1+'Supuestos'!$B$33)^(A44/12)</x:f>
        <x:v>29910.754530212573</x:v>
      </x:c>
    </x:row>
    <x:row r="45" ht="42" customHeight="1">
      <x:c r="A45" s="147" t="n">
        <x:f>44</x:f>
        <x:v>44</x:v>
      </x:c>
      <x:c r="B45" s="147" t="n">
        <x:f>ROUNDUP(A45/12,0)</x:f>
        <x:v>4</x:v>
      </x:c>
      <x:c r="C45" s="152" t="n">
        <x:f>IF(A45&gt;='Supuestos'!$B$2,CHOOSE(MIN(3,1+INT((A45-'Supuestos'!$B$2)/12)),'Supuestos'!$B$34,'Supuestos'!$B$35,'Supuestos'!$B$36)/12,0)</x:f>
        <x:v>140</x:v>
      </x:c>
      <x:c r="D45" s="152" t="n">
        <x:f>D44*'Supuestos'!$B$17+C45</x:f>
        <x:v>938.1774701708537</x:v>
      </x:c>
      <x:c r="E45" s="152" t="n">
        <x:f>MAX(0,D45*'Supuestos'!$B$18-2*C45)</x:f>
        <x:v>3472.7098806834147</x:v>
      </x:c>
      <x:c r="F45" s="152" t="n">
        <x:f>IF(A45&gt;='Supuestos'!$B$2,CHOOSE(MIN(3,1+INT((A45-'Supuestos'!$B$2)/12)),'Supuestos'!$B$37,'Supuestos'!$B$38,'Supuestos'!$B$39)/12,0)</x:f>
        <x:v>2</x:v>
      </x:c>
      <x:c r="G45" s="152" t="n">
        <x:f>IF(A45='Supuestos'!$B$2-1,'Supuestos'!$B$51,IF(A45&gt;='Supuestos'!$B$2,ROUNDUP(ROUND(MAX(0,C45+F45-I44),8),0),0))</x:f>
        <x:v>142</x:v>
      </x:c>
      <x:c r="H45" s="152" t="n">
        <x:f>ROUNDUP(ROUND(G45/(1-'Supuestos'!$B$14),8),0)</x:f>
        <x:v>158</x:v>
      </x:c>
      <x:c r="I45" s="152" t="n">
        <x:f>I44+G45-C45-F45</x:f>
        <x:v>-5.684341886080802e-14</x:v>
      </x:c>
      <x:c r="J45" s="152" t="n">
        <x:f>C45*'Supuestos'!$B$15+E45*'Supuestos'!$B$16</x:f>
        <x:v>198817.74701708538</x:v>
      </x:c>
      <x:c r="K45" s="152" t="n">
        <x:f>(IF(A45='Supuestos'!$B$2-3,ROUNDUP('Supuestos'!$B$51/(1-'Supuestos'!$B$14),0),0)+IF(A45='Supuestos'!$B$2-1,0,H45))*((2*SUM('Supuestos'!B19:B20)+SUM('Supuestos'!B21:B22)+2*SUM('Supuestos'!B23:B24)+'Supuestos'!B25)-IF(A45&lt;='Supuestos'!$B$3,(2*'Supuestos'!B20+'Supuestos'!B22+2*'Supuestos'!B24),0))</x:f>
        <x:v>30742.059999999998</x:v>
      </x:c>
      <x:c r="L45" s="152" t="n">
        <x:f>(IF(A45='Supuestos'!$B$2-2,ROUNDUP('Supuestos'!$B$51/(1-'Supuestos'!$B$14),0),0)+IF(A45='Supuestos'!$B$2-1,0,H45))*(((2*'Supuestos'!B19+'Supuestos'!B21+'Supuestos'!B25)+'Supuestos'!$B$26+'Supuestos'!$B$27)*'Supuestos'!$B$28+'Supuestos'!$B$26+'Supuestos'!$B$27+'Supuestos'!$B$29)+IF(A45='Supuestos'!$B$2-1,'Supuestos'!$B$30,0)</x:f>
        <x:v>16742.865</x:v>
      </x:c>
      <x:c r="M45" s="152" t="n">
        <x:f>E45*(('Supuestos'!$B$23+'Supuestos'!$B$24)/(1-'Supuestos'!$B$14)+'Supuestos'!$B$31)</x:f>
        <x:v>54135.68847332035</x:v>
      </x:c>
      <x:c r="N45" s="152" t="n">
        <x:f>IF(A45&lt;='Supuestos'!$B$3,'Supuestos'!$B$4,0)</x:f>
        <x:v>0</x:v>
      </x:c>
      <x:c r="O45" s="152" t="n">
        <x:f>'Supuestos'!$B$5+'Supuestos'!$B$6</x:f>
        <x:v>2500</x:v>
      </x:c>
      <x:c r="P45" s="152" t="n">
        <x:f>IF(AND(A45&gt;=2,A45&lt;=12),'Supuestos'!$B$7/11,0)+IF(AND(A45&gt;=3,A45&lt;=12),SUM('Supuestos'!$B$8:$B$10)/10,0)+IF(AND(A45&gt;=7,A45&lt;='Supuestos'!$B$3),SUM('Supuestos'!$B$11:$B$12)/('Supuestos'!$B$3-6),0)</x:f>
        <x:v>0</x:v>
      </x:c>
      <x:c r="Q45" s="152" t="n">
        <x:f>(P45+'Supuestos'!$B$6)*'Supuestos'!$B$13</x:f>
        <x:v>50</x:v>
      </x:c>
      <x:c r="R45" s="152" t="n">
        <x:f>J45*'Supuestos'!$B$32+IF(A45&gt;='Supuestos'!$B$2,CHOOSE(MIN(3,1+INT((A45-'Supuestos'!$B$2)/12)),'Supuestos'!$B$45,'Supuestos'!$B$46,'Supuestos'!$B$47)+CHOOSE(MIN(3,1+INT((A45-'Supuestos'!$B$2)/12)),'Supuestos'!$B$48,'Supuestos'!$B$49,'Supuestos'!$B$50)+CHOOSE(MIN(3,1+INT((A45-'Supuestos'!$B$2)/12)),'Supuestos'!$B$40,'Supuestos'!$B$41,'Supuestos'!$B$42)/12+D45*'Supuestos'!$B$43/100*'Supuestos'!$B$44,0)</x:f>
        <x:v>34828.121670684304</x:v>
      </x:c>
      <x:c r="S45" s="152" t="n">
        <x:f>SUM(K45:R45)</x:f>
        <x:v>138998.73514400466</x:v>
      </x:c>
      <x:c r="T45" s="152" t="n">
        <x:f>J45-S45</x:f>
        <x:v>59819.011873080715</x:v>
      </x:c>
      <x:c r="U45" s="152" t="n">
        <x:f>T45+U44</x:f>
        <x:v>160897.7158007229</x:v>
      </x:c>
      <x:c r="V45" s="152" t="n">
        <x:f>T45/(1+'Supuestos'!$B$33)^(A45/12)</x:f>
        <x:v>30655.471434686337</x:v>
      </x:c>
    </x:row>
    <x:row r="46" ht="42" customHeight="1">
      <x:c r="A46" s="147" t="n">
        <x:f>45</x:f>
        <x:v>45</x:v>
      </x:c>
      <x:c r="B46" s="147" t="n">
        <x:f>ROUNDUP(A46/12,0)</x:f>
        <x:v>4</x:v>
      </x:c>
      <x:c r="C46" s="152" t="n">
        <x:f>IF(A46&gt;='Supuestos'!$B$2,CHOOSE(MIN(3,1+INT((A46-'Supuestos'!$B$2)/12)),'Supuestos'!$B$34,'Supuestos'!$B$35,'Supuestos'!$B$36)/12,0)</x:f>
        <x:v>140</x:v>
      </x:c>
      <x:c r="D46" s="152" t="n">
        <x:f>D45*'Supuestos'!$B$17+C46</x:f>
        <x:v>1031.268596662311</x:v>
      </x:c>
      <x:c r="E46" s="152" t="n">
        <x:f>MAX(0,D46*'Supuestos'!$B$18-2*C46)</x:f>
        <x:v>3845.074386649244</x:v>
      </x:c>
      <x:c r="F46" s="152" t="n">
        <x:f>IF(A46&gt;='Supuestos'!$B$2,CHOOSE(MIN(3,1+INT((A46-'Supuestos'!$B$2)/12)),'Supuestos'!$B$37,'Supuestos'!$B$38,'Supuestos'!$B$39)/12,0)</x:f>
        <x:v>2</x:v>
      </x:c>
      <x:c r="G46" s="152" t="n">
        <x:f>IF(A46='Supuestos'!$B$2-1,'Supuestos'!$B$51,IF(A46&gt;='Supuestos'!$B$2,ROUNDUP(ROUND(MAX(0,C46+F46-I45),8),0),0))</x:f>
        <x:v>142</x:v>
      </x:c>
      <x:c r="H46" s="152" t="n">
        <x:f>ROUNDUP(ROUND(G46/(1-'Supuestos'!$B$14),8),0)</x:f>
        <x:v>158</x:v>
      </x:c>
      <x:c r="I46" s="152" t="n">
        <x:f>I45+G46-C46-F46</x:f>
        <x:v>-5.684341886080802e-14</x:v>
      </x:c>
      <x:c r="J46" s="152" t="n">
        <x:f>C46*'Supuestos'!$B$15+E46*'Supuestos'!$B$16</x:f>
        <x:v>208126.8596662311</x:v>
      </x:c>
      <x:c r="K46" s="152" t="n">
        <x:f>(IF(A46='Supuestos'!$B$2-3,ROUNDUP('Supuestos'!$B$51/(1-'Supuestos'!$B$14),0),0)+IF(A46='Supuestos'!$B$2-1,0,H46))*((2*SUM('Supuestos'!B19:B20)+SUM('Supuestos'!B21:B22)+2*SUM('Supuestos'!B23:B24)+'Supuestos'!B25)-IF(A46&lt;='Supuestos'!$B$3,(2*'Supuestos'!B20+'Supuestos'!B22+2*'Supuestos'!B24),0))</x:f>
        <x:v>30742.059999999998</x:v>
      </x:c>
      <x:c r="L46" s="152" t="n">
        <x:f>(IF(A46='Supuestos'!$B$2-2,ROUNDUP('Supuestos'!$B$51/(1-'Supuestos'!$B$14),0),0)+IF(A46='Supuestos'!$B$2-1,0,H46))*(((2*'Supuestos'!B19+'Supuestos'!B21+'Supuestos'!B25)+'Supuestos'!$B$26+'Supuestos'!$B$27)*'Supuestos'!$B$28+'Supuestos'!$B$26+'Supuestos'!$B$27+'Supuestos'!$B$29)+IF(A46='Supuestos'!$B$2-1,'Supuestos'!$B$30,0)</x:f>
        <x:v>16742.865</x:v>
      </x:c>
      <x:c r="M46" s="152" t="n">
        <x:f>E46*(('Supuestos'!$B$23+'Supuestos'!$B$24)/(1-'Supuestos'!$B$14)+'Supuestos'!$B$31)</x:f>
        <x:v>59940.437382987664</x:v>
      </x:c>
      <x:c r="N46" s="152" t="n">
        <x:f>IF(A46&lt;='Supuestos'!$B$3,'Supuestos'!$B$4,0)</x:f>
        <x:v>0</x:v>
      </x:c>
      <x:c r="O46" s="152" t="n">
        <x:f>'Supuestos'!$B$5+'Supuestos'!$B$6</x:f>
        <x:v>2500</x:v>
      </x:c>
      <x:c r="P46" s="152" t="n">
        <x:f>IF(AND(A46&gt;=2,A46&lt;=12),'Supuestos'!$B$7/11,0)+IF(AND(A46&gt;=3,A46&lt;=12),SUM('Supuestos'!$B$8:$B$10)/10,0)+IF(AND(A46&gt;=7,A46&lt;='Supuestos'!$B$3),SUM('Supuestos'!$B$11:$B$12)/('Supuestos'!$B$3-6),0)</x:f>
        <x:v>0</x:v>
      </x:c>
      <x:c r="Q46" s="152" t="n">
        <x:f>(P46+'Supuestos'!$B$6)*'Supuestos'!$B$13</x:f>
        <x:v>50</x:v>
      </x:c>
      <x:c r="R46" s="152" t="n">
        <x:f>J46*'Supuestos'!$B$32+IF(A46&gt;='Supuestos'!$B$2,CHOOSE(MIN(3,1+INT((A46-'Supuestos'!$B$2)/12)),'Supuestos'!$B$45,'Supuestos'!$B$46,'Supuestos'!$B$47)+CHOOSE(MIN(3,1+INT((A46-'Supuestos'!$B$2)/12)),'Supuestos'!$B$48,'Supuestos'!$B$49,'Supuestos'!$B$50)+CHOOSE(MIN(3,1+INT((A46-'Supuestos'!$B$2)/12)),'Supuestos'!$B$40,'Supuestos'!$B$41,'Supuestos'!$B$42)/12+D46*'Supuestos'!$B$43/100*'Supuestos'!$B$44,0)</x:f>
        <x:v>36115.88225381488</x:v>
      </x:c>
      <x:c r="S46" s="152" t="n">
        <x:f>SUM(K46:R46)</x:f>
        <x:v>146091.24463680253</x:v>
      </x:c>
      <x:c r="T46" s="152" t="n">
        <x:f>J46-S46</x:f>
        <x:v>62035.61502942856</x:v>
      </x:c>
      <x:c r="U46" s="152" t="n">
        <x:f>T46+U45</x:f>
        <x:v>222933.33083015145</x:v>
      </x:c>
      <x:c r="V46" s="152" t="n">
        <x:f>T46/(1+'Supuestos'!$B$33)^(A46/12)</x:f>
        <x:v>31312.044070023618</x:v>
      </x:c>
    </x:row>
    <x:row r="47" ht="42" customHeight="1">
      <x:c r="A47" s="147" t="n">
        <x:f>46</x:f>
        <x:v>46</x:v>
      </x:c>
      <x:c r="B47" s="147" t="n">
        <x:f>ROUNDUP(A47/12,0)</x:f>
        <x:v>4</x:v>
      </x:c>
      <x:c r="C47" s="152" t="n">
        <x:f>IF(A47&gt;='Supuestos'!$B$2,CHOOSE(MIN(3,1+INT((A47-'Supuestos'!$B$2)/12)),'Supuestos'!$B$34,'Supuestos'!$B$35,'Supuestos'!$B$36)/12,0)</x:f>
        <x:v>140</x:v>
      </x:c>
      <x:c r="D47" s="152" t="n">
        <x:f>D46*'Supuestos'!$B$17+C47</x:f>
        <x:v>1119.7051668291954</x:v>
      </x:c>
      <x:c r="E47" s="152" t="n">
        <x:f>MAX(0,D47*'Supuestos'!$B$18-2*C47)</x:f>
        <x:v>4198.8206673167815</x:v>
      </x:c>
      <x:c r="F47" s="152" t="n">
        <x:f>IF(A47&gt;='Supuestos'!$B$2,CHOOSE(MIN(3,1+INT((A47-'Supuestos'!$B$2)/12)),'Supuestos'!$B$37,'Supuestos'!$B$38,'Supuestos'!$B$39)/12,0)</x:f>
        <x:v>2</x:v>
      </x:c>
      <x:c r="G47" s="152" t="n">
        <x:f>IF(A47='Supuestos'!$B$2-1,'Supuestos'!$B$51,IF(A47&gt;='Supuestos'!$B$2,ROUNDUP(ROUND(MAX(0,C47+F47-I46),8),0),0))</x:f>
        <x:v>142</x:v>
      </x:c>
      <x:c r="H47" s="152" t="n">
        <x:f>ROUNDUP(ROUND(G47/(1-'Supuestos'!$B$14),8),0)</x:f>
        <x:v>158</x:v>
      </x:c>
      <x:c r="I47" s="152" t="n">
        <x:f>I46+G47-C47-F47</x:f>
        <x:v>-5.684341886080802e-14</x:v>
      </x:c>
      <x:c r="J47" s="152" t="n">
        <x:f>C47*'Supuestos'!$B$15+E47*'Supuestos'!$B$16</x:f>
        <x:v>216970.51668291952</x:v>
      </x:c>
      <x:c r="K47" s="152" t="n">
        <x:f>(IF(A47='Supuestos'!$B$2-3,ROUNDUP('Supuestos'!$B$51/(1-'Supuestos'!$B$14),0),0)+IF(A47='Supuestos'!$B$2-1,0,H47))*((2*SUM('Supuestos'!B19:B20)+SUM('Supuestos'!B21:B22)+2*SUM('Supuestos'!B23:B24)+'Supuestos'!B25)-IF(A47&lt;='Supuestos'!$B$3,(2*'Supuestos'!B20+'Supuestos'!B22+2*'Supuestos'!B24),0))</x:f>
        <x:v>30742.059999999998</x:v>
      </x:c>
      <x:c r="L47" s="152" t="n">
        <x:f>(IF(A47='Supuestos'!$B$2-2,ROUNDUP('Supuestos'!$B$51/(1-'Supuestos'!$B$14),0),0)+IF(A47='Supuestos'!$B$2-1,0,H47))*(((2*'Supuestos'!B19+'Supuestos'!B21+'Supuestos'!B25)+'Supuestos'!$B$26+'Supuestos'!$B$27)*'Supuestos'!$B$28+'Supuestos'!$B$26+'Supuestos'!$B$27+'Supuestos'!$B$29)+IF(A47='Supuestos'!$B$2-1,'Supuestos'!$B$30,0)</x:f>
        <x:v>16742.865</x:v>
      </x:c>
      <x:c r="M47" s="152" t="n">
        <x:f>E47*(('Supuestos'!$B$23+'Supuestos'!$B$24)/(1-'Supuestos'!$B$14)+'Supuestos'!$B$31)</x:f>
        <x:v>65454.94884717161</x:v>
      </x:c>
      <x:c r="N47" s="152" t="n">
        <x:f>IF(A47&lt;='Supuestos'!$B$3,'Supuestos'!$B$4,0)</x:f>
        <x:v>0</x:v>
      </x:c>
      <x:c r="O47" s="152" t="n">
        <x:f>'Supuestos'!$B$5+'Supuestos'!$B$6</x:f>
        <x:v>2500</x:v>
      </x:c>
      <x:c r="P47" s="152" t="n">
        <x:f>IF(AND(A47&gt;=2,A47&lt;=12),'Supuestos'!$B$7/11,0)+IF(AND(A47&gt;=3,A47&lt;=12),SUM('Supuestos'!$B$8:$B$10)/10,0)+IF(AND(A47&gt;=7,A47&lt;='Supuestos'!$B$3),SUM('Supuestos'!$B$11:$B$12)/('Supuestos'!$B$3-6),0)</x:f>
        <x:v>0</x:v>
      </x:c>
      <x:c r="Q47" s="152" t="n">
        <x:f>(P47+'Supuestos'!$B$6)*'Supuestos'!$B$13</x:f>
        <x:v>50</x:v>
      </x:c>
      <x:c r="R47" s="152" t="n">
        <x:f>J47*'Supuestos'!$B$32+IF(A47&gt;='Supuestos'!$B$2,CHOOSE(MIN(3,1+INT((A47-'Supuestos'!$B$2)/12)),'Supuestos'!$B$45,'Supuestos'!$B$46,'Supuestos'!$B$47)+CHOOSE(MIN(3,1+INT((A47-'Supuestos'!$B$2)/12)),'Supuestos'!$B$48,'Supuestos'!$B$49,'Supuestos'!$B$50)+CHOOSE(MIN(3,1+INT((A47-'Supuestos'!$B$2)/12)),'Supuestos'!$B$40,'Supuestos'!$B$41,'Supuestos'!$B$42)/12+D47*'Supuestos'!$B$43/100*'Supuestos'!$B$44,0)</x:f>
        <x:v>37339.25480778894</x:v>
      </x:c>
      <x:c r="S47" s="152" t="n">
        <x:f>SUM(K47:R47)</x:f>
        <x:v>152829.12865496054</x:v>
      </x:c>
      <x:c r="T47" s="152" t="n">
        <x:f>J47-S47</x:f>
        <x:v>64141.38802795898</x:v>
      </x:c>
      <x:c r="U47" s="152" t="n">
        <x:f>T47+U46</x:f>
        <x:v>287074.7188581104</x:v>
      </x:c>
      <x:c r="V47" s="152" t="n">
        <x:f>T47/(1+'Supuestos'!$B$33)^(A47/12)</x:f>
        <x:v>31886.74906196352</x:v>
      </x:c>
    </x:row>
    <x:row r="48" ht="42" customHeight="1">
      <x:c r="A48" s="147" t="n">
        <x:f>47</x:f>
        <x:v>47</x:v>
      </x:c>
      <x:c r="B48" s="147" t="n">
        <x:f>ROUNDUP(A48/12,0)</x:f>
        <x:v>4</x:v>
      </x:c>
      <x:c r="C48" s="152" t="n">
        <x:f>IF(A48&gt;='Supuestos'!$B$2,CHOOSE(MIN(3,1+INT((A48-'Supuestos'!$B$2)/12)),'Supuestos'!$B$34,'Supuestos'!$B$35,'Supuestos'!$B$36)/12,0)</x:f>
        <x:v>140</x:v>
      </x:c>
      <x:c r="D48" s="152" t="n">
        <x:f>D47*'Supuestos'!$B$17+C48</x:f>
        <x:v>1203.7199084877357</x:v>
      </x:c>
      <x:c r="E48" s="152" t="n">
        <x:f>MAX(0,D48*'Supuestos'!$B$18-2*C48)</x:f>
        <x:v>4534.879633950943</x:v>
      </x:c>
      <x:c r="F48" s="152" t="n">
        <x:f>IF(A48&gt;='Supuestos'!$B$2,CHOOSE(MIN(3,1+INT((A48-'Supuestos'!$B$2)/12)),'Supuestos'!$B$37,'Supuestos'!$B$38,'Supuestos'!$B$39)/12,0)</x:f>
        <x:v>2</x:v>
      </x:c>
      <x:c r="G48" s="152" t="n">
        <x:f>IF(A48='Supuestos'!$B$2-1,'Supuestos'!$B$51,IF(A48&gt;='Supuestos'!$B$2,ROUNDUP(ROUND(MAX(0,C48+F48-I47),8),0),0))</x:f>
        <x:v>142</x:v>
      </x:c>
      <x:c r="H48" s="152" t="n">
        <x:f>ROUNDUP(ROUND(G48/(1-'Supuestos'!$B$14),8),0)</x:f>
        <x:v>158</x:v>
      </x:c>
      <x:c r="I48" s="152" t="n">
        <x:f>I47+G48-C48-F48</x:f>
        <x:v>-5.684341886080802e-14</x:v>
      </x:c>
      <x:c r="J48" s="152" t="n">
        <x:f>C48*'Supuestos'!$B$15+E48*'Supuestos'!$B$16</x:f>
        <x:v>225371.99084877357</x:v>
      </x:c>
      <x:c r="K48" s="152" t="n">
        <x:f>(IF(A48='Supuestos'!$B$2-3,ROUNDUP('Supuestos'!$B$51/(1-'Supuestos'!$B$14),0),0)+IF(A48='Supuestos'!$B$2-1,0,H48))*((2*SUM('Supuestos'!B19:B20)+SUM('Supuestos'!B21:B22)+2*SUM('Supuestos'!B23:B24)+'Supuestos'!B25)-IF(A48&lt;='Supuestos'!$B$3,(2*'Supuestos'!B20+'Supuestos'!B22+2*'Supuestos'!B24),0))</x:f>
        <x:v>30742.059999999998</x:v>
      </x:c>
      <x:c r="L48" s="152" t="n">
        <x:f>(IF(A48='Supuestos'!$B$2-2,ROUNDUP('Supuestos'!$B$51/(1-'Supuestos'!$B$14),0),0)+IF(A48='Supuestos'!$B$2-1,0,H48))*(((2*'Supuestos'!B19+'Supuestos'!B21+'Supuestos'!B25)+'Supuestos'!$B$26+'Supuestos'!$B$27)*'Supuestos'!$B$28+'Supuestos'!$B$26+'Supuestos'!$B$27+'Supuestos'!$B$29)+IF(A48='Supuestos'!$B$2-1,'Supuestos'!$B$30,0)</x:f>
        <x:v>16742.865</x:v>
      </x:c>
      <x:c r="M48" s="152" t="n">
        <x:f>E48*(('Supuestos'!$B$23+'Supuestos'!$B$24)/(1-'Supuestos'!$B$14)+'Supuestos'!$B$31)</x:f>
        <x:v>70693.73473814636</x:v>
      </x:c>
      <x:c r="N48" s="152" t="n">
        <x:f>IF(A48&lt;='Supuestos'!$B$3,'Supuestos'!$B$4,0)</x:f>
        <x:v>0</x:v>
      </x:c>
      <x:c r="O48" s="152" t="n">
        <x:f>'Supuestos'!$B$5+'Supuestos'!$B$6</x:f>
        <x:v>2500</x:v>
      </x:c>
      <x:c r="P48" s="152" t="n">
        <x:f>IF(AND(A48&gt;=2,A48&lt;=12),'Supuestos'!$B$7/11,0)+IF(AND(A48&gt;=3,A48&lt;=12),SUM('Supuestos'!$B$8:$B$10)/10,0)+IF(AND(A48&gt;=7,A48&lt;='Supuestos'!$B$3),SUM('Supuestos'!$B$11:$B$12)/('Supuestos'!$B$3-6),0)</x:f>
        <x:v>0</x:v>
      </x:c>
      <x:c r="Q48" s="152" t="n">
        <x:f>(P48+'Supuestos'!$B$6)*'Supuestos'!$B$13</x:f>
        <x:v>50</x:v>
      </x:c>
      <x:c r="R48" s="152" t="n">
        <x:f>J48*'Supuestos'!$B$32+IF(A48&gt;='Supuestos'!$B$2,CHOOSE(MIN(3,1+INT((A48-'Supuestos'!$B$2)/12)),'Supuestos'!$B$45,'Supuestos'!$B$46,'Supuestos'!$B$47)+CHOOSE(MIN(3,1+INT((A48-'Supuestos'!$B$2)/12)),'Supuestos'!$B$48,'Supuestos'!$B$49,'Supuestos'!$B$50)+CHOOSE(MIN(3,1+INT((A48-'Supuestos'!$B$2)/12)),'Supuestos'!$B$40,'Supuestos'!$B$41,'Supuestos'!$B$42)/12+D48*'Supuestos'!$B$43/100*'Supuestos'!$B$44,0)</x:f>
        <x:v>38501.45873406429</x:v>
      </x:c>
      <x:c r="S48" s="152" t="n">
        <x:f>SUM(K48:R48)</x:f>
        <x:v>159230.11847221066</x:v>
      </x:c>
      <x:c r="T48" s="152" t="n">
        <x:f>J48-S48</x:f>
        <x:v>66141.87237656291</x:v>
      </x:c>
      <x:c r="U48" s="152" t="n">
        <x:f>T48+U47</x:f>
        <x:v>353216.59123467334</x:v>
      </x:c>
      <x:c r="V48" s="152" t="n">
        <x:f>T48/(1+'Supuestos'!$B$33)^(A48/12)</x:f>
        <x:v>32385.450144921342</x:v>
      </x:c>
    </x:row>
    <x:row r="49" ht="42" customHeight="1">
      <x:c r="A49" s="147" t="n">
        <x:f>48</x:f>
        <x:v>48</x:v>
      </x:c>
      <x:c r="B49" s="147" t="n">
        <x:f>ROUNDUP(A49/12,0)</x:f>
        <x:v>4</x:v>
      </x:c>
      <x:c r="C49" s="152" t="n">
        <x:f>IF(A49&gt;='Supuestos'!$B$2,CHOOSE(MIN(3,1+INT((A49-'Supuestos'!$B$2)/12)),'Supuestos'!$B$34,'Supuestos'!$B$35,'Supuestos'!$B$36)/12,0)</x:f>
        <x:v>140</x:v>
      </x:c>
      <x:c r="D49" s="152" t="n">
        <x:f>D48*'Supuestos'!$B$17+C49</x:f>
        <x:v>1283.5339130633488</x:v>
      </x:c>
      <x:c r="E49" s="152" t="n">
        <x:f>MAX(0,D49*'Supuestos'!$B$18-2*C49)</x:f>
        <x:v>4854.135652253395</x:v>
      </x:c>
      <x:c r="F49" s="152" t="n">
        <x:f>IF(A49&gt;='Supuestos'!$B$2,CHOOSE(MIN(3,1+INT((A49-'Supuestos'!$B$2)/12)),'Supuestos'!$B$37,'Supuestos'!$B$38,'Supuestos'!$B$39)/12,0)</x:f>
        <x:v>2</x:v>
      </x:c>
      <x:c r="G49" s="152" t="n">
        <x:f>IF(A49='Supuestos'!$B$2-1,'Supuestos'!$B$51,IF(A49&gt;='Supuestos'!$B$2,ROUNDUP(ROUND(MAX(0,C49+F49-I48),8),0),0))</x:f>
        <x:v>142</x:v>
      </x:c>
      <x:c r="H49" s="152" t="n">
        <x:f>ROUNDUP(ROUND(G49/(1-'Supuestos'!$B$14),8),0)</x:f>
        <x:v>158</x:v>
      </x:c>
      <x:c r="I49" s="152" t="n">
        <x:f>I48+G49-C49-F49</x:f>
        <x:v>-5.684341886080802e-14</x:v>
      </x:c>
      <x:c r="J49" s="152" t="n">
        <x:f>C49*'Supuestos'!$B$15+E49*'Supuestos'!$B$16</x:f>
        <x:v>233353.39130633487</x:v>
      </x:c>
      <x:c r="K49" s="152" t="n">
        <x:f>(IF(A49='Supuestos'!$B$2-3,ROUNDUP('Supuestos'!$B$51/(1-'Supuestos'!$B$14),0),0)+IF(A49='Supuestos'!$B$2-1,0,H49))*((2*SUM('Supuestos'!B19:B20)+SUM('Supuestos'!B21:B22)+2*SUM('Supuestos'!B23:B24)+'Supuestos'!B25)-IF(A49&lt;='Supuestos'!$B$3,(2*'Supuestos'!B20+'Supuestos'!B22+2*'Supuestos'!B24),0))</x:f>
        <x:v>30742.059999999998</x:v>
      </x:c>
      <x:c r="L49" s="152" t="n">
        <x:f>(IF(A49='Supuestos'!$B$2-2,ROUNDUP('Supuestos'!$B$51/(1-'Supuestos'!$B$14),0),0)+IF(A49='Supuestos'!$B$2-1,0,H49))*(((2*'Supuestos'!B19+'Supuestos'!B21+'Supuestos'!B25)+'Supuestos'!$B$26+'Supuestos'!$B$27)*'Supuestos'!$B$28+'Supuestos'!$B$26+'Supuestos'!$B$27+'Supuestos'!$B$29)+IF(A49='Supuestos'!$B$2-1,'Supuestos'!$B$30,0)</x:f>
        <x:v>16742.865</x:v>
      </x:c>
      <x:c r="M49" s="152" t="n">
        <x:f>E49*(('Supuestos'!$B$23+'Supuestos'!$B$24)/(1-'Supuestos'!$B$14)+'Supuestos'!$B$31)</x:f>
        <x:v>75670.58133457237</x:v>
      </x:c>
      <x:c r="N49" s="152" t="n">
        <x:f>IF(A49&lt;='Supuestos'!$B$3,'Supuestos'!$B$4,0)</x:f>
        <x:v>0</x:v>
      </x:c>
      <x:c r="O49" s="152" t="n">
        <x:f>'Supuestos'!$B$5+'Supuestos'!$B$6</x:f>
        <x:v>2500</x:v>
      </x:c>
      <x:c r="P49" s="152" t="n">
        <x:f>IF(AND(A49&gt;=2,A49&lt;=12),'Supuestos'!$B$7/11,0)+IF(AND(A49&gt;=3,A49&lt;=12),SUM('Supuestos'!$B$8:$B$10)/10,0)+IF(AND(A49&gt;=7,A49&lt;='Supuestos'!$B$3),SUM('Supuestos'!$B$11:$B$12)/('Supuestos'!$B$3-6),0)</x:f>
        <x:v>0</x:v>
      </x:c>
      <x:c r="Q49" s="152" t="n">
        <x:f>(P49+'Supuestos'!$B$6)*'Supuestos'!$B$13</x:f>
        <x:v>50</x:v>
      </x:c>
      <x:c r="R49" s="152" t="n">
        <x:f>J49*'Supuestos'!$B$32+IF(A49&gt;='Supuestos'!$B$2,CHOOSE(MIN(3,1+INT((A49-'Supuestos'!$B$2)/12)),'Supuestos'!$B$45,'Supuestos'!$B$46,'Supuestos'!$B$47)+CHOOSE(MIN(3,1+INT((A49-'Supuestos'!$B$2)/12)),'Supuestos'!$B$48,'Supuestos'!$B$49,'Supuestos'!$B$50)+CHOOSE(MIN(3,1+INT((A49-'Supuestos'!$B$2)/12)),'Supuestos'!$B$40,'Supuestos'!$B$41,'Supuestos'!$B$42)/12+D49*'Supuestos'!$B$43/100*'Supuestos'!$B$44,0)</x:f>
        <x:v>39605.55246402588</x:v>
      </x:c>
      <x:c r="S49" s="152" t="n">
        <x:f>SUM(K49:R49)</x:f>
        <x:v>165311.05879859824</x:v>
      </x:c>
      <x:c r="T49" s="152" t="n">
        <x:f>J49-S49</x:f>
        <x:v>68042.33250773663</x:v>
      </x:c>
      <x:c r="U49" s="152" t="n">
        <x:f>T49+U48</x:f>
        <x:v>421258.92374240997</x:v>
      </x:c>
      <x:c r="V49" s="152" t="n">
        <x:f>T49/(1+'Supuestos'!$B$33)^(A49/12)</x:f>
        <x:v>32813.62485905509</x:v>
      </x:c>
    </x:row>
    <x:row r="52" ht="36" customHeight="1">
      <x:c r="A52" s="147" t="str">
        <x:v>Lote inicial: materiales pagados tres meses antes del lanzamiento; logística e importación dos meses antes; QA y stock vendible un mes antes. El trabajo en curso todavía no se incluye en stock vendible. Desde el lanzamiento, reposición mensual de kits sin plazo de aprovisionamiento modelado; revisar stock de seguridad y anticipos con el proveedor. Los recambios se costean como equivalentes de demanda, sin inventario mensual propio.</x:v>
      </x:c>
      <x:c r="B52" s="147"/>
      <x:c r="C52" s="147"/>
      <x:c r="D52" s="147"/>
      <x:c r="E52" s="147"/>
      <x:c r="F52" s="147"/>
      <x:c r="G52" s="147"/>
      <x:c r="H52" s="147"/>
      <x:c r="I52" s="147"/>
      <x:c r="J52" s="147"/>
      <x:c r="K52" s="147"/>
      <x:c r="L52" s="147"/>
      <x:c r="M52" s="147"/>
      <x:c r="N52" s="147"/>
      <x:c r="O52" s="147"/>
      <x:c r="P52" s="147"/>
      <x:c r="Q52" s="147"/>
      <x:c r="R52" s="147"/>
      <x:c r="S52" s="147"/>
      <x:c r="T52" s="147"/>
      <x:c r="U52" s="147"/>
      <x:c r="V52" s="147"/>
    </x:row>
    <x:row r="53" ht="36" customHeight="1">
      <x:c r="A53" s="147"/>
      <x:c r="B53" s="147"/>
      <x:c r="C53" s="147"/>
      <x:c r="D53" s="147"/>
      <x:c r="E53" s="147"/>
      <x:c r="F53" s="147"/>
      <x:c r="G53" s="147"/>
      <x:c r="H53" s="147"/>
      <x:c r="I53" s="147"/>
      <x:c r="J53" s="147"/>
      <x:c r="K53" s="147"/>
      <x:c r="L53" s="147"/>
      <x:c r="M53" s="147"/>
      <x:c r="N53" s="147"/>
      <x:c r="O53" s="147"/>
      <x:c r="P53" s="147"/>
      <x:c r="Q53" s="147"/>
      <x:c r="R53" s="147"/>
      <x:c r="S53" s="147"/>
      <x:c r="T53" s="147"/>
      <x:c r="U53" s="147"/>
      <x:c r="V53" s="147"/>
    </x:row>
  </x:sheetData>
  <x:mergeCells>
    <x:mergeCell ref="A52:V5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ColWidth="12.630000114440918" defaultRowHeight="15"/>
  <x:cols>
    <x:col min="1" max="1" width="48" customWidth="1"/>
    <x:col min="2" max="2" width="18" customWidth="1"/>
    <x:col min="3" max="3" width="14" customWidth="1"/>
    <x:col min="4" max="4" width="18" customWidth="1"/>
    <x:col min="5" max="5" width="14" customWidth="1"/>
    <x:col min="6" max="26" width="8.630000114440918" customWidth="1"/>
  </x:cols>
  <x:sheetData>
    <x:row r="1">
      <x:c r="A1" s="84" t="s">
        <x:v>0</x:v>
      </x:c>
      <x:c r="B1" s="117"/>
      <x:c r="C1" s="117"/>
      <x:c r="D1" s="117"/>
      <x:c r="E1" s="117"/>
    </x:row>
    <x:row r="2">
      <x:c r="A2" s="117" t="s">
        <x:v>1</x:v>
      </x:c>
      <x:c r="B2" s="118" t="n">
        <x:v>2</x:v>
      </x:c>
      <x:c r="C2" s="117"/>
      <x:c r="D2" s="117" t="s">
        <x:v>2</x:v>
      </x:c>
      <x:c r="E2" s="119" t="str">
        <x:f>CHOOSE($B$2,"Conservador","Base","Expansivo")</x:f>
        <x:v>Base</x:v>
      </x:c>
    </x:row>
    <x:row r="3">
      <x:c r="A3" s="117"/>
      <x:c r="B3" s="117"/>
      <x:c r="C3" s="117"/>
      <x:c r="D3" s="117"/>
      <x:c r="E3" s="117"/>
    </x:row>
    <x:row r="4">
      <x:c r="A4" s="120" t="s">
        <x:v>3</x:v>
      </x:c>
      <x:c r="B4" s="121"/>
      <x:c r="C4" s="121"/>
      <x:c r="D4" s="121"/>
      <x:c r="E4" s="122"/>
    </x:row>
    <x:row r="5">
      <x:c r="A5" s="4" t="s">
        <x:v>4</x:v>
      </x:c>
      <x:c r="B5" s="4" t="s">
        <x:v>5</x:v>
      </x:c>
      <x:c r="C5" s="4" t="str">
        <x:v>Año comercial 1</x:v>
      </x:c>
      <x:c r="D5" s="4" t="str">
        <x:v>Año comercial 2</x:v>
      </x:c>
      <x:c r="E5" s="4" t="str">
        <x:v>Año comercial 3</x:v>
      </x:c>
    </x:row>
    <x:row r="6">
      <x:c r="A6" s="120" t="s">
        <x:v>6</x:v>
      </x:c>
      <x:c r="B6" s="121"/>
      <x:c r="C6" s="121"/>
      <x:c r="D6" s="121"/>
      <x:c r="E6" s="122"/>
    </x:row>
    <x:row r="7">
      <x:c r="A7" s="123" t="s">
        <x:v>7</x:v>
      </x:c>
      <x:c r="B7" s="123"/>
      <x:c r="C7" s="123" t="n">
        <x:f t="shared" ref="C7:E7" si="1">CHOOSE($B$2,C8,C9,C10)</x:f>
        <x:v>25</x:v>
      </x:c>
      <x:c r="D7" s="123" t="n">
        <x:f t="shared" si="1">CHOOSE($B$2,D8,D9,D10)</x:f>
        <x:v>50</x:v>
      </x:c>
      <x:c r="E7" s="123" t="n">
        <x:f t="shared" si="1">CHOOSE($B$2,E8,E9,E10)</x:f>
        <x:v>80</x:v>
      </x:c>
    </x:row>
    <x:row r="8">
      <x:c r="A8" s="117"/>
      <x:c r="B8" s="117" t="s">
        <x:v>8</x:v>
      </x:c>
      <x:c r="C8" s="117">
        <x:v>12.0</x:v>
      </x:c>
      <x:c r="D8" s="117">
        <x:v>25.0</x:v>
      </x:c>
      <x:c r="E8" s="117">
        <x:v>40.0</x:v>
      </x:c>
    </x:row>
    <x:row r="9">
      <x:c r="A9" s="117"/>
      <x:c r="B9" s="117" t="s">
        <x:v>9</x:v>
      </x:c>
      <x:c r="C9" s="117">
        <x:v>25.0</x:v>
      </x:c>
      <x:c r="D9" s="117">
        <x:v>50.0</x:v>
      </x:c>
      <x:c r="E9" s="117" t="n">
        <x:v>80</x:v>
      </x:c>
    </x:row>
    <x:row r="10">
      <x:c r="A10" s="117"/>
      <x:c r="B10" s="117" t="s">
        <x:v>10</x:v>
      </x:c>
      <x:c r="C10" s="117">
        <x:v>40.0</x:v>
      </x:c>
      <x:c r="D10" s="117">
        <x:v>90.0</x:v>
      </x:c>
      <x:c r="E10" s="117">
        <x:v>150.0</x:v>
      </x:c>
    </x:row>
    <x:row r="11">
      <x:c r="A11" s="117"/>
      <x:c r="B11" s="117"/>
      <x:c r="C11" s="117"/>
      <x:c r="D11" s="117"/>
      <x:c r="E11" s="117"/>
    </x:row>
    <x:row r="12">
      <x:c r="A12" s="120" t="s">
        <x:v>11</x:v>
      </x:c>
      <x:c r="B12" s="121"/>
      <x:c r="C12" s="121"/>
      <x:c r="D12" s="121"/>
      <x:c r="E12" s="122"/>
    </x:row>
    <x:row r="13">
      <x:c r="A13" s="123" t="s">
        <x:v>7</x:v>
      </x:c>
      <x:c r="B13" s="123"/>
      <x:c r="C13" s="123" t="n">
        <x:f t="shared" ref="C13:E13" si="2">CHOOSE($B$2,C14,C15,C16)</x:f>
        <x:v>40</x:v>
      </x:c>
      <x:c r="D13" s="123" t="n">
        <x:f t="shared" si="2">CHOOSE($B$2,D14,D15,D16)</x:f>
        <x:v>50</x:v>
      </x:c>
      <x:c r="E13" s="123" t="n">
        <x:f t="shared" si="2">CHOOSE($B$2,E14,E15,E16)</x:f>
        <x:v>60</x:v>
      </x:c>
    </x:row>
    <x:row r="14">
      <x:c r="A14" s="117"/>
      <x:c r="B14" s="117" t="s">
        <x:v>8</x:v>
      </x:c>
      <x:c r="C14" s="117">
        <x:v>30.0</x:v>
      </x:c>
      <x:c r="D14" s="117">
        <x:v>35.0</x:v>
      </x:c>
      <x:c r="E14" s="117">
        <x:v>40.0</x:v>
      </x:c>
    </x:row>
    <x:row r="15">
      <x:c r="A15" s="117"/>
      <x:c r="B15" s="117" t="s">
        <x:v>9</x:v>
      </x:c>
      <x:c r="C15" s="117">
        <x:v>40.0</x:v>
      </x:c>
      <x:c r="D15" s="117">
        <x:v>50.0</x:v>
      </x:c>
      <x:c r="E15" s="117">
        <x:v>60.0</x:v>
      </x:c>
    </x:row>
    <x:row r="16">
      <x:c r="A16" s="117"/>
      <x:c r="B16" s="117" t="s">
        <x:v>10</x:v>
      </x:c>
      <x:c r="C16" s="117">
        <x:v>50.0</x:v>
      </x:c>
      <x:c r="D16" s="117">
        <x:v>65.0</x:v>
      </x:c>
      <x:c r="E16" s="117">
        <x:v>80.0</x:v>
      </x:c>
    </x:row>
    <x:row r="17">
      <x:c r="A17" s="117"/>
      <x:c r="B17" s="117"/>
      <x:c r="C17" s="117"/>
      <x:c r="D17" s="117"/>
      <x:c r="E17" s="117"/>
    </x:row>
    <x:row r="18">
      <x:c r="A18" s="120" t="s">
        <x:v>12</x:v>
      </x:c>
      <x:c r="B18" s="121"/>
      <x:c r="C18" s="121"/>
      <x:c r="D18" s="121"/>
      <x:c r="E18" s="122"/>
    </x:row>
    <x:row r="19">
      <x:c r="A19" s="123" t="s">
        <x:v>7</x:v>
      </x:c>
      <x:c r="B19" s="123"/>
      <x:c r="C19" s="124" t="n">
        <x:f t="shared" ref="C19:E19" si="3">CHOOSE($B$2,C20,C21,C22)</x:f>
        <x:v>0.3</x:v>
      </x:c>
      <x:c r="D19" s="124" t="n">
        <x:f t="shared" si="3">CHOOSE($B$2,D20,D21,D22)</x:f>
        <x:v>0.32</x:v>
      </x:c>
      <x:c r="E19" s="124" t="n">
        <x:f t="shared" si="3">CHOOSE($B$2,E20,E21,E22)</x:f>
        <x:v>0.35</x:v>
      </x:c>
    </x:row>
    <x:row r="20">
      <x:c r="A20" s="117"/>
      <x:c r="B20" s="117" t="s">
        <x:v>8</x:v>
      </x:c>
      <x:c r="C20" s="125">
        <x:v>0.2</x:v>
      </x:c>
      <x:c r="D20" s="125">
        <x:v>0.22</x:v>
      </x:c>
      <x:c r="E20" s="125">
        <x:v>0.25</x:v>
      </x:c>
    </x:row>
    <x:row r="21" ht="15.75" customHeight="1">
      <x:c r="A21" s="117"/>
      <x:c r="B21" s="117" t="s">
        <x:v>9</x:v>
      </x:c>
      <x:c r="C21" s="125">
        <x:v>0.3</x:v>
      </x:c>
      <x:c r="D21" s="125">
        <x:v>0.32</x:v>
      </x:c>
      <x:c r="E21" s="125">
        <x:v>0.35</x:v>
      </x:c>
    </x:row>
    <x:row r="22" ht="15.75" customHeight="1">
      <x:c r="A22" s="117"/>
      <x:c r="B22" s="117" t="s">
        <x:v>10</x:v>
      </x:c>
      <x:c r="C22" s="125">
        <x:v>0.4</x:v>
      </x:c>
      <x:c r="D22" s="125">
        <x:v>0.45</x:v>
      </x:c>
      <x:c r="E22" s="125">
        <x:v>0.5</x:v>
      </x:c>
    </x:row>
    <x:row r="23" ht="15.75" customHeight="1">
      <x:c r="A23" s="117"/>
      <x:c r="B23" s="117"/>
      <x:c r="C23" s="117"/>
      <x:c r="D23" s="117"/>
      <x:c r="E23" s="117"/>
    </x:row>
    <x:row r="24" ht="15.75" customHeight="1">
      <x:c r="A24" s="120" t="s">
        <x:v>13</x:v>
      </x:c>
      <x:c r="B24" s="121"/>
      <x:c r="C24" s="126" t="n">
        <x:f t="shared" ref="C24:E24" si="4">ROUND(C7*C13*C19,0)</x:f>
        <x:v>300</x:v>
      </x:c>
      <x:c r="D24" s="126" t="n">
        <x:f t="shared" si="4">ROUND(D7*D13*D19,0)</x:f>
        <x:v>800</x:v>
      </x:c>
      <x:c r="E24" s="127" t="n">
        <x:f t="shared" si="4">ROUND(E7*E13*E19,0)</x:f>
        <x:v>1680</x:v>
      </x:c>
    </x:row>
    <x:row r="25" ht="15.75" customHeight="1">
      <x:c r="A25" s="117" t="s">
        <x:v>14</x:v>
      </x:c>
      <x:c r="B25" s="117">
        <x:v>4000000.0</x:v>
      </x:c>
      <x:c r="C25" s="117"/>
      <x:c r="D25" s="117"/>
      <x:c r="E25" s="117"/>
    </x:row>
    <x:row r="26" ht="15.75" customHeight="1">
      <x:c r="A26" s="117" t="s">
        <x:v>15</x:v>
      </x:c>
      <x:c r="B26" s="117"/>
      <x:c r="C26" s="128" t="n">
        <x:f t="shared" ref="C26:E26" si="5">C24/$B$25</x:f>
        <x:v>0.000075</x:v>
      </x:c>
      <x:c r="D26" s="128">
        <x:f t="shared" si="5"/>
        <x:v>0.0002</x:v>
      </x:c>
      <x:c r="E26" s="128">
        <x:f t="shared" si="5"/>
        <x:v>0.00042</x:v>
      </x:c>
    </x:row>
    <x:row r="27" ht="15.75" customHeight="1">
      <x:c r="A27" s="120" t="s">
        <x:v>16</x:v>
      </x:c>
      <x:c r="B27" s="121"/>
      <x:c r="C27" s="121"/>
      <x:c r="D27" s="121"/>
      <x:c r="E27" s="122"/>
    </x:row>
    <x:row r="28" ht="15.75" customHeight="1">
      <x:c r="A28" s="123" t="s">
        <x:v>7</x:v>
      </x:c>
      <x:c r="B28" s="123"/>
      <x:c r="C28" s="123" t="n">
        <x:f t="shared" ref="C28:E28" si="6">CHOOSE($B$2,C29,C30,C31)</x:f>
        <x:v>1</x:v>
      </x:c>
      <x:c r="D28" s="123" t="n">
        <x:f t="shared" si="6">CHOOSE($B$2,D29,D30,D31)</x:f>
        <x:v>2</x:v>
      </x:c>
      <x:c r="E28" s="123" t="n">
        <x:f t="shared" si="6">CHOOSE($B$2,E29,E30,E31)</x:f>
        <x:v>3</x:v>
      </x:c>
    </x:row>
    <x:row r="29" ht="15.75" customHeight="1">
      <x:c r="A29" s="117"/>
      <x:c r="B29" s="117" t="s">
        <x:v>8</x:v>
      </x:c>
      <x:c r="C29" s="117">
        <x:v>1.0</x:v>
      </x:c>
      <x:c r="D29" s="117">
        <x:v>1.0</x:v>
      </x:c>
      <x:c r="E29" s="117">
        <x:v>2.0</x:v>
      </x:c>
    </x:row>
    <x:row r="30" ht="15.75" customHeight="1">
      <x:c r="A30" s="117"/>
      <x:c r="B30" s="117" t="s">
        <x:v>9</x:v>
      </x:c>
      <x:c r="C30" s="117">
        <x:v>1.0</x:v>
      </x:c>
      <x:c r="D30" s="117">
        <x:v>2.0</x:v>
      </x:c>
      <x:c r="E30" s="117">
        <x:v>3.0</x:v>
      </x:c>
    </x:row>
    <x:row r="31" ht="15.75" customHeight="1">
      <x:c r="A31" s="117"/>
      <x:c r="B31" s="117" t="s">
        <x:v>10</x:v>
      </x:c>
      <x:c r="C31" s="117">
        <x:v>2.0</x:v>
      </x:c>
      <x:c r="D31" s="117">
        <x:v>4.0</x:v>
      </x:c>
      <x:c r="E31" s="117">
        <x:v>6.0</x:v>
      </x:c>
    </x:row>
    <x:row r="32" ht="15.75" customHeight="1">
      <x:c r="A32" s="117"/>
      <x:c r="B32" s="117"/>
      <x:c r="C32" s="117"/>
      <x:c r="D32" s="117"/>
      <x:c r="E32" s="117"/>
    </x:row>
    <x:row r="33" ht="15.75" customHeight="1">
      <x:c r="A33" s="120" t="s">
        <x:v>17</x:v>
      </x:c>
      <x:c r="B33" s="121"/>
      <x:c r="C33" s="121"/>
      <x:c r="D33" s="121"/>
      <x:c r="E33" s="122"/>
    </x:row>
    <x:row r="34" ht="15.75" customHeight="1">
      <x:c r="A34" s="123" t="s">
        <x:v>7</x:v>
      </x:c>
      <x:c r="B34" s="123"/>
      <x:c r="C34" s="129" t="n">
        <x:f t="shared" ref="C34:E34" si="7">CHOOSE($B$2,C35,C36,C37)</x:f>
        <x:v>2000</x:v>
      </x:c>
      <x:c r="D34" s="129" t="n">
        <x:f t="shared" si="7">CHOOSE($B$2,D35,D36,D37)</x:f>
        <x:v>3500</x:v>
      </x:c>
      <x:c r="E34" s="129" t="n">
        <x:f t="shared" si="7">CHOOSE($B$2,E35,E36,E37)</x:f>
        <x:v>5000</x:v>
      </x:c>
    </x:row>
    <x:row r="35" ht="15.75" customHeight="1">
      <x:c r="A35" s="117"/>
      <x:c r="B35" s="117" t="s">
        <x:v>8</x:v>
      </x:c>
      <x:c r="C35" s="130">
        <x:v>1000.0</x:v>
      </x:c>
      <x:c r="D35" s="130">
        <x:v>1500.0</x:v>
      </x:c>
      <x:c r="E35" s="130">
        <x:v>2000.0</x:v>
      </x:c>
    </x:row>
    <x:row r="36" ht="15.75" customHeight="1">
      <x:c r="A36" s="117"/>
      <x:c r="B36" s="117" t="s">
        <x:v>9</x:v>
      </x:c>
      <x:c r="C36" s="130">
        <x:v>2000.0</x:v>
      </x:c>
      <x:c r="D36" s="130">
        <x:v>3500.0</x:v>
      </x:c>
      <x:c r="E36" s="130">
        <x:v>5000.0</x:v>
      </x:c>
    </x:row>
    <x:row r="37" ht="15.75" customHeight="1">
      <x:c r="A37" s="117"/>
      <x:c r="B37" s="117" t="s">
        <x:v>10</x:v>
      </x:c>
      <x:c r="C37" s="130">
        <x:v>4000.0</x:v>
      </x:c>
      <x:c r="D37" s="130">
        <x:v>7500.0</x:v>
      </x:c>
      <x:c r="E37" s="130">
        <x:v>12000.0</x:v>
      </x:c>
    </x:row>
    <x:row r="38" ht="15.75" customHeight="1">
      <x:c r="A38" s="117"/>
      <x:c r="B38" s="117"/>
      <x:c r="C38" s="117"/>
      <x:c r="D38" s="117"/>
      <x:c r="E38" s="117"/>
    </x:row>
    <x:row r="39" ht="15.75" customHeight="1">
      <x:c r="A39" s="120" t="s">
        <x:v>18</x:v>
      </x:c>
      <x:c r="B39" s="121"/>
      <x:c r="C39" s="121"/>
      <x:c r="D39" s="121"/>
      <x:c r="E39" s="122"/>
    </x:row>
    <x:row r="40" ht="15.75" customHeight="1">
      <x:c r="A40" s="117"/>
      <x:c r="B40" s="4" t="s">
        <x:v>5</x:v>
      </x:c>
      <x:c r="C40" s="4" t="str">
        <x:v>Año comercial 1</x:v>
      </x:c>
      <x:c r="D40" s="4" t="str">
        <x:v>Año comercial 2</x:v>
      </x:c>
      <x:c r="E40" s="4" t="str">
        <x:v>Año comercial 3</x:v>
      </x:c>
    </x:row>
    <x:row r="41" ht="15.75" customHeight="1">
      <x:c r="A41" s="117"/>
      <x:c r="B41" s="117" t="s">
        <x:v>8</x:v>
      </x:c>
      <x:c r="C41" s="117" t="n">
        <x:f t="shared" ref="C41:E41" si="8">ROUND(C8*C14*C20,0)</x:f>
        <x:v>72</x:v>
      </x:c>
      <x:c r="D41" s="117" t="n">
        <x:f t="shared" si="8">ROUND(D8*D14*D20,0)</x:f>
        <x:v>193</x:v>
      </x:c>
      <x:c r="E41" s="117" t="n">
        <x:f t="shared" si="8">ROUND(E8*E14*E20,0)</x:f>
        <x:v>400</x:v>
      </x:c>
    </x:row>
    <x:row r="42" ht="15.75" customHeight="1">
      <x:c r="A42" s="117"/>
      <x:c r="B42" s="117" t="s">
        <x:v>9</x:v>
      </x:c>
      <x:c r="C42" s="117" t="n">
        <x:f t="shared" ref="C42:E42" si="9">ROUND(C9*C15*C21,0)</x:f>
        <x:v>300</x:v>
      </x:c>
      <x:c r="D42" s="117" t="n">
        <x:f t="shared" si="9">ROUND(D9*D15*D21,0)</x:f>
        <x:v>800</x:v>
      </x:c>
      <x:c r="E42" s="117" t="n">
        <x:f t="shared" si="9">ROUND(E9*E15*E21,0)</x:f>
        <x:v>1680</x:v>
      </x:c>
    </x:row>
    <x:row r="43" ht="15.75" customHeight="1">
      <x:c r="A43" s="117"/>
      <x:c r="B43" s="117" t="s">
        <x:v>10</x:v>
      </x:c>
      <x:c r="C43" s="117" t="n">
        <x:f t="shared" ref="C43:E43" si="10">ROUND(C10*C16*C22,0)</x:f>
        <x:v>800</x:v>
      </x:c>
      <x:c r="D43" s="117" t="n">
        <x:f t="shared" si="10">ROUND(D10*D16*D22,0)</x:f>
        <x:v>2633</x:v>
      </x:c>
      <x:c r="E43" s="117" t="n">
        <x:f t="shared" si="10">ROUND(E10*E16*E22,0)</x:f>
        <x:v>6000</x:v>
      </x:c>
    </x:row>
    <x:row r="44" ht="15.75" customHeight="1">
      <x:c r="A44" s="117"/>
      <x:c r="B44" s="117"/>
      <x:c r="C44" s="117"/>
      <x:c r="D44" s="117"/>
      <x:c r="E44" s="117"/>
    </x:row>
    <x:row r="45" ht="15.75" customHeight="1">
      <x:c r="A45" s="117"/>
      <x:c r="B45" s="117"/>
      <x:c r="C45" s="117"/>
      <x:c r="D45" s="117"/>
      <x:c r="E45" s="117"/>
    </x:row>
    <x:row r="46" ht="15.75" customHeight="1">
      <x:c r="A46" s="120" t="s">
        <x:v>19</x:v>
      </x:c>
      <x:c r="B46" s="121"/>
      <x:c r="C46" s="121"/>
      <x:c r="D46" s="121"/>
      <x:c r="E46" s="122"/>
    </x:row>
    <x:row r="47" ht="15.75" customHeight="1">
      <x:c r="A47" s="131" t="s">
        <x:v>20</x:v>
      </x:c>
      <x:c r="B47" s="117"/>
      <x:c r="C47" s="117"/>
      <x:c r="D47" s="117"/>
      <x:c r="E47" s="117"/>
    </x:row>
    <x:row r="48" ht="15.75" customHeight="1">
      <x:c r="A48" s="131" t="str">
        <x:v>Ventas = aliados × alcance × adopción. Los parámetros y tarifas son supuestos internos a validar, no ventas observadas. Cálculos y fuentes en Supuestos.</x:v>
      </x:c>
      <x:c r="B48" s="117"/>
      <x:c r="C48" s="117"/>
      <x:c r="D48" s="117"/>
      <x:c r="E48" s="117"/>
    </x:row>
    <x:row r="49" ht="15.75" customHeight="1">
      <x:c r="A49" s="131" t="s">
        <x:v>21</x:v>
      </x:c>
      <x:c r="B49" s="117"/>
      <x:c r="C49" s="117"/>
      <x:c r="D49" s="117"/>
      <x:c r="E49" s="117"/>
    </x:row>
    <x:row r="50" ht="15.75" customHeight="1"/>
    <x:row r="51" ht="15.75" customHeight="1"/>
    <x:row r="52" ht="15.75" customHeight="1">
      <x:c r="A52" s="37" t="s">
        <x:v>22</x:v>
      </x:c>
      <x:c r="B52" s="38"/>
      <x:c r="C52" s="38"/>
      <x:c r="D52" s="38"/>
      <x:c r="E52" s="39"/>
    </x:row>
    <x:row r="53" ht="15.75" customHeight="1">
      <x:c r="A53" s="106" t="s">
        <x:v>4</x:v>
      </x:c>
      <x:c r="B53" s="106" t="s">
        <x:v>23</x:v>
      </x:c>
      <x:c r="C53" s="106" t="str">
        <x:v>Año comercial 1</x:v>
      </x:c>
      <x:c r="D53" s="106" t="str">
        <x:v>Año comercial 2</x:v>
      </x:c>
      <x:c r="E53" s="106" t="str">
        <x:v>Año comercial 3</x:v>
      </x:c>
    </x:row>
    <x:row r="54" ht="15.75" customHeight="1">
      <x:c r="A54" s="132" t="s">
        <x:v>24</x:v>
      </x:c>
      <x:c r="B54" s="132"/>
      <x:c r="C54" s="132" t="n">
        <x:f t="shared" ref="C54:E54" si="11">ROUND(C7*C56/(C56+C57),0)</x:f>
        <x:v>18</x:v>
      </x:c>
      <x:c r="D54" s="132" t="n">
        <x:f t="shared" si="11">ROUND(D7*D56/(D56+D57),0)</x:f>
        <x:v>35</x:v>
      </x:c>
      <x:c r="E54" s="132" t="n">
        <x:f t="shared" si="11">ROUND(E7*E56/(E56+E57),0)</x:f>
        <x:v>56</x:v>
      </x:c>
    </x:row>
    <x:row r="55" ht="15.75" customHeight="1">
      <x:c r="A55" s="132" t="s">
        <x:v>25</x:v>
      </x:c>
      <x:c r="B55" s="132"/>
      <x:c r="C55" s="132" t="n">
        <x:f t="shared" ref="C55:E55" si="12">C7-C54</x:f>
        <x:v>7</x:v>
      </x:c>
      <x:c r="D55" s="132" t="n">
        <x:f t="shared" si="12">D7-D54</x:f>
        <x:v>15</x:v>
      </x:c>
      <x:c r="E55" s="132" t="n">
        <x:f t="shared" si="12">E7-E54</x:f>
        <x:v>24</x:v>
      </x:c>
    </x:row>
    <x:row r="56" ht="15.75" customHeight="1">
      <x:c r="A56" s="133" t="s">
        <x:v>26</x:v>
      </x:c>
      <x:c r="B56" s="133"/>
      <x:c r="C56" s="134">
        <x:v>18.0</x:v>
      </x:c>
      <x:c r="D56" s="134">
        <x:v>35.0</x:v>
      </x:c>
      <x:c r="E56" s="134">
        <x:v>56.0</x:v>
      </x:c>
    </x:row>
    <x:row r="57" ht="15.75" customHeight="1">
      <x:c r="A57" s="133" t="s">
        <x:v>27</x:v>
      </x:c>
      <x:c r="B57" s="133"/>
      <x:c r="C57" s="134">
        <x:v>7.0</x:v>
      </x:c>
      <x:c r="D57" s="134">
        <x:v>15.0</x:v>
      </x:c>
      <x:c r="E57" s="134">
        <x:v>24.0</x:v>
      </x:c>
    </x:row>
    <x:row r="58" ht="15.75" customHeight="1">
      <x:c r="A58" s="133" t="s">
        <x:v>28</x:v>
      </x:c>
      <x:c r="B58" s="133"/>
      <x:c r="C58" s="133" t="n">
        <x:f t="shared" ref="C58:E58" si="13">ROUND(C54/C59,0)</x:f>
        <x:v>90</x:v>
      </x:c>
      <x:c r="D58" s="133" t="n">
        <x:f t="shared" si="13">ROUND(D54/D59,0)</x:f>
        <x:v>175</x:v>
      </x:c>
      <x:c r="E58" s="133" t="n">
        <x:f t="shared" si="13">ROUND(E54/E59,0)</x:f>
        <x:v>280</x:v>
      </x:c>
    </x:row>
    <x:row r="59" ht="15.75" customHeight="1">
      <x:c r="A59" s="133" t="s">
        <x:v>29</x:v>
      </x:c>
      <x:c r="B59" s="133"/>
      <x:c r="C59" s="135">
        <x:v>0.2</x:v>
      </x:c>
      <x:c r="D59" s="135">
        <x:v>0.2</x:v>
      </x:c>
      <x:c r="E59" s="135">
        <x:v>0.2</x:v>
      </x:c>
    </x:row>
    <x:row r="60" ht="15.75" customHeight="1">
      <x:c r="A60" s="133" t="s">
        <x:v>30</x:v>
      </x:c>
      <x:c r="B60" s="133"/>
      <x:c r="C60" s="133" t="n">
        <x:f t="shared" ref="C60:E60" si="14">ROUND(C55/C61,0)</x:f>
        <x:v>35</x:v>
      </x:c>
      <x:c r="D60" s="133" t="n">
        <x:f t="shared" si="14">ROUND(D55/D61,0)</x:f>
        <x:v>75</x:v>
      </x:c>
      <x:c r="E60" s="133" t="n">
        <x:f t="shared" si="14">ROUND(E55/E61,0)</x:f>
        <x:v>120</x:v>
      </x:c>
    </x:row>
    <x:row r="61" ht="15.75" customHeight="1">
      <x:c r="A61" s="133" t="s">
        <x:v>31</x:v>
      </x:c>
      <x:c r="B61" s="133"/>
      <x:c r="C61" s="135">
        <x:v>0.2</x:v>
      </x:c>
      <x:c r="D61" s="135">
        <x:v>0.2</x:v>
      </x:c>
      <x:c r="E61" s="135">
        <x:v>0.2</x:v>
      </x:c>
    </x:row>
    <x:row r="62" ht="15.75" customHeight="1">
      <x:c r="A62" s="133" t="s">
        <x:v>32</x:v>
      </x:c>
      <x:c r="B62" s="133"/>
      <x:c r="C62" s="133" t="n">
        <x:f t="shared" ref="C62:E62" si="15">C55</x:f>
        <x:v>7</x:v>
      </x:c>
      <x:c r="D62" s="133" t="n">
        <x:f t="shared" si="15">D55</x:f>
        <x:v>15</x:v>
      </x:c>
      <x:c r="E62" s="133" t="n">
        <x:f t="shared" si="15">E55</x:f>
        <x:v>24</x:v>
      </x:c>
    </x:row>
    <x:row r="63" ht="15.75" customHeight="1">
      <x:c r="A63" s="133" t="s">
        <x:v>33</x:v>
      </x:c>
      <x:c r="B63" s="136">
        <x:v>75.0</x:v>
      </x:c>
      <x:c r="C63" s="137" t="n">
        <x:f t="shared" ref="C63:E63" si="16">C54*$B$63</x:f>
        <x:v>1350</x:v>
      </x:c>
      <x:c r="D63" s="137" t="n">
        <x:f t="shared" si="16">D54*$B$63</x:f>
        <x:v>2625</x:v>
      </x:c>
      <x:c r="E63" s="137" t="n">
        <x:f t="shared" si="16">E54*$B$63</x:f>
        <x:v>4200</x:v>
      </x:c>
    </x:row>
    <x:row r="64" ht="15.75" customHeight="1">
      <x:c r="A64" s="133" t="s">
        <x:v>34</x:v>
      </x:c>
      <x:c r="B64" s="136">
        <x:v>300.0</x:v>
      </x:c>
      <x:c r="C64" s="137" t="n">
        <x:f t="shared" ref="C64:E64" si="17">C55*$B$64</x:f>
        <x:v>2100</x:v>
      </x:c>
      <x:c r="D64" s="137" t="n">
        <x:f t="shared" si="17">D55*$B$64</x:f>
        <x:v>4500</x:v>
      </x:c>
      <x:c r="E64" s="137" t="n">
        <x:f t="shared" si="17">E55*$B$64</x:f>
        <x:v>7200</x:v>
      </x:c>
    </x:row>
    <x:row r="65" ht="15.75" customHeight="1">
      <x:c r="A65" s="138" t="s">
        <x:v>35</x:v>
      </x:c>
      <x:c r="B65" s="139"/>
      <x:c r="C65" s="139" t="n">
        <x:f t="shared" ref="C65:E65" si="18">SUM(C63:C64)</x:f>
        <x:v>3450</x:v>
      </x:c>
      <x:c r="D65" s="139" t="n">
        <x:f t="shared" si="18">SUM(D63:D64)</x:f>
        <x:v>7125</x:v>
      </x:c>
      <x:c r="E65" s="139" t="n">
        <x:f t="shared" si="18">SUM(E63:E64)</x:f>
        <x:v>11400</x:v>
      </x:c>
    </x:row>
    <x:row r="66" ht="15.75" customHeight="1">
      <x:c r="A66" s="105"/>
      <x:c r="B66" s="105"/>
      <x:c r="C66" s="105"/>
      <x:c r="D66" s="105"/>
      <x:c r="E66" s="105"/>
    </x:row>
    <x:row r="67" ht="15.75" customHeight="1">
      <x:c r="A67" s="37" t="s">
        <x:v>36</x:v>
      </x:c>
      <x:c r="B67" s="38"/>
      <x:c r="C67" s="38"/>
      <x:c r="D67" s="38"/>
      <x:c r="E67" s="39"/>
    </x:row>
    <x:row r="68" ht="15.75" customHeight="1">
      <x:c r="A68" s="106" t="s">
        <x:v>37</x:v>
      </x:c>
      <x:c r="B68" s="106" t="s">
        <x:v>38</x:v>
      </x:c>
      <x:c r="C68" s="106" t="s">
        <x:v>39</x:v>
      </x:c>
      <x:c r="D68" s="106" t="s">
        <x:v>40</x:v>
      </x:c>
      <x:c r="E68" s="106" t="s">
        <x:v>41</x:v>
      </x:c>
    </x:row>
    <x:row r="69" ht="53.25" customHeight="1">
      <x:c r="A69" s="110" t="s">
        <x:v>42</x:v>
      </x:c>
      <x:c r="B69" s="110" t="s">
        <x:v>43</x:v>
      </x:c>
      <x:c r="C69" s="110" t="s">
        <x:v>44</x:v>
      </x:c>
      <x:c r="D69" s="110" t="s">
        <x:v>45</x:v>
      </x:c>
      <x:c r="E69" s="110" t="s">
        <x:v>46</x:v>
      </x:c>
    </x:row>
    <x:row r="70" ht="56.25" customHeight="1">
      <x:c r="A70" s="110" t="s">
        <x:v>47</x:v>
      </x:c>
      <x:c r="B70" s="110" t="s">
        <x:v>48</x:v>
      </x:c>
      <x:c r="C70" s="110" t="s">
        <x:v>49</x:v>
      </x:c>
      <x:c r="D70" s="110" t="s">
        <x:v>50</x:v>
      </x:c>
      <x:c r="E70" s="110" t="s">
        <x:v>46</x:v>
      </x:c>
    </x:row>
    <x:row r="71" ht="48.75" customHeight="1">
      <x:c r="A71" s="110" t="s">
        <x:v>51</x:v>
      </x:c>
      <x:c r="B71" s="110" t="s">
        <x:v>52</x:v>
      </x:c>
      <x:c r="C71" s="110" t="s">
        <x:v>53</x:v>
      </x:c>
      <x:c r="D71" s="110" t="s">
        <x:v>54</x:v>
      </x:c>
      <x:c r="E71" s="110" t="s">
        <x:v>55</x:v>
      </x:c>
    </x:row>
    <x:row r="72" ht="50.25" customHeight="1">
      <x:c r="A72" s="110" t="s">
        <x:v>56</x:v>
      </x:c>
      <x:c r="B72" s="110" t="s">
        <x:v>57</x:v>
      </x:c>
      <x:c r="C72" s="110" t="s">
        <x:v>58</x:v>
      </x:c>
      <x:c r="D72" s="110" t="s">
        <x:v>59</x:v>
      </x:c>
      <x:c r="E72" s="110" t="s">
        <x:v>60</x:v>
      </x:c>
    </x:row>
    <x:row r="73" ht="48.75" customHeight="1">
      <x:c r="A73" s="110" t="s">
        <x:v>61</x:v>
      </x:c>
      <x:c r="B73" s="110" t="s">
        <x:v>62</x:v>
      </x:c>
      <x:c r="C73" s="110" t="s">
        <x:v>63</x:v>
      </x:c>
      <x:c r="D73" s="110" t="s">
        <x:v>64</x:v>
      </x:c>
      <x:c r="E73" s="110" t="s">
        <x:v>65</x:v>
      </x:c>
    </x:row>
    <x:row r="74" ht="53.25" customHeight="1">
      <x:c r="A74" s="110" t="s">
        <x:v>66</x:v>
      </x:c>
      <x:c r="B74" s="110" t="s">
        <x:v>67</x:v>
      </x:c>
      <x:c r="C74" s="110" t="s">
        <x:v>68</x:v>
      </x:c>
      <x:c r="D74" s="110" t="s">
        <x:v>69</x:v>
      </x:c>
      <x:c r="E74" s="110" t="s">
        <x:v>70</x:v>
      </x:c>
    </x:row>
    <x:row r="75" ht="54" customHeight="1">
      <x:c r="A75" s="111" t="s">
        <x:v>71</x:v>
      </x:c>
      <x:c r="B75" s="111" t="s">
        <x:v>72</x:v>
      </x:c>
      <x:c r="C75" s="111" t="s">
        <x:v>73</x:v>
      </x:c>
      <x:c r="D75" s="111" t="s">
        <x:v>73</x:v>
      </x:c>
      <x:c r="E75" s="111" t="s">
        <x:v>74</x:v>
      </x:c>
    </x:row>
    <x:row r="76" ht="15.75" customHeight="1">
      <x:c r="A76" s="105"/>
      <x:c r="B76" s="105"/>
      <x:c r="C76" s="105"/>
      <x:c r="D76" s="105"/>
      <x:c r="E76" s="105"/>
    </x:row>
    <x:row r="77" ht="15.75" customHeight="1">
      <x:c r="A77" s="37" t="s">
        <x:v>75</x:v>
      </x:c>
      <x:c r="B77" s="38"/>
      <x:c r="C77" s="38"/>
      <x:c r="D77" s="38"/>
      <x:c r="E77" s="39"/>
    </x:row>
    <x:row r="78" ht="24" customHeight="1">
      <x:c r="A78" s="140" t="s">
        <x:v>76</x:v>
      </x:c>
    </x:row>
    <x:row r="79" ht="24" customHeight="1">
      <x:c r="A79" s="140" t="s">
        <x:v>77</x:v>
      </x:c>
    </x:row>
    <x:row r="80" ht="24" customHeight="1">
      <x:c r="A80" s="140" t="str">
        <x:v>Demostradores desde el mes 19; cada año comercial cuenta doce meses desde el lanzamiento.</x:v>
      </x:c>
    </x:row>
    <x:row r="81" ht="24" customHeight="1">
      <x:c r="A81" s="140" t="s">
        <x:v>78</x:v>
      </x:c>
    </x:row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78:E78"/>
    <x:mergeCell ref="A79:E79"/>
    <x:mergeCell ref="A80:E80"/>
    <x:mergeCell ref="A81:E81"/>
  </x:mergeCells>
  <x:dataValidations count="1">
    <x:dataValidation type="list" allowBlank="1" sqref="B2">
      <x:formula1>"1,2,3"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0" hidden="0" customWidth="1"/>
    <x:col min="3" max="3" width="65" hidden="0" customWidth="1"/>
    <x:col min="4" max="4" width="20" hidden="0" customWidth="1"/>
    <x:col min="5" max="5" width="20" hidden="0" customWidth="1"/>
    <x:col min="6" max="6" width="18" hidden="0" customWidth="1"/>
    <x:col min="7" max="7" width="55" hidden="0" customWidth="1"/>
    <x:col min="8" max="8" width="65" hidden="0" customWidth="1"/>
  </x:cols>
  <x:sheetData>
    <x:row r="1" ht="34" customHeight="1">
      <x:c r="A1" s="252" t="str">
        <x:v>Grupo de costo</x:v>
      </x:c>
      <x:c r="B1" s="252" t="str">
        <x:v>Componente</x:v>
      </x:c>
      <x:c r="C1" s="252" t="str">
        <x:v>Alternativa / especificación</x:v>
      </x:c>
      <x:c r="D1" s="252" t="str">
        <x:v>Cantidad por dispositivo o kit</x:v>
      </x:c>
      <x:c r="E1" s="252" t="str">
        <x:v>USD unidad o conjunto</x:v>
      </x:c>
      <x:c r="F1" s="252" t="str">
        <x:v>Subtotal USD</x:v>
      </x:c>
      <x:c r="G1" s="252" t="str">
        <x:v>Base de estimación</x:v>
      </x:c>
      <x:c r="H1" s="252" t="str">
        <x:v>Fuente técnica</x:v>
      </x:c>
    </x:row>
    <x:row r="2" ht="85" customHeight="1">
      <x:c r="A2" s="203" t="str">
        <x:v>Lector materiales</x:v>
      </x:c>
      <x:c r="B2" s="203" t="str">
        <x:v>MCU y BLE</x:v>
      </x:c>
      <x:c r="C2" s="203" t="str">
        <x:v>ESP32-C3-MINI-1-H4</x:v>
      </x:c>
      <x:c r="D2" s="203" t="n">
        <x:v>1</x:v>
      </x:c>
      <x:c r="E2" s="208" t="n">
        <x:v>2.4</x:v>
      </x:c>
      <x:c r="F2" s="207" t="n">
        <x:f>D2*E2</x:f>
        <x:v>2.4</x:v>
      </x:c>
      <x:c r="G2" s="203" t="str">
        <x:v>USD 2,40 asignados al módulo. F3 acredita la referencia técnica, no este precio.</x:v>
      </x:c>
      <x:c r="H2" s="203" t="str">
        <x:v>F3: ficha técnica de Espressif. Enlace en Supuestos.</x:v>
      </x:c>
    </x:row>
    <x:row r="3" ht="85" customHeight="1">
      <x:c r="A3" s="203" t="str">
        <x:v>Lector materiales</x:v>
      </x:c>
      <x:c r="B3" s="203" t="str">
        <x:v>Sensado óptico y electroquímico</x:v>
      </x:c>
      <x:c r="C3" s="203" t="str">
        <x:v>3 × AS7341-DLGT; 1 × AD5941BCPZ-RL7; iluminación y multiplexor I2C</x:v>
      </x:c>
      <x:c r="D3" s="203" t="n">
        <x:v>1</x:v>
      </x:c>
      <x:c r="E3" s="208" t="n">
        <x:v>28.4</x:v>
      </x:c>
      <x:c r="F3" s="207" t="n">
        <x:f>D3*E3</x:f>
        <x:v>28.4</x:v>
      </x:c>
      <x:c r="G3" s="203" t="str">
        <x:v>Asignación del conjunto; sin precio individual confirmado. Estimación interna; precio a cotizar.</x:v>
      </x:c>
      <x:c r="H3" s="203" t="str">
        <x:v>F4 y F5: ams OSRAM y Analog Devices. Enlaces en Supuestos.</x:v>
      </x:c>
    </x:row>
    <x:row r="4" ht="85" customHeight="1">
      <x:c r="A4" s="203" t="str">
        <x:v>Lector materiales</x:v>
      </x:c>
      <x:c r="B4" s="203" t="str">
        <x:v>Carga, protección y regulación</x:v>
      </x:c>
      <x:c r="C4" s="203" t="str">
        <x:v>Circuito para celda Li-ion/Li-Po de 750 mAh; corriente de referencia 250 mA</x:v>
      </x:c>
      <x:c r="D4" s="203" t="n">
        <x:v>1</x:v>
      </x:c>
      <x:c r="E4" s="208" t="n">
        <x:v>3</x:v>
      </x:c>
      <x:c r="F4" s="207" t="n">
        <x:f>D4*E4</x:f>
        <x:v>3</x:v>
      </x:c>
      <x:c r="G4" s="203" t="str">
        <x:v>Estimación de circuito; selección pendiente. Estimación interna; precio a cotizar.</x:v>
      </x:c>
      <x:c r="H4" s="203" t="str">
        <x:v>Sin cotización externa adjunta. Selección y precio pendientes.</x:v>
      </x:c>
    </x:row>
    <x:row r="5" ht="85" customHeight="1">
      <x:c r="A5" s="203" t="str">
        <x:v>Lector materiales</x:v>
      </x:c>
      <x:c r="B5" s="203" t="str">
        <x:v>Pasivos y contactos</x:v>
      </x:c>
      <x:c r="C5" s="203" t="str">
        <x:v>Resistencias, capacitores y contactos de interfaz</x:v>
      </x:c>
      <x:c r="D5" s="203" t="n">
        <x:v>1</x:v>
      </x:c>
      <x:c r="E5" s="208" t="n">
        <x:v>2.5</x:v>
      </x:c>
      <x:c r="F5" s="207" t="n">
        <x:f>D5*E5</x:f>
        <x:v>2.5</x:v>
      </x:c>
      <x:c r="G5" s="203" t="str">
        <x:v>Estimación de conjunto. Estimación interna; precio a cotizar.</x:v>
      </x:c>
      <x:c r="H5" s="203" t="str">
        <x:v>Sin cotización externa adjunta. Selección y precio pendientes.</x:v>
      </x:c>
    </x:row>
    <x:row r="6" ht="85" customHeight="1">
      <x:c r="A6" s="203" t="str">
        <x:v>Lector materiales</x:v>
      </x:c>
      <x:c r="B6" s="203" t="str">
        <x:v>Batería</x:v>
      </x:c>
      <x:c r="C6" s="203" t="str">
        <x:v>Celda recargable de 750 mAh</x:v>
      </x:c>
      <x:c r="D6" s="203" t="n">
        <x:v>1</x:v>
      </x:c>
      <x:c r="E6" s="208" t="n">
        <x:v>3</x:v>
      </x:c>
      <x:c r="F6" s="207" t="n">
        <x:f>D6*E6</x:f>
        <x:v>3</x:v>
      </x:c>
      <x:c r="G6" s="203" t="str">
        <x:v>Asignación; proveedor y formato a cotizar. Estimación interna; precio a cotizar.</x:v>
      </x:c>
      <x:c r="H6" s="203" t="str">
        <x:v>Sin cotización externa adjunta. Selección y precio pendientes.</x:v>
      </x:c>
    </x:row>
    <x:row r="7" ht="85" customHeight="1">
      <x:c r="A7" s="203" t="str">
        <x:v>Lector materiales</x:v>
      </x:c>
      <x:c r="B7" s="203" t="str">
        <x:v>PCB y montaje</x:v>
      </x:c>
      <x:c r="C7" s="203" t="str">
        <x:v>PCB del lector y montaje de componentes</x:v>
      </x:c>
      <x:c r="D7" s="203" t="n">
        <x:v>1</x:v>
      </x:c>
      <x:c r="E7" s="208" t="n">
        <x:v>5</x:v>
      </x:c>
      <x:c r="F7" s="207" t="n">
        <x:f>D7*E7</x:f>
        <x:v>5</x:v>
      </x:c>
      <x:c r="G7" s="203" t="str">
        <x:v>Estimación para lote. Estimación interna; precio a cotizar.</x:v>
      </x:c>
      <x:c r="H7" s="203" t="str">
        <x:v>Sin cotización externa adjunta. Selección y precio pendientes.</x:v>
      </x:c>
    </x:row>
    <x:row r="8" ht="85" customHeight="1">
      <x:c r="A8" s="203" t="str">
        <x:v>Lector materiales</x:v>
      </x:c>
      <x:c r="B8" s="203" t="str">
        <x:v>Carcasa</x:v>
      </x:c>
      <x:c r="C8" s="203" t="str">
        <x:v>Envolvente del lector</x:v>
      </x:c>
      <x:c r="D8" s="203" t="n">
        <x:v>1</x:v>
      </x:c>
      <x:c r="E8" s="208" t="n">
        <x:v>5</x:v>
      </x:c>
      <x:c r="F8" s="207" t="n">
        <x:f>D8*E8</x:f>
        <x:v>5</x:v>
      </x:c>
      <x:c r="G8" s="203" t="str">
        <x:v>Estimación para lote. Estimación interna; precio a cotizar.</x:v>
      </x:c>
      <x:c r="H8" s="203" t="str">
        <x:v>Sin cotización externa adjunta. Selección y precio pendientes.</x:v>
      </x:c>
    </x:row>
    <x:row r="9" ht="85" customHeight="1">
      <x:c r="A9" s="203" t="str">
        <x:v>Lector materiales</x:v>
      </x:c>
      <x:c r="B9" s="203" t="str">
        <x:v>USB-C sellado</x:v>
      </x:c>
      <x:c r="C9" s="203" t="str">
        <x:v>Conector sellado en condición desconectada</x:v>
      </x:c>
      <x:c r="D9" s="203" t="n">
        <x:v>1</x:v>
      </x:c>
      <x:c r="E9" s="208" t="n">
        <x:v>3</x:v>
      </x:c>
      <x:c r="F9" s="207" t="n">
        <x:f>D9*E9</x:f>
        <x:v>3</x:v>
      </x:c>
      <x:c r="G9" s="203" t="str">
        <x:v>Asignación; referencia comercial a cotizar. Estimación interna; precio a cotizar.</x:v>
      </x:c>
      <x:c r="H9" s="203" t="str">
        <x:v>Sin cotización externa adjunta. Selección y precio pendientes.</x:v>
      </x:c>
    </x:row>
    <x:row r="10" ht="85" customHeight="1">
      <x:c r="A10" s="203" t="str">
        <x:v>Lector materiales</x:v>
      </x:c>
      <x:c r="B10" s="203" t="str">
        <x:v>Sellado</x:v>
      </x:c>
      <x:c r="C10" s="203" t="str">
        <x:v>Juntas y unión del conector a la carcasa</x:v>
      </x:c>
      <x:c r="D10" s="203" t="n">
        <x:v>1</x:v>
      </x:c>
      <x:c r="E10" s="208" t="n">
        <x:v>2</x:v>
      </x:c>
      <x:c r="F10" s="207" t="n">
        <x:f>D10*E10</x:f>
        <x:v>2</x:v>
      </x:c>
      <x:c r="G10" s="203" t="str">
        <x:v>Asignación de conjunto. Estimación interna; precio a cotizar.</x:v>
      </x:c>
      <x:c r="H10" s="203" t="str">
        <x:v>Sin cotización externa adjunta. Selección y precio pendientes.</x:v>
      </x:c>
    </x:row>
    <x:row r="11" ht="85" customHeight="1">
      <x:c r="A11" s="203" t="str">
        <x:v>Lector materiales</x:v>
      </x:c>
      <x:c r="B11" s="203" t="str">
        <x:v>Control térmico</x:v>
      </x:c>
      <x:c r="C11" s="203" t="str">
        <x:v>Sensado y limitación de temperatura de carga</x:v>
      </x:c>
      <x:c r="D11" s="203" t="n">
        <x:v>1</x:v>
      </x:c>
      <x:c r="E11" s="208" t="n">
        <x:v>1</x:v>
      </x:c>
      <x:c r="F11" s="207" t="n">
        <x:f>D11*E11</x:f>
        <x:v>1</x:v>
      </x:c>
      <x:c r="G11" s="203" t="str">
        <x:v>Asignación adicional. Estimación interna; precio a cotizar.</x:v>
      </x:c>
      <x:c r="H11" s="203" t="str">
        <x:v>Sin cotización externa adjunta. Selección y precio pendientes.</x:v>
      </x:c>
    </x:row>
    <x:row r="12" ht="85" customHeight="1">
      <x:c r="A12" s="203" t="str">
        <x:v>Lector trabajo</x:v>
      </x:c>
      <x:c r="B12" s="203" t="str">
        <x:v>Terminación y prueba</x:v>
      </x:c>
      <x:c r="C12" s="203" t="str">
        <x:v>25 min: armado, programación, prueba y trazabilidad</x:v>
      </x:c>
      <x:c r="D12" s="203" t="n">
        <x:v>1</x:v>
      </x:c>
      <x:c r="E12" s="208" t="n">
        <x:v>6.08</x:v>
      </x:c>
      <x:c r="F12" s="207" t="n">
        <x:f>D12*E12</x:f>
        <x:v>6.08</x:v>
      </x:c>
      <x:c r="G12" s="203" t="str">
        <x:v>Estimación interna a USD 14,5833/h</x:v>
      </x:c>
      <x:c r="H12" s="203" t="str">
        <x:v>Cálculo interno; explicación en Supuestos, filas 20, 22 y 24.</x:v>
      </x:c>
    </x:row>
    <x:row r="13" ht="85" customHeight="1">
      <x:c r="A13" s="203" t="str">
        <x:v>Pulsera materiales</x:v>
      </x:c>
      <x:c r="B13" s="203" t="str">
        <x:v>MCU y BLE</x:v>
      </x:c>
      <x:c r="C13" s="203" t="str">
        <x:v>ESP32-C3-MINI-1-H4</x:v>
      </x:c>
      <x:c r="D13" s="203" t="n">
        <x:v>1</x:v>
      </x:c>
      <x:c r="E13" s="208" t="n">
        <x:v>2.4</x:v>
      </x:c>
      <x:c r="F13" s="207" t="n">
        <x:f>D13*E13</x:f>
        <x:v>2.4</x:v>
      </x:c>
      <x:c r="G13" s="203" t="str">
        <x:v>USD 2,40 asignados al módulo. F3 acredita la referencia técnica, no este precio.</x:v>
      </x:c>
      <x:c r="H13" s="203" t="str">
        <x:v>F3: ficha técnica de Espressif. Enlace en Supuestos.</x:v>
      </x:c>
    </x:row>
    <x:row r="14" ht="85" customHeight="1">
      <x:c r="A14" s="203" t="str">
        <x:v>Pulsera materiales</x:v>
      </x:c>
      <x:c r="B14" s="203" t="str">
        <x:v>Sensores</x:v>
      </x:c>
      <x:c r="C14" s="203" t="str">
        <x:v>1 × MAX30101EFD+T; 1 × LSM6DS3TR-C; 1 × TMP117AIDRVR</x:v>
      </x:c>
      <x:c r="D14" s="203" t="n">
        <x:v>1</x:v>
      </x:c>
      <x:c r="E14" s="208" t="n">
        <x:v>7.05</x:v>
      </x:c>
      <x:c r="F14" s="207" t="n">
        <x:f>D14*E14</x:f>
        <x:v>7.05</x:v>
      </x:c>
      <x:c r="G14" s="203" t="str">
        <x:v>USD 7,05 asignados al conjunto de tres sensores; sin desglose de precios validado. Requiere cotizar el conjunto completo.</x:v>
      </x:c>
      <x:c r="H14" s="203" t="str">
        <x:v>F6, F7 y F8: Analog Devices, ST y TI. Enlaces en Supuestos.</x:v>
      </x:c>
    </x:row>
    <x:row r="15" ht="85" customHeight="1">
      <x:c r="A15" s="203" t="str">
        <x:v>Pulsera materiales</x:v>
      </x:c>
      <x:c r="B15" s="203" t="str">
        <x:v>Carga, protección y regulación</x:v>
      </x:c>
      <x:c r="C15" s="203" t="str">
        <x:v>Circuito para celda de 850 mAh; corriente de referencia 250 mA</x:v>
      </x:c>
      <x:c r="D15" s="203" t="n">
        <x:v>1</x:v>
      </x:c>
      <x:c r="E15" s="208" t="n">
        <x:v>3</x:v>
      </x:c>
      <x:c r="F15" s="207" t="n">
        <x:f>D15*E15</x:f>
        <x:v>3</x:v>
      </x:c>
      <x:c r="G15" s="203" t="str">
        <x:v>Estimación de circuito; selección pendiente. Estimación interna; precio a cotizar.</x:v>
      </x:c>
      <x:c r="H15" s="203" t="str">
        <x:v>Sin cotización externa adjunta. Selección y precio pendientes.</x:v>
      </x:c>
    </x:row>
    <x:row r="16" ht="85" customHeight="1">
      <x:c r="A16" s="203" t="str">
        <x:v>Pulsera materiales</x:v>
      </x:c>
      <x:c r="B16" s="203" t="str">
        <x:v>Pasivos y conexiones</x:v>
      </x:c>
      <x:c r="C16" s="203" t="str">
        <x:v>Resistencias, capacitores y conexiones</x:v>
      </x:c>
      <x:c r="D16" s="203" t="n">
        <x:v>1</x:v>
      </x:c>
      <x:c r="E16" s="208" t="n">
        <x:v>1.2</x:v>
      </x:c>
      <x:c r="F16" s="207" t="n">
        <x:f>D16*E16</x:f>
        <x:v>1.2</x:v>
      </x:c>
      <x:c r="G16" s="203" t="str">
        <x:v>Estimación de conjunto. Estimación interna; precio a cotizar.</x:v>
      </x:c>
      <x:c r="H16" s="203" t="str">
        <x:v>Sin cotización externa adjunta. Selección y precio pendientes.</x:v>
      </x:c>
    </x:row>
    <x:row r="17" ht="85" customHeight="1">
      <x:c r="A17" s="203" t="str">
        <x:v>Pulsera materiales</x:v>
      </x:c>
      <x:c r="B17" s="203" t="str">
        <x:v>Batería</x:v>
      </x:c>
      <x:c r="C17" s="203" t="str">
        <x:v>Celda recargable de 850 mAh</x:v>
      </x:c>
      <x:c r="D17" s="203" t="n">
        <x:v>1</x:v>
      </x:c>
      <x:c r="E17" s="208" t="n">
        <x:v>3</x:v>
      </x:c>
      <x:c r="F17" s="207" t="n">
        <x:f>D17*E17</x:f>
        <x:v>3</x:v>
      </x:c>
      <x:c r="G17" s="203" t="str">
        <x:v>Asignación; proveedor y formato a cotizar. Estimación interna; precio a cotizar.</x:v>
      </x:c>
      <x:c r="H17" s="203" t="str">
        <x:v>Sin cotización externa adjunta. Selección y precio pendientes.</x:v>
      </x:c>
    </x:row>
    <x:row r="18" ht="85" customHeight="1">
      <x:c r="A18" s="203" t="str">
        <x:v>Pulsera materiales</x:v>
      </x:c>
      <x:c r="B18" s="203" t="str">
        <x:v>PCB y montaje</x:v>
      </x:c>
      <x:c r="C18" s="203" t="str">
        <x:v>PCB de pulsera y montaje de componentes</x:v>
      </x:c>
      <x:c r="D18" s="203" t="n">
        <x:v>1</x:v>
      </x:c>
      <x:c r="E18" s="208" t="n">
        <x:v>4</x:v>
      </x:c>
      <x:c r="F18" s="207" t="n">
        <x:f>D18*E18</x:f>
        <x:v>4</x:v>
      </x:c>
      <x:c r="G18" s="203" t="str">
        <x:v>Estimación para lote. Estimación interna; precio a cotizar.</x:v>
      </x:c>
      <x:c r="H18" s="203" t="str">
        <x:v>Sin cotización externa adjunta. Selección y precio pendientes.</x:v>
      </x:c>
    </x:row>
    <x:row r="19" ht="85" customHeight="1">
      <x:c r="A19" s="203" t="str">
        <x:v>Pulsera materiales</x:v>
      </x:c>
      <x:c r="B19" s="203" t="str">
        <x:v>Carcasa y correa</x:v>
      </x:c>
      <x:c r="C19" s="203" t="str">
        <x:v>Envolvente y sujeción de muñeca</x:v>
      </x:c>
      <x:c r="D19" s="203" t="n">
        <x:v>1</x:v>
      </x:c>
      <x:c r="E19" s="208" t="n">
        <x:v>6</x:v>
      </x:c>
      <x:c r="F19" s="207" t="n">
        <x:f>D19*E19</x:f>
        <x:v>6</x:v>
      </x:c>
      <x:c r="G19" s="203" t="str">
        <x:v>Estimación para lote. Estimación interna; precio a cotizar.</x:v>
      </x:c>
      <x:c r="H19" s="203" t="str">
        <x:v>Sin cotización externa adjunta. Selección y precio pendientes.</x:v>
      </x:c>
    </x:row>
    <x:row r="20" ht="85" customHeight="1">
      <x:c r="A20" s="203" t="str">
        <x:v>Pulsera materiales</x:v>
      </x:c>
      <x:c r="B20" s="203" t="str">
        <x:v>USB-C sellado</x:v>
      </x:c>
      <x:c r="C20" s="203" t="str">
        <x:v>Conector sellado en condición desconectada</x:v>
      </x:c>
      <x:c r="D20" s="203" t="n">
        <x:v>1</x:v>
      </x:c>
      <x:c r="E20" s="208" t="n">
        <x:v>3</x:v>
      </x:c>
      <x:c r="F20" s="207" t="n">
        <x:f>D20*E20</x:f>
        <x:v>3</x:v>
      </x:c>
      <x:c r="G20" s="203" t="str">
        <x:v>Asignación; referencia comercial a cotizar. Estimación interna; precio a cotizar.</x:v>
      </x:c>
      <x:c r="H20" s="203" t="str">
        <x:v>Sin cotización externa adjunta. Selección y precio pendientes.</x:v>
      </x:c>
    </x:row>
    <x:row r="21" ht="85" customHeight="1">
      <x:c r="A21" s="203" t="str">
        <x:v>Pulsera materiales</x:v>
      </x:c>
      <x:c r="B21" s="203" t="str">
        <x:v>Sellado</x:v>
      </x:c>
      <x:c r="C21" s="203" t="str">
        <x:v>Juntas y unión del conector a la carcasa</x:v>
      </x:c>
      <x:c r="D21" s="203" t="n">
        <x:v>1</x:v>
      </x:c>
      <x:c r="E21" s="208" t="n">
        <x:v>2</x:v>
      </x:c>
      <x:c r="F21" s="207" t="n">
        <x:f>D21*E21</x:f>
        <x:v>2</x:v>
      </x:c>
      <x:c r="G21" s="203" t="str">
        <x:v>Asignación de conjunto. Estimación interna; precio a cotizar.</x:v>
      </x:c>
      <x:c r="H21" s="203" t="str">
        <x:v>Sin cotización externa adjunta. Selección y precio pendientes.</x:v>
      </x:c>
    </x:row>
    <x:row r="22" ht="85" customHeight="1">
      <x:c r="A22" s="203" t="str">
        <x:v>Pulsera materiales</x:v>
      </x:c>
      <x:c r="B22" s="203" t="str">
        <x:v>Control térmico</x:v>
      </x:c>
      <x:c r="C22" s="203" t="str">
        <x:v>Sensado y limitación de temperatura de carga</x:v>
      </x:c>
      <x:c r="D22" s="203" t="n">
        <x:v>1</x:v>
      </x:c>
      <x:c r="E22" s="208" t="n">
        <x:v>1</x:v>
      </x:c>
      <x:c r="F22" s="207" t="n">
        <x:f>D22*E22</x:f>
        <x:v>1</x:v>
      </x:c>
      <x:c r="G22" s="203" t="str">
        <x:v>Asignación adicional. Estimación interna; precio a cotizar.</x:v>
      </x:c>
      <x:c r="H22" s="203" t="str">
        <x:v>Sin cotización externa adjunta. Selección y precio pendientes.</x:v>
      </x:c>
    </x:row>
    <x:row r="23" ht="85" customHeight="1">
      <x:c r="A23" s="203" t="str">
        <x:v>Pulsera materiales</x:v>
      </x:c>
      <x:c r="B23" s="203" t="str">
        <x:v>Indicador</x:v>
      </x:c>
      <x:c r="C23" s="203" t="str">
        <x:v>LED RGB de bajo consumo y control</x:v>
      </x:c>
      <x:c r="D23" s="203" t="n">
        <x:v>1</x:v>
      </x:c>
      <x:c r="E23" s="208" t="n">
        <x:v>1</x:v>
      </x:c>
      <x:c r="F23" s="207" t="n">
        <x:f>D23*E23</x:f>
        <x:v>1</x:v>
      </x:c>
      <x:c r="G23" s="203" t="str">
        <x:v>Asignación; componente a seleccionar. Estimación interna; precio a cotizar.</x:v>
      </x:c>
      <x:c r="H23" s="203" t="str">
        <x:v>Sin cotización externa adjunta. Selección y precio pendientes.</x:v>
      </x:c>
    </x:row>
    <x:row r="24" ht="85" customHeight="1">
      <x:c r="A24" s="203" t="str">
        <x:v>Pulsera trabajo</x:v>
      </x:c>
      <x:c r="B24" s="203" t="str">
        <x:v>Terminación y prueba</x:v>
      </x:c>
      <x:c r="C24" s="203" t="str">
        <x:v>21 min: armado, programación, prueba y trazabilidad</x:v>
      </x:c>
      <x:c r="D24" s="203" t="n">
        <x:v>1</x:v>
      </x:c>
      <x:c r="E24" s="208" t="n">
        <x:v>5.1</x:v>
      </x:c>
      <x:c r="F24" s="207" t="n">
        <x:f>D24*E24</x:f>
        <x:v>5.1</x:v>
      </x:c>
      <x:c r="G24" s="203" t="str">
        <x:v>Estimación interna a USD 14,5833/h</x:v>
      </x:c>
      <x:c r="H24" s="203" t="str">
        <x:v>Cálculo interno; explicación en Supuestos, filas 20, 22 y 24.</x:v>
      </x:c>
    </x:row>
    <x:row r="25" ht="85" customHeight="1">
      <x:c r="A25" s="203" t="str">
        <x:v>Parche materiales</x:v>
      </x:c>
      <x:c r="B25" s="203" t="str">
        <x:v>Soporte</x:v>
      </x:c>
      <x:c r="C25" s="203" t="str">
        <x:v>Papel microfluídico</x:v>
      </x:c>
      <x:c r="D25" s="203" t="n">
        <x:v>1</x:v>
      </x:c>
      <x:c r="E25" s="208" t="n">
        <x:v>0.6</x:v>
      </x:c>
      <x:c r="F25" s="207" t="n">
        <x:f>D25*E25</x:f>
        <x:v>0.6</x:v>
      </x:c>
      <x:c r="G25" s="203" t="str">
        <x:v>Asignación por parche. Estimación interna; precio a cotizar.</x:v>
      </x:c>
      <x:c r="H25" s="203" t="str">
        <x:v>Sin cotización externa adjunta. Selección y precio pendientes.</x:v>
      </x:c>
    </x:row>
    <x:row r="26" ht="85" customHeight="1">
      <x:c r="A26" s="203" t="str">
        <x:v>Parche materiales</x:v>
      </x:c>
      <x:c r="B26" s="203" t="str">
        <x:v>Reactivos</x:v>
      </x:c>
      <x:c r="C26" s="203" t="str">
        <x:v>Reactivos colorimétricos</x:v>
      </x:c>
      <x:c r="D26" s="203" t="n">
        <x:v>1</x:v>
      </x:c>
      <x:c r="E26" s="208" t="n">
        <x:v>1.55</x:v>
      </x:c>
      <x:c r="F26" s="207" t="n">
        <x:f>D26*E26</x:f>
        <x:v>1.55</x:v>
      </x:c>
      <x:c r="G26" s="203" t="str">
        <x:v>Asignación por parche. Estimación interna; precio a cotizar.</x:v>
      </x:c>
      <x:c r="H26" s="203" t="str">
        <x:v>Sin cotización externa adjunta. Selección y precio pendientes.</x:v>
      </x:c>
    </x:row>
    <x:row r="27" ht="85" customHeight="1">
      <x:c r="A27" s="203" t="str">
        <x:v>Parche materiales</x:v>
      </x:c>
      <x:c r="B27" s="203" t="str">
        <x:v>Electrodos</x:v>
      </x:c>
      <x:c r="C27" s="203" t="str">
        <x:v>Conjunto de electrodos impresos</x:v>
      </x:c>
      <x:c r="D27" s="203" t="n">
        <x:v>1</x:v>
      </x:c>
      <x:c r="E27" s="208" t="n">
        <x:v>3.5</x:v>
      </x:c>
      <x:c r="F27" s="207" t="n">
        <x:f>D27*E27</x:f>
        <x:v>3.5</x:v>
      </x:c>
      <x:c r="G27" s="203" t="str">
        <x:v>Asignación por parche. Estimación interna; precio a cotizar.</x:v>
      </x:c>
      <x:c r="H27" s="203" t="str">
        <x:v>Sin cotización externa adjunta. Selección y precio pendientes.</x:v>
      </x:c>
    </x:row>
    <x:row r="28" ht="85" customHeight="1">
      <x:c r="A28" s="203" t="str">
        <x:v>Parche materiales</x:v>
      </x:c>
      <x:c r="B28" s="203" t="str">
        <x:v>Capa de reconocimiento</x:v>
      </x:c>
      <x:c r="C28" s="203" t="str">
        <x:v>Material de reconocimiento molecular (MIP)</x:v>
      </x:c>
      <x:c r="D28" s="203" t="n">
        <x:v>1</x:v>
      </x:c>
      <x:c r="E28" s="208" t="n">
        <x:v>0.9</x:v>
      </x:c>
      <x:c r="F28" s="207" t="n">
        <x:f>D28*E28</x:f>
        <x:v>0.9</x:v>
      </x:c>
      <x:c r="G28" s="203" t="str">
        <x:v>Asignación por parche. Estimación interna; precio a cotizar.</x:v>
      </x:c>
      <x:c r="H28" s="203" t="str">
        <x:v>Sin cotización externa adjunta. Selección y precio pendientes.</x:v>
      </x:c>
    </x:row>
    <x:row r="29" ht="85" customHeight="1">
      <x:c r="A29" s="203" t="str">
        <x:v>Parche materiales</x:v>
      </x:c>
      <x:c r="B29" s="203" t="str">
        <x:v>Adhesivo</x:v>
      </x:c>
      <x:c r="C29" s="203" t="str">
        <x:v>Adhesivo y soporte para contacto cutáneo</x:v>
      </x:c>
      <x:c r="D29" s="203" t="n">
        <x:v>1</x:v>
      </x:c>
      <x:c r="E29" s="208" t="n">
        <x:v>0.4</x:v>
      </x:c>
      <x:c r="F29" s="207" t="n">
        <x:f>D29*E29</x:f>
        <x:v>0.4</x:v>
      </x:c>
      <x:c r="G29" s="203" t="str">
        <x:v>Asignación por parche. Estimación interna; precio a cotizar.</x:v>
      </x:c>
      <x:c r="H29" s="203" t="str">
        <x:v>Sin cotización externa adjunta. Selección y precio pendientes.</x:v>
      </x:c>
    </x:row>
    <x:row r="30" ht="85" customHeight="1">
      <x:c r="A30" s="203" t="str">
        <x:v>Parche materiales</x:v>
      </x:c>
      <x:c r="B30" s="203" t="str">
        <x:v>Protección</x:v>
      </x:c>
      <x:c r="C30" s="203" t="str">
        <x:v>Sobre individual</x:v>
      </x:c>
      <x:c r="D30" s="203" t="n">
        <x:v>1</x:v>
      </x:c>
      <x:c r="E30" s="208" t="n">
        <x:v>0.3</x:v>
      </x:c>
      <x:c r="F30" s="207" t="n">
        <x:f>D30*E30</x:f>
        <x:v>0.3</x:v>
      </x:c>
      <x:c r="G30" s="203" t="str">
        <x:v>Asignación por parche. Estimación interna; precio a cotizar.</x:v>
      </x:c>
      <x:c r="H30" s="203" t="str">
        <x:v>Sin cotización externa adjunta. Selección y precio pendientes.</x:v>
      </x:c>
    </x:row>
    <x:row r="31" ht="85" customHeight="1">
      <x:c r="A31" s="203" t="str">
        <x:v>Parche trabajo</x:v>
      </x:c>
      <x:c r="B31" s="203" t="str">
        <x:v>Preparación</x:v>
      </x:c>
      <x:c r="C31" s="203" t="str">
        <x:v>Aproximadamente 16,79 min a tarifa interna</x:v>
      </x:c>
      <x:c r="D31" s="203" t="n">
        <x:v>1</x:v>
      </x:c>
      <x:c r="E31" s="208" t="n">
        <x:v>4.08</x:v>
      </x:c>
      <x:c r="F31" s="207" t="n">
        <x:f>D31*E31</x:f>
        <x:v>4.08</x:v>
      </x:c>
      <x:c r="G31" s="203" t="str">
        <x:v>Estimación por parche</x:v>
      </x:c>
      <x:c r="H31" s="203" t="str">
        <x:v>Cálculo interno; explicación en Supuestos, filas 20, 22 y 24.</x:v>
      </x:c>
    </x:row>
    <x:row r="32" ht="85" customHeight="1">
      <x:c r="A32" s="203" t="str">
        <x:v>Accesorios</x:v>
      </x:c>
      <x:c r="B32" s="203" t="str">
        <x:v>Fuente comprada</x:v>
      </x:c>
      <x:c r="C32" s="203" t="str">
        <x:v>Fuente USB-C de un puerto, 5 V; al menos 0,5 A en su única salida</x:v>
      </x:c>
      <x:c r="D32" s="203" t="n">
        <x:v>1</x:v>
      </x:c>
      <x:c r="E32" s="208" t="n">
        <x:v>5</x:v>
      </x:c>
      <x:c r="F32" s="207" t="n">
        <x:f>D32*E32</x:f>
        <x:v>5</x:v>
      </x:c>
      <x:c r="G32" s="203" t="str">
        <x:v>Asignación interna para fuente económica de un puerto; producto terminado a cotizar. Estimación interna; precio a cotizar.</x:v>
      </x:c>
      <x:c r="H32" s="203" t="str">
        <x:v>Sin cotización externa adjunta. Selección y precio pendientes.</x:v>
      </x:c>
    </x:row>
    <x:row r="33" ht="85" customHeight="1">
      <x:c r="A33" s="203" t="str">
        <x:v>Accesorios</x:v>
      </x:c>
      <x:c r="B33" s="203" t="str">
        <x:v>Cables</x:v>
      </x:c>
      <x:c r="C33" s="203" t="str">
        <x:v>USB-C compatibles con la fuente y ambos equipos</x:v>
      </x:c>
      <x:c r="D33" s="203" t="n">
        <x:v>2</x:v>
      </x:c>
      <x:c r="E33" s="208" t="n">
        <x:v>1.5</x:v>
      </x:c>
      <x:c r="F33" s="207" t="n">
        <x:f>D33*E33</x:f>
        <x:v>3</x:v>
      </x:c>
      <x:c r="G33" s="203" t="str">
        <x:v>Asignación por cable. Estimación interna; precio a cotizar.</x:v>
      </x:c>
      <x:c r="H33" s="203" t="str">
        <x:v>Sin cotización externa adjunta. Selección y precio pendientes.</x:v>
      </x:c>
    </x:row>
    <x:row r="34" ht="85" customHeight="1">
      <x:c r="A34" s="203" t="str">
        <x:v>Accesorios</x:v>
      </x:c>
      <x:c r="B34" s="203" t="str">
        <x:v>Empaque</x:v>
      </x:c>
      <x:c r="C34" s="203" t="str">
        <x:v>Caja y protección interior del kit</x:v>
      </x:c>
      <x:c r="D34" s="203" t="n">
        <x:v>1</x:v>
      </x:c>
      <x:c r="E34" s="208" t="n">
        <x:v>1.8</x:v>
      </x:c>
      <x:c r="F34" s="207" t="n">
        <x:f>D34*E34</x:f>
        <x:v>1.8</x:v>
      </x:c>
      <x:c r="G34" s="203" t="str">
        <x:v>Asignación por kit. Estimación interna; precio a cotizar.</x:v>
      </x:c>
      <x:c r="H34" s="203" t="str">
        <x:v>Sin cotización externa adjunta. Selección y precio pendientes.</x:v>
      </x:c>
    </x:row>
    <x:row r="35" ht="85" customHeight="1">
      <x:c r="A35" s="203" t="str">
        <x:v>Accesorios</x:v>
      </x:c>
      <x:c r="B35" s="203" t="str">
        <x:v>Documentación</x:v>
      </x:c>
      <x:c r="C35" s="203" t="str">
        <x:v>Guía y etiquetas con series y activación</x:v>
      </x:c>
      <x:c r="D35" s="203" t="n">
        <x:v>1</x:v>
      </x:c>
      <x:c r="E35" s="208" t="n">
        <x:v>0.6</x:v>
      </x:c>
      <x:c r="F35" s="207" t="n">
        <x:f>D35*E35</x:f>
        <x:v>0.6</x:v>
      </x:c>
      <x:c r="G35" s="203" t="str">
        <x:v>Asignación por kit. Estimación interna; precio a cotizar.</x:v>
      </x:c>
      <x:c r="H35" s="203" t="str">
        <x:v>Sin cotización externa adjunta. Selección y precio pendientes.</x:v>
      </x:c>
    </x:row>
  </x:sheetData>
  <x:pageMargins left="0.7" right="0.7" top="0.75" bottom="0.75" header="0.3" footer="0.3"/>
  <x:tableParts count="1">
    <x:tablePart xmlns:r="http://schemas.openxmlformats.org/officeDocument/2006/relationships" r:id="Raed893ba39024bab"/>
  </x:tableParts>
</x:worksheet>
</file>